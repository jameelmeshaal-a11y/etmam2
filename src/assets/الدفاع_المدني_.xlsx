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keritam\Documents\Desktop\ملفات منفصلة\ماكرو\عسير مقفول\"/>
    </mc:Choice>
  </mc:AlternateContent>
  <bookViews>
    <workbookView xWindow="0" yWindow="0" windowWidth="28800" windowHeight="12435"/>
  </bookViews>
  <sheets>
    <sheet name="الدفاع المدني " sheetId="1" r:id="rId1"/>
  </sheets>
  <definedNames>
    <definedName name="_xlnm._FilterDatabase" localSheetId="0" hidden="1">'الدفاع المدني '!$B$1:$I$1</definedName>
    <definedName name="_xlnm.Print_Area" localSheetId="0">'الدفاع المدني '!$B$2:$L$482</definedName>
    <definedName name="_xlnm.Print_Titles" localSheetId="0">'الدفاع المدني '!$5:$6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80" i="1" l="1"/>
  <c r="I479" i="1"/>
  <c r="I478" i="1"/>
  <c r="I477" i="1"/>
  <c r="I476" i="1"/>
  <c r="I475" i="1"/>
  <c r="I473" i="1"/>
  <c r="I472" i="1"/>
  <c r="I470" i="1"/>
  <c r="I469" i="1"/>
  <c r="I468" i="1"/>
  <c r="I467" i="1"/>
  <c r="I466" i="1"/>
  <c r="I465" i="1"/>
  <c r="I464" i="1"/>
  <c r="I463" i="1"/>
  <c r="I462" i="1"/>
  <c r="I461" i="1"/>
  <c r="I460" i="1"/>
  <c r="I459" i="1"/>
  <c r="I457" i="1"/>
  <c r="I456" i="1"/>
  <c r="I455" i="1"/>
  <c r="I454" i="1"/>
  <c r="I453" i="1"/>
  <c r="I452" i="1"/>
  <c r="I451" i="1"/>
  <c r="I446" i="1"/>
  <c r="I445" i="1"/>
  <c r="I443" i="1"/>
  <c r="I442" i="1"/>
  <c r="I441" i="1"/>
  <c r="I440" i="1"/>
  <c r="I439" i="1"/>
  <c r="I438" i="1"/>
  <c r="I437" i="1"/>
  <c r="I436" i="1"/>
  <c r="I434" i="1"/>
  <c r="I433" i="1"/>
  <c r="I432" i="1"/>
  <c r="I430" i="1"/>
  <c r="I429" i="1"/>
  <c r="I427" i="1"/>
  <c r="I426" i="1"/>
  <c r="I425" i="1"/>
  <c r="I424" i="1"/>
  <c r="I423" i="1"/>
  <c r="I422" i="1"/>
  <c r="I421" i="1"/>
  <c r="I420" i="1"/>
  <c r="I419" i="1"/>
  <c r="I418" i="1"/>
  <c r="I417" i="1"/>
  <c r="I416" i="1"/>
  <c r="I415" i="1"/>
  <c r="I413" i="1"/>
  <c r="I412" i="1"/>
  <c r="I447" i="1" s="1"/>
  <c r="I406" i="1"/>
  <c r="I405" i="1"/>
  <c r="I403" i="1"/>
  <c r="I401" i="1"/>
  <c r="I400" i="1"/>
  <c r="I399" i="1"/>
  <c r="I397" i="1"/>
  <c r="I395" i="1"/>
  <c r="I394" i="1"/>
  <c r="I393" i="1"/>
  <c r="I392" i="1"/>
  <c r="I391" i="1"/>
  <c r="I390" i="1"/>
  <c r="I389" i="1"/>
  <c r="I388" i="1"/>
  <c r="I387" i="1"/>
  <c r="I386" i="1"/>
  <c r="I385" i="1"/>
  <c r="I384" i="1"/>
  <c r="I383" i="1"/>
  <c r="I382" i="1"/>
  <c r="I381" i="1"/>
  <c r="I380" i="1"/>
  <c r="I379" i="1"/>
  <c r="I378" i="1"/>
  <c r="I377" i="1"/>
  <c r="I376" i="1"/>
  <c r="I375" i="1"/>
  <c r="I373" i="1"/>
  <c r="I371" i="1"/>
  <c r="I370" i="1"/>
  <c r="I369" i="1"/>
  <c r="I368" i="1"/>
  <c r="I367" i="1"/>
  <c r="I366" i="1"/>
  <c r="I365" i="1"/>
  <c r="I364" i="1"/>
  <c r="I363" i="1"/>
  <c r="I362" i="1"/>
  <c r="I360" i="1"/>
  <c r="I359" i="1"/>
  <c r="I358" i="1"/>
  <c r="I357" i="1"/>
  <c r="I356" i="1"/>
  <c r="I355" i="1"/>
  <c r="I353" i="1"/>
  <c r="I352" i="1"/>
  <c r="I351" i="1"/>
  <c r="I350" i="1"/>
  <c r="I349" i="1"/>
  <c r="I348" i="1"/>
  <c r="I347" i="1"/>
  <c r="I346" i="1"/>
  <c r="I345" i="1"/>
  <c r="I344" i="1"/>
  <c r="I343" i="1"/>
  <c r="I342" i="1"/>
  <c r="I341" i="1"/>
  <c r="I339" i="1"/>
  <c r="I337" i="1"/>
  <c r="I336" i="1"/>
  <c r="I335" i="1"/>
  <c r="I333" i="1"/>
  <c r="I407" i="1" s="1"/>
  <c r="I327" i="1"/>
  <c r="I325" i="1"/>
  <c r="I323" i="1"/>
  <c r="I322" i="1"/>
  <c r="I321" i="1"/>
  <c r="I320" i="1"/>
  <c r="I318" i="1"/>
  <c r="I317" i="1"/>
  <c r="I315" i="1"/>
  <c r="I314" i="1"/>
  <c r="I313" i="1"/>
  <c r="I311" i="1"/>
  <c r="I310" i="1"/>
  <c r="I309" i="1"/>
  <c r="I307" i="1"/>
  <c r="I306" i="1"/>
  <c r="I305" i="1"/>
  <c r="I302" i="1"/>
  <c r="I301" i="1"/>
  <c r="I299" i="1"/>
  <c r="I298" i="1"/>
  <c r="I296" i="1"/>
  <c r="I295" i="1"/>
  <c r="I294" i="1"/>
  <c r="I293" i="1"/>
  <c r="I292" i="1"/>
  <c r="I290" i="1"/>
  <c r="I289" i="1"/>
  <c r="I288" i="1"/>
  <c r="I285" i="1"/>
  <c r="I283" i="1"/>
  <c r="I282" i="1"/>
  <c r="I281" i="1"/>
  <c r="I280" i="1"/>
  <c r="I279" i="1"/>
  <c r="I277" i="1"/>
  <c r="I276" i="1"/>
  <c r="I275" i="1"/>
  <c r="I273" i="1"/>
  <c r="I272" i="1"/>
  <c r="I271" i="1"/>
  <c r="I270" i="1"/>
  <c r="I269" i="1"/>
  <c r="I268" i="1"/>
  <c r="I266" i="1"/>
  <c r="I265" i="1"/>
  <c r="I263" i="1"/>
  <c r="I262" i="1"/>
  <c r="I260" i="1"/>
  <c r="I259" i="1"/>
  <c r="I258" i="1"/>
  <c r="I257" i="1"/>
  <c r="I256" i="1"/>
  <c r="I255" i="1"/>
  <c r="I254" i="1"/>
  <c r="I253" i="1"/>
  <c r="I252" i="1"/>
  <c r="I251" i="1"/>
  <c r="I250" i="1"/>
  <c r="I248" i="1"/>
  <c r="I247" i="1"/>
  <c r="I246" i="1"/>
  <c r="I245" i="1"/>
  <c r="I244" i="1"/>
  <c r="I242" i="1"/>
  <c r="I240" i="1"/>
  <c r="I239" i="1"/>
  <c r="I237" i="1"/>
  <c r="I235" i="1"/>
  <c r="I233" i="1"/>
  <c r="I231" i="1"/>
  <c r="I230" i="1"/>
  <c r="I229" i="1"/>
  <c r="I227" i="1"/>
  <c r="I226" i="1"/>
  <c r="I225" i="1"/>
  <c r="I224" i="1"/>
  <c r="I223" i="1"/>
  <c r="I222" i="1"/>
  <c r="I221" i="1"/>
  <c r="I218" i="1"/>
  <c r="I216" i="1"/>
  <c r="I214" i="1"/>
  <c r="I212" i="1"/>
  <c r="I210" i="1"/>
  <c r="I209" i="1"/>
  <c r="I208" i="1"/>
  <c r="I207" i="1"/>
  <c r="I205" i="1"/>
  <c r="I204" i="1"/>
  <c r="I203" i="1"/>
  <c r="I202" i="1"/>
  <c r="I201" i="1"/>
  <c r="I199" i="1"/>
  <c r="I197" i="1"/>
  <c r="I196" i="1"/>
  <c r="I195" i="1"/>
  <c r="I194" i="1"/>
  <c r="I193" i="1"/>
  <c r="I192" i="1"/>
  <c r="I191" i="1"/>
  <c r="I190" i="1"/>
  <c r="I328" i="1" s="1"/>
  <c r="I188" i="1"/>
  <c r="I185" i="1"/>
  <c r="I184" i="1"/>
  <c r="I180" i="1"/>
  <c r="I178" i="1"/>
  <c r="I176"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6" i="1"/>
  <c r="I145" i="1"/>
  <c r="I144" i="1"/>
  <c r="I143" i="1"/>
  <c r="I142" i="1"/>
  <c r="I141" i="1"/>
  <c r="I140" i="1"/>
  <c r="I138" i="1"/>
  <c r="I137" i="1"/>
  <c r="I136" i="1"/>
  <c r="I135" i="1"/>
  <c r="I134" i="1"/>
  <c r="I133" i="1"/>
  <c r="I131" i="1"/>
  <c r="I130" i="1"/>
  <c r="I129" i="1"/>
  <c r="I128" i="1"/>
  <c r="I127" i="1"/>
  <c r="I126" i="1"/>
  <c r="I125" i="1"/>
  <c r="I123" i="1"/>
  <c r="I121" i="1"/>
  <c r="I119" i="1"/>
  <c r="I117" i="1"/>
  <c r="I116" i="1"/>
  <c r="I114" i="1"/>
  <c r="I113" i="1"/>
  <c r="I112" i="1"/>
  <c r="I110" i="1"/>
  <c r="I108" i="1"/>
  <c r="I107" i="1"/>
  <c r="I105" i="1"/>
  <c r="I103" i="1"/>
  <c r="I102" i="1"/>
  <c r="I100" i="1"/>
  <c r="I98" i="1"/>
  <c r="I96" i="1"/>
  <c r="I95" i="1"/>
  <c r="I94" i="1"/>
  <c r="I93" i="1"/>
  <c r="I92" i="1"/>
  <c r="I90" i="1"/>
  <c r="I88" i="1"/>
  <c r="I86" i="1"/>
  <c r="I85" i="1"/>
  <c r="I84" i="1"/>
  <c r="I82" i="1"/>
  <c r="I80" i="1"/>
  <c r="I78" i="1"/>
  <c r="I77" i="1"/>
  <c r="I76" i="1"/>
  <c r="I75" i="1"/>
  <c r="I74" i="1"/>
  <c r="I73" i="1"/>
  <c r="I71" i="1"/>
  <c r="I70" i="1"/>
  <c r="I69" i="1"/>
  <c r="I68" i="1"/>
  <c r="I67" i="1"/>
  <c r="I66" i="1"/>
  <c r="I65" i="1"/>
  <c r="I64" i="1"/>
  <c r="I63" i="1"/>
  <c r="I62" i="1"/>
  <c r="I59" i="1"/>
  <c r="I57" i="1"/>
  <c r="I55" i="1"/>
  <c r="I53" i="1"/>
  <c r="I51" i="1"/>
  <c r="I49" i="1"/>
  <c r="I47" i="1"/>
  <c r="I45" i="1"/>
  <c r="I43" i="1"/>
  <c r="I41" i="1"/>
  <c r="I38" i="1"/>
  <c r="I37" i="1"/>
  <c r="I35" i="1"/>
  <c r="I34" i="1"/>
  <c r="I33" i="1"/>
  <c r="I31" i="1"/>
  <c r="I30" i="1"/>
  <c r="I29" i="1"/>
  <c r="I27" i="1"/>
  <c r="I26" i="1"/>
  <c r="I25" i="1"/>
  <c r="I23" i="1"/>
  <c r="I22" i="1"/>
  <c r="I21" i="1"/>
  <c r="I20" i="1"/>
  <c r="I18" i="1"/>
  <c r="I16" i="1"/>
  <c r="I15" i="1"/>
  <c r="I14" i="1"/>
  <c r="I13" i="1"/>
  <c r="I12" i="1"/>
  <c r="I10" i="1"/>
  <c r="I9" i="1"/>
  <c r="I181" i="1" s="1"/>
  <c r="I481" i="1" l="1"/>
  <c r="I482" i="1" s="1"/>
</calcChain>
</file>

<file path=xl/sharedStrings.xml><?xml version="1.0" encoding="utf-8"?>
<sst xmlns="http://schemas.openxmlformats.org/spreadsheetml/2006/main" count="2097" uniqueCount="893">
  <si>
    <t>إنشاء ثلاث دور إيواء في كل من مناطق (مكة المكرمة ، الرياض،عسير)
T</t>
  </si>
  <si>
    <t>مشروع الادارة العامة للإيواء  بعسير
T</t>
  </si>
  <si>
    <t xml:space="preserve">مبني الدفاع المدني </t>
  </si>
  <si>
    <t xml:space="preserve">رقم القسم </t>
  </si>
  <si>
    <t>وصف البند   Item Description</t>
  </si>
  <si>
    <t>الوحدة</t>
  </si>
  <si>
    <t>الكمية</t>
  </si>
  <si>
    <t>سعر الوحدة</t>
  </si>
  <si>
    <t>السعر الأفرادي كتابة</t>
  </si>
  <si>
    <t>السعر الإجمالي</t>
  </si>
  <si>
    <t>الرمز الإنشائي</t>
  </si>
  <si>
    <t>نعم / لا</t>
  </si>
  <si>
    <t>بلد المنشأ</t>
  </si>
  <si>
    <t>Division No.</t>
  </si>
  <si>
    <t xml:space="preserve"> Division No.</t>
  </si>
  <si>
    <t>بالعربية</t>
  </si>
  <si>
    <t>Unit</t>
  </si>
  <si>
    <t>QTY</t>
  </si>
  <si>
    <t>Unit Price</t>
  </si>
  <si>
    <t>Unit Price in Words</t>
  </si>
  <si>
    <t>Total Amount</t>
  </si>
  <si>
    <t>Construction 
Code</t>
  </si>
  <si>
    <t>Yes / No</t>
  </si>
  <si>
    <t xml:space="preserve">country of origin </t>
  </si>
  <si>
    <t>الأعمال المعمارية / الإنشائية / المدنية</t>
  </si>
  <si>
    <t>033000</t>
  </si>
  <si>
    <r>
      <rPr>
        <b/>
        <u/>
        <sz val="14"/>
        <rFont val="Calibri"/>
        <family val="2"/>
        <scheme val="minor"/>
      </rPr>
      <t>الخرسانة ـ القسم رقم 03 : 
الخرسانة المصبوبة فى الموقع :</t>
    </r>
    <r>
      <rPr>
        <b/>
        <sz val="14"/>
        <rFont val="Calibri"/>
        <family val="2"/>
        <scheme val="minor"/>
      </rPr>
      <t xml:space="preserve">
</t>
    </r>
    <r>
      <rPr>
        <b/>
        <u/>
        <sz val="14"/>
        <rFont val="Calibri"/>
        <family val="2"/>
        <scheme val="minor"/>
      </rPr>
      <t>توريد وتنفيذ خرسانة عادية مصبوبة فى الموقع أسفل سطح الأرض باستخدام اسمنت طبقا لتقرير التربة وباجهاد كسر للاسطوانة القياسية لا يقل عن 200كجم/سم² بعد 28 يوم والسعر يشمل الفرم اللازمة، الفواصل الانشائية، وفواصل الصب اينما تطلب ذلك وكل مايلزم لإنهاء العمل طبقا للمخططات والمواصفات وحسب أصول الصناعة.</t>
    </r>
  </si>
  <si>
    <t>033000-01</t>
  </si>
  <si>
    <t>خرسانة عادية سمك 100مم أسفل القواعد.</t>
  </si>
  <si>
    <t xml:space="preserve">م²  </t>
  </si>
  <si>
    <t>نعم</t>
  </si>
  <si>
    <t>033000-02</t>
  </si>
  <si>
    <t>خرسانة عادية سمك 50مم أسفل الكمرات الأرضية والبلاطة أرضية</t>
  </si>
  <si>
    <r>
      <rPr>
        <b/>
        <u/>
        <sz val="14"/>
        <rFont val="Calibri"/>
        <family val="2"/>
        <scheme val="minor"/>
      </rPr>
      <t>توريد وتنفيذ خرسانة مسلحة مصبوبة فى الموقع اسفل سطح الأرض باستخدام اسمنت طبقا لتقرير التربة وباجهاد كسر للاسطوانة القياسية لا يقل عن 300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t>
    </r>
  </si>
  <si>
    <t>033000-03</t>
  </si>
  <si>
    <t>القواعد المنفصلة</t>
  </si>
  <si>
    <t xml:space="preserve">م³  </t>
  </si>
  <si>
    <t>033000-04</t>
  </si>
  <si>
    <t>القواعد الشريطية</t>
  </si>
  <si>
    <t>033000-07</t>
  </si>
  <si>
    <t>الكمرات الأرضيه</t>
  </si>
  <si>
    <t>033000-08</t>
  </si>
  <si>
    <t>أعمال خرسانة مسلحة لزوم رقاب الأعمدة المسلحه</t>
  </si>
  <si>
    <t>033000-09</t>
  </si>
  <si>
    <t>أعمال خرسانة مسلحة لزوم رقاب الحوائط المسلحه</t>
  </si>
  <si>
    <t>توريد وتنفيذ خرسانة مسلحة مصبوبة فى الموقع اسفل سطح الأرض باستخدام اسمنت طبقا لتقرير التربة وباجهاد كسر للاسطوانة القياسية لا يقل عن 250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t>
  </si>
  <si>
    <t>033000-10</t>
  </si>
  <si>
    <t>بلاطة أرضية سمك 160 مم شاملة زيادة السمك عند الأطراف ودرج المداخل والمنحدرات</t>
  </si>
  <si>
    <r>
      <rPr>
        <b/>
        <u/>
        <sz val="14"/>
        <rFont val="Calibri"/>
        <family val="2"/>
        <scheme val="minor"/>
      </rPr>
      <t>توريد وتنفيذ خرسانة مسلحة مصبوبة فى الموقع فوق سطح الأرض باستخدام اسمنت بورتلاندى عادي وباجهاد كسر للاسطوانة القياسية لا يقل عن 300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t>
    </r>
  </si>
  <si>
    <t>033000-11</t>
  </si>
  <si>
    <t xml:space="preserve">الأعمدة من بلاطة أرضية الدور الأرضى  إلى أعلى </t>
  </si>
  <si>
    <t>033000-12</t>
  </si>
  <si>
    <t>الكمرات</t>
  </si>
  <si>
    <t>033000-13</t>
  </si>
  <si>
    <t xml:space="preserve">بلاطات الأسقف فى جميع الأدوار </t>
  </si>
  <si>
    <t>033000-14</t>
  </si>
  <si>
    <t>قواعد خرسانية للماكينات</t>
  </si>
  <si>
    <r>
      <rPr>
        <b/>
        <u/>
        <sz val="14"/>
        <rFont val="Calibri"/>
        <family val="2"/>
        <scheme val="minor"/>
      </rPr>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t>
    </r>
  </si>
  <si>
    <t>033000-15</t>
  </si>
  <si>
    <t>فرشة خرسانية بسمك 50 مم بشبكة تسليح A252 أعلي البلاطات الخرسانية سابقة الصب</t>
  </si>
  <si>
    <t xml:space="preserve">م² </t>
  </si>
  <si>
    <t>033000-16</t>
  </si>
  <si>
    <t>فرشة خرسانية ممسوسة مع المصلد بسمك 100 مم لزوم الأرضيات لاستقبال الدهان الايبوكسى</t>
  </si>
  <si>
    <t>033000-17</t>
  </si>
  <si>
    <t>فرشة اسمنتية لزوم الأرضيات لاستقبال السجاد</t>
  </si>
  <si>
    <t>034000</t>
  </si>
  <si>
    <t>خرسانه سابقة الصب :
توريد وتركيب عناصر خرسانية سابقة الصب شاملة النقل والرفع ووضعها في أماكنها ومليء الوصلات  وكل مايلزم لإنهاء الاعمال كاملة طبقا للمخططات والمواصفات وحسب أصول الصناعة واعتماد المهندس الاستشاري.</t>
  </si>
  <si>
    <t>034000-02</t>
  </si>
  <si>
    <t>بلاطة مجوفة سمك 150 مم</t>
  </si>
  <si>
    <t xml:space="preserve">م2  </t>
  </si>
  <si>
    <t>2003</t>
  </si>
  <si>
    <t>034000-03</t>
  </si>
  <si>
    <t>بلاطة مجوفة سمك 250 مم</t>
  </si>
  <si>
    <t>034000-01</t>
  </si>
  <si>
    <t>طبان من الخرسانة سابقة الصب لزوم  الدروة</t>
  </si>
  <si>
    <t>م</t>
  </si>
  <si>
    <t>042000</t>
  </si>
  <si>
    <r>
      <rPr>
        <b/>
        <u/>
        <sz val="14"/>
        <rFont val="Calibri"/>
        <family val="2"/>
        <scheme val="minor"/>
      </rPr>
      <t>أعمال المباني ـ القسم رقم 04 : 
أعمال البناء بوحدات الطوب :</t>
    </r>
    <r>
      <rPr>
        <b/>
        <sz val="14"/>
        <rFont val="Calibri"/>
        <family val="2"/>
        <scheme val="minor"/>
      </rPr>
      <t xml:space="preserve">
</t>
    </r>
    <r>
      <rPr>
        <b/>
        <u/>
        <sz val="14"/>
        <rFont val="Calibri"/>
        <family val="2"/>
        <scheme val="minor"/>
      </rPr>
      <t>أعمال التوريد  والبناء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من طبقة واحدة (داخلى)</t>
    </r>
  </si>
  <si>
    <t>042000-01</t>
  </si>
  <si>
    <t>حوائط سمك 100مم</t>
  </si>
  <si>
    <t>042000-02</t>
  </si>
  <si>
    <t>حوائط سمك 150مم</t>
  </si>
  <si>
    <t>042000-03</t>
  </si>
  <si>
    <t>حوائط سمك 200مم</t>
  </si>
  <si>
    <t>حوائط من طبقة واحدة (خارجى)</t>
  </si>
  <si>
    <t>042000-04</t>
  </si>
  <si>
    <t>042000-05</t>
  </si>
  <si>
    <t>حوائط سمك 200مم للدروة</t>
  </si>
  <si>
    <t>أعمال توريد  وبناء حوائط مزدوجة  بالبلوك الاسمنتى من طبقتين وبينهما تجويف/فراغ,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t>
  </si>
  <si>
    <t>حوائط مزدوجة (خارجى)</t>
  </si>
  <si>
    <t>042000-06</t>
  </si>
  <si>
    <t>جدار مزدوج بسمك 300 مم يتكون من طبقتين، سمك 100 مم بلوك مصمت وسمك 150مم بلوك مفرغ وتجويف/فراغ 50 مم مع العازل.</t>
  </si>
  <si>
    <t>044200</t>
  </si>
  <si>
    <r>
      <rPr>
        <b/>
        <u/>
        <sz val="14"/>
        <rFont val="Calibri"/>
        <family val="2"/>
        <scheme val="minor"/>
      </rPr>
      <t>التشطيب بالاحجار
تجاليد بالأحجار للحوائط :</t>
    </r>
    <r>
      <rPr>
        <b/>
        <sz val="14"/>
        <rFont val="Calibri"/>
        <family val="2"/>
        <scheme val="minor"/>
      </rPr>
      <t xml:space="preserve">
</t>
    </r>
    <r>
      <rPr>
        <b/>
        <u/>
        <sz val="14"/>
        <rFont val="Calibri"/>
        <family val="2"/>
        <scheme val="minor"/>
      </rPr>
      <t xml:space="preserve">تجاليد بالأحجار للحوائط تجمع بنظام تثبيت معتمد شامل التثبيت و مسامير التعليق و التقطيع للمقاس المطلوب و كافة ما يلزم كاملا و يشمل مادة الملو المعتمدة و الملو و التركيب  وكافة ما يلزم  حسب المخططات والمواصفات(الواجهات الخارجية).
</t>
    </r>
  </si>
  <si>
    <t>044200-01</t>
  </si>
  <si>
    <t>تجاليد من الحجر لزوم الحوائط للواجهات</t>
  </si>
  <si>
    <t>055000</t>
  </si>
  <si>
    <r>
      <rPr>
        <b/>
        <u/>
        <sz val="14"/>
        <rFont val="Calibri"/>
        <family val="2"/>
        <scheme val="minor"/>
      </rPr>
      <t>الاعمال المعدنية ـ القسم رقم 05 : 
درابزين السلالم الخارجيه والمنحدرات :</t>
    </r>
    <r>
      <rPr>
        <b/>
        <sz val="14"/>
        <rFont val="Calibri"/>
        <family val="2"/>
        <scheme val="minor"/>
      </rPr>
      <t xml:space="preserve">
</t>
    </r>
    <r>
      <rPr>
        <b/>
        <u/>
        <sz val="14"/>
        <rFont val="Calibri"/>
        <family val="2"/>
        <scheme val="minor"/>
      </rPr>
      <t>توريد وتركيب درابزين معدنى لزوم السلالم الخارجية والمنحدرات مثبت فى الأرض والبند يشمل التثبيت وجميع اكسسوارت التثبيت والتشطيب وكل مايلزم لإنهاء الأعمال كاملة طبقا للمخططات والمواصفات وحسب أصول الصناعة.</t>
    </r>
  </si>
  <si>
    <t>055000-01</t>
  </si>
  <si>
    <t>درابزين مثبت في الأرض لزوم المنحدرات</t>
  </si>
  <si>
    <t>فتحة وصول للسطح
توريد وتركيب غطاء من الحديد لزوم السطح شامل سلم بحاري و الإطارات والزوايا والتثبيت وإكسسوارات التثبيت وكل مايلزم لإنهاء العمل طبقا للمخططات والمواصفات وحسب أصول الصناعة</t>
  </si>
  <si>
    <t>055000-02</t>
  </si>
  <si>
    <t>فتحة وصول للسطح</t>
  </si>
  <si>
    <t>عدد</t>
  </si>
  <si>
    <t>سلم حديد  :
توريد وتركيب سلم حديد والبند يشمل التثبيت وجميع اكسسوارت التثبيت والتشطيب وكل مايلزم لإنهاء الأعمال كاملة طبقا للمخططات والمواصفات وحسب أصول الصناعة.</t>
  </si>
  <si>
    <t>055000-03</t>
  </si>
  <si>
    <t>سلم حديد</t>
  </si>
  <si>
    <t>071000</t>
  </si>
  <si>
    <r>
      <rPr>
        <b/>
        <u/>
        <sz val="14"/>
        <rFont val="Calibri"/>
        <family val="2"/>
        <scheme val="minor"/>
      </rPr>
      <t>الوقاية من الحرارة والرطوبة ـ القسم رقم 07 : 
مانع البخر</t>
    </r>
  </si>
  <si>
    <t>071000-01</t>
  </si>
  <si>
    <t>توريد وتركيب فرشة من شرائح البولى ايثيلين 200 ميكرون أسفل الخرسانة العادية للاساسات والكمرات الأرضية وبلاطة ارضية الدور الارضى حسب المخططات والمواصفات وطبقا لأصول الصناعة</t>
  </si>
  <si>
    <t xml:space="preserve">
توريد وتنفيذ طبقتين من دهان بيتومينى سائل طبقا للمخططات والمواصفات وحسب أصول الصناعة</t>
  </si>
  <si>
    <t>071000-02</t>
  </si>
  <si>
    <t>للأسطح الأفقية والرأسية للخرسانات الملامسة للتربة</t>
  </si>
  <si>
    <t>075000</t>
  </si>
  <si>
    <t>نظام عزل المياه الأفقى للسطح حسب الموضح بالمخططات شاملا فرشة خرسانة خفيفة لعمل الميول وغشاء عازل للمياه ومادة لاصقة للصق الفواصل والشريحة الألومنيوم ومانع تسرب المياه وغشاء فاصل للحماية ، و ألواح العزل الحرارى وطبقة من الركام سمك 50مم ، بلاطات خرسانيه سابقة الصب (أينما طلبت) كاملة ، شاملة جميع لوازم التثبيت والتكسية حول المواسيرالصرف والفتحات مع عمل التداخل المطلوب حسب المخططات والمواصفات وحسب إرشادات صانع معتمد وحسب أصول الصناعة.</t>
  </si>
  <si>
    <t>075000-01</t>
  </si>
  <si>
    <t>العزل الأفقى للسطح</t>
  </si>
  <si>
    <t>توريد وتنفيذ عازل مياة رأسى بإرتفاع 300مم على الأقل لدروة السطح شاملا غشاء عازل للمياة وشرائح التثبيت ومواد حشو الفواصل والتثبيت وجميع اكسسوارات التثبيت وكل مايلزم لإنهاء الأعمال طبقا للمخططات والمواصفات وحسب أصول الصناعة.</t>
  </si>
  <si>
    <t>075000-02</t>
  </si>
  <si>
    <t>العزل الرأسى لدروة السطح</t>
  </si>
  <si>
    <t>070000</t>
  </si>
  <si>
    <t>توريد وتنفيذ عازل مياة للمناطق الرطبة شاملا الغشاء العازل للرطوبة وفرشة من الخرسانة وشرائح التثبيت والوزرة والتثبيت وجميع اكسسوارات التثبيت وكل مايلزم لإنهاء الأعمال طبقا للمخططات والمواصفات وحسب أصول الصناعة.</t>
  </si>
  <si>
    <t>070000-01</t>
  </si>
  <si>
    <t xml:space="preserve"> للمناطق الرطبة </t>
  </si>
  <si>
    <t>081000</t>
  </si>
  <si>
    <t>الأبواب والنوافذ ـ القسم رقم 08 : 
الأبواب والإطارات :
توريد وتركيب أبواب من خامات حسب المخططات والبند يشمل الضلف والاطار والاطار الفرعى والعتب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t>
  </si>
  <si>
    <t>081000-01</t>
  </si>
  <si>
    <t>أبواب معدنية غير مقاومة للحريق</t>
  </si>
  <si>
    <t>081000-02</t>
  </si>
  <si>
    <t>1800*2400مم, باب نموذج  MD-01</t>
  </si>
  <si>
    <t xml:space="preserve"> عدد</t>
  </si>
  <si>
    <t>081000-03</t>
  </si>
  <si>
    <t>1800*2200مم, باب نموذج  MD-02</t>
  </si>
  <si>
    <t>081000-04</t>
  </si>
  <si>
    <t>1000*2400مم, باب نموذج  MD-03</t>
  </si>
  <si>
    <t>081000-05</t>
  </si>
  <si>
    <t>1000*2200مم, باب نموذج  MD-07</t>
  </si>
  <si>
    <t>081000-06</t>
  </si>
  <si>
    <t>1000*2200مم, باب نموذج  MD-08</t>
  </si>
  <si>
    <t>081000-07</t>
  </si>
  <si>
    <t>1000*2200مم, باب نموذج  MD-09</t>
  </si>
  <si>
    <t>081000-08</t>
  </si>
  <si>
    <t>1000*2200مم, باب نموذج  MD-10</t>
  </si>
  <si>
    <t>081000-09</t>
  </si>
  <si>
    <t>1000*2200مم, باب نموذج  MD-11</t>
  </si>
  <si>
    <t>081000-10</t>
  </si>
  <si>
    <t>1000*2200مم, باب نموذج  MD-12</t>
  </si>
  <si>
    <t>081000-11</t>
  </si>
  <si>
    <t>800*2200مم, باب نموذج  MD-13</t>
  </si>
  <si>
    <t>أبواب معدنية مقاومة للحريق</t>
  </si>
  <si>
    <t>081000-12</t>
  </si>
  <si>
    <t>1000*2200مم مقاوم للحريق لمدة 45 دقيقة, باب نموذج  MD-04</t>
  </si>
  <si>
    <t>081000-13</t>
  </si>
  <si>
    <t>1000*2200مم مقاوم للحريق لمدة 90 دقيقة, باب نموذج  MD-05</t>
  </si>
  <si>
    <t>081000-14</t>
  </si>
  <si>
    <t>1000*2200مم مقاوم للحريق لمدة 45 دقيقة, باب نموذج  MD-06</t>
  </si>
  <si>
    <t>081000-15</t>
  </si>
  <si>
    <t>1200*2000مم مقاوم للحريق لمدة 45 دقيقة, باب نموذج  MD-14</t>
  </si>
  <si>
    <t>600*2000مم مقاوم للحريق لمدة 45 دقيقة, باب نموذج  MD-15</t>
  </si>
  <si>
    <t>1000*2200مم مقاوم للحريق لمدة 45 دقيقة, باب نموذج  MD-16</t>
  </si>
  <si>
    <t xml:space="preserve">النوافذ :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(وشبك حماية من الحديد المجلفن عند الحاجة) وكل مايلزم لإنهاء الأعمال طبقا للمخططات والمواصفات وحسب أصول الصناعة. </t>
  </si>
  <si>
    <t>2100*1700مم, شباك نموذج W01</t>
  </si>
  <si>
    <t>088300</t>
  </si>
  <si>
    <t>المرايات :
توريد وتركيب مرايات شاملا الإطار والتثبيت وجميع اكسسوارات التثبيت وكل مايلزم لإنهاء الأعمال طبقا للمخططات والمواصفات وحسب أصول الصناعة.</t>
  </si>
  <si>
    <t>088300-01</t>
  </si>
  <si>
    <t>مرايات للأحواض مثبتة على الحائط نموذج MIR-2</t>
  </si>
  <si>
    <t>-</t>
  </si>
  <si>
    <t>لا</t>
  </si>
  <si>
    <t>092000</t>
  </si>
  <si>
    <t>أعمال التشطيبات ـ القسم رقم 09 : 
تشطيب الحوائط :
بياض من الرمل و الاسمنت والبند يشمل الفواصل و الزوايا و الشبك المعدنى و الشبك السلكى وكافة ما يلزم حسب المخططات والمواصفات (داخليا).</t>
  </si>
  <si>
    <t>092000-01</t>
  </si>
  <si>
    <t>لزوم الحوائط لإستقبال الدهانات</t>
  </si>
  <si>
    <t>092000-02</t>
  </si>
  <si>
    <t xml:space="preserve">لزوم الحوائط لإستقبال بلاط البورسلين </t>
  </si>
  <si>
    <t>092000-03</t>
  </si>
  <si>
    <t>لزوم الأسقف لإستقبال الدهانات</t>
  </si>
  <si>
    <t>بياض من الرمل و الاسمنت والبند يشمل الفواصل و الزوايا و الشبك المعدنى و الشبك السلكى وكافة ما يلزم حسب المخططات والمواصفات (خارجى).</t>
  </si>
  <si>
    <t>092000-04</t>
  </si>
  <si>
    <t>لزوم الحوائط الخارجية والدراوى لإستقبال الدهانات</t>
  </si>
  <si>
    <t>093000</t>
  </si>
  <si>
    <t>بلاط البورسلين :
توريد وتركيب بورسيلين للحوائط شاملا التركيب ومواد اللصق المعتمدة والتقطيع ومواد الملء المعتمدة والنظافة عند الانتهاء وكل مايلزم لإنهاء الأعمال طبقا للمخططات والمواصفات وحسب أصول الصناعة.</t>
  </si>
  <si>
    <t>093000-01</t>
  </si>
  <si>
    <t>بورسلين حوائط عالى المقاومة مقاس 300X600 مم</t>
  </si>
  <si>
    <t>توريد وتركيب بورسلين للأرضيات على  مونة أسمنتية والبند يشمل التقطيع والمونة و الملو و الاكسسوار والتنظيف  وكل ما يلزم حسب المخططات والمواصفات.</t>
  </si>
  <si>
    <t>093000-02</t>
  </si>
  <si>
    <t>مزيج بين بورسلين أرضيات عالى المقاومة مقاس 600X600 مم وبورسلين أرضيات عالى المقاومة مقاس 600X200 مم</t>
  </si>
  <si>
    <t>093000-03</t>
  </si>
  <si>
    <t xml:space="preserve">بورسلين أرضيات عالى المقاومة مقاس 600X600 مم </t>
  </si>
  <si>
    <t>093000-04</t>
  </si>
  <si>
    <t xml:space="preserve">بورسلين أرضيات عالى المقاومة ومقاوم للإنزلاق مقاس 600X600 مم </t>
  </si>
  <si>
    <t xml:space="preserve">بورسلين أرضيات عالى المقاومة مقاس 30X600X600 مم, نموذج -1 </t>
  </si>
  <si>
    <t>م131</t>
  </si>
  <si>
    <t xml:space="preserve">بورسلين أرضيات عالى المقاومة مقاس 30X200X600 مم, نموذج -21 </t>
  </si>
  <si>
    <t>م132</t>
  </si>
  <si>
    <t>وزرات :</t>
  </si>
  <si>
    <t>096340</t>
  </si>
  <si>
    <t>096340-01</t>
  </si>
  <si>
    <t>وزرة من البورسلين عالى المقاومة بإرتفاع 100مم</t>
  </si>
  <si>
    <t xml:space="preserve">  م </t>
  </si>
  <si>
    <t>السجاد :
توريد و تركيب ارضيات سجاد على فرشة اسمنتية  والبند يشمل التقطيع والتركيب و التنظيف وكل ما يلزم حسب المخططات والمواصفات.</t>
  </si>
  <si>
    <t>096340-02</t>
  </si>
  <si>
    <t>سجاد على فرشه أسمنتيه. (تقاس الفرشة الاسمنتية في مكان اخر)</t>
  </si>
  <si>
    <t>م2</t>
  </si>
  <si>
    <t>وزرات</t>
  </si>
  <si>
    <t>096340-03</t>
  </si>
  <si>
    <t>وزرة من الفينيل بإرتفاع 100مم.</t>
  </si>
  <si>
    <t>096340-04</t>
  </si>
  <si>
    <t>وزرة من الخشب بإرتفاع 100مم.</t>
  </si>
  <si>
    <t>بلاطات من الجرانيت :
توريد وتركيب أرضيات من الجرانيت على  مونة أسمنتية والبند يشمل التقطيع والمونة و الملو و الاكسسوار والتنظيف  وكل ما يلزم حسب المخططات والمواصفات.</t>
  </si>
  <si>
    <t>096340-05</t>
  </si>
  <si>
    <t>بلاطات من الجرانيت لزوم الأرضيات</t>
  </si>
  <si>
    <t>096500</t>
  </si>
  <si>
    <t>لزوم السلالم الخارجية :</t>
  </si>
  <si>
    <t>096500-01</t>
  </si>
  <si>
    <t>بلاطات من الجرانيت لزوم النوائم</t>
  </si>
  <si>
    <t>096500-02</t>
  </si>
  <si>
    <t>بلاطات من الجرانيت لزوم القوائم</t>
  </si>
  <si>
    <t>لزوم المنحدرات الخارجية :</t>
  </si>
  <si>
    <t>096500-03</t>
  </si>
  <si>
    <t>بلاطات من الجرانيت لزوم المنحدرات</t>
  </si>
  <si>
    <t>095000</t>
  </si>
  <si>
    <t>الأسقف المعلقة :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t>
  </si>
  <si>
    <t>095000-01</t>
  </si>
  <si>
    <t>أسقف من الواح الومنيوم بعرض 100 مم</t>
  </si>
  <si>
    <t>م²</t>
  </si>
  <si>
    <t>095000-02</t>
  </si>
  <si>
    <t>أسقف من الواح ماصة للصوت مقاس 600X600 مم</t>
  </si>
  <si>
    <t>095000-03</t>
  </si>
  <si>
    <t>أسقف معلقة من ألواح جبسية</t>
  </si>
  <si>
    <t>099000</t>
  </si>
  <si>
    <t>الدهانات :
توريد وتنفيذ دهان ذات أساس مائى والبند يشمل تجهيز الاسطح لاستقبال الدهانات و طبقات البطانة وطبقات المعجون طبقات التشطيب وكل مايلزم لإنهاء الأعمال طبقا للمخططات والمواصفات وحسب أصول الصناعة (داخلى).</t>
  </si>
  <si>
    <t>099000-01</t>
  </si>
  <si>
    <t>دهان للحوائط التى تم بياضها</t>
  </si>
  <si>
    <t>099000-02</t>
  </si>
  <si>
    <t>دهان لزوم الأسقف التى تم بياضها</t>
  </si>
  <si>
    <t>توريد وتنفيذ دهان ذات أساس مائى والبند يشمل تجهيز الاسطح لاستقبال الدهانات و طبقات البطانة وطبقات المعجون طبقات التشطيب وكل مايلزم لإنهاء الأعمال طبقا للمخططات والمواصفات وحسب أصول الصناعة (خارجى).</t>
  </si>
  <si>
    <t>099000-03</t>
  </si>
  <si>
    <t xml:space="preserve">دهان للحوائط التى تم بياضها </t>
  </si>
  <si>
    <t>دهان ايبوكسي :
توريد وتنفيذ دهان إيبوكسي والبند يشمل تجهيز الاسطح لاستقبال الدهانات والتشطيب وكل ما يلزم لإنهاء الاعمال طبقا للمخططات والمواصفات وحسب أصول الصناعة.</t>
  </si>
  <si>
    <t>099000-04</t>
  </si>
  <si>
    <t>دهان ايبوكسي على فرشه خرسانيه للأرضيات (تقاس الفرشة الخرسانية في مكان اخر)</t>
  </si>
  <si>
    <t>099000-05</t>
  </si>
  <si>
    <t>وزرة من الايبوكسي (Dark shade) بإرتفاع 100مم على بياض اسمنتى</t>
  </si>
  <si>
    <t>100000</t>
  </si>
  <si>
    <t>أعمال خاصة ـ القسم رقم 10 : 
أكسسوارات الحمامات :
توريد وتركيب اكسسوارات الحمام شاملا التثبيت وجميع اكسسوارات التثبيت وكل مايلزم لإنهاء الأعمال طبقا للمخططات والمواصفات وحسب أصول الصناعة.</t>
  </si>
  <si>
    <t>100000-01</t>
  </si>
  <si>
    <t>نموذج SHO-2</t>
  </si>
  <si>
    <t>100000-02</t>
  </si>
  <si>
    <t>نموذج TSD-2</t>
  </si>
  <si>
    <t>100000-03</t>
  </si>
  <si>
    <t>نموذج TSD-3</t>
  </si>
  <si>
    <t>100000-04</t>
  </si>
  <si>
    <t>نموذج HOK-2</t>
  </si>
  <si>
    <t>100000-05</t>
  </si>
  <si>
    <t>نموذج TRB-2</t>
  </si>
  <si>
    <t>100000-06</t>
  </si>
  <si>
    <t>نموذج GRB-1</t>
  </si>
  <si>
    <t>100000-07</t>
  </si>
  <si>
    <t>نموذج GRB-2</t>
  </si>
  <si>
    <t xml:space="preserve">اللوحات الإرشادية :
توريد وتركيب اللوحات الإرشادية والبند يشمل نظام التعليق ، الركائز ، والتثبيت ولوازم التثبيت وكافة ما يلزم حسب المخططات والمواصفات.
</t>
  </si>
  <si>
    <t>100000-08</t>
  </si>
  <si>
    <t>نموذج AS-1</t>
  </si>
  <si>
    <t>100000-09</t>
  </si>
  <si>
    <t>نموذج AS-2</t>
  </si>
  <si>
    <t>100000-10</t>
  </si>
  <si>
    <t>نموذج AS-3</t>
  </si>
  <si>
    <t>100000-11</t>
  </si>
  <si>
    <t>نموذج AS-10</t>
  </si>
  <si>
    <t>100000-12</t>
  </si>
  <si>
    <t>نموذج AS-11</t>
  </si>
  <si>
    <t>100000-13</t>
  </si>
  <si>
    <t>نموذج AS-24</t>
  </si>
  <si>
    <t>113000</t>
  </si>
  <si>
    <t>المعدات ـ القسم رقم 11 : 
معدات المطبخ
توريد وتركيب مُعدَّات المطابخ والاوفيسات شامله جميع اكسسوارات التثبيت طبقا للمواصفات والمخططات</t>
  </si>
  <si>
    <t>113000-01</t>
  </si>
  <si>
    <t>نموذج CA-1 (الطول=10000مم)</t>
  </si>
  <si>
    <t>113000-02</t>
  </si>
  <si>
    <t>نموذج CA-2 (الطول=10000مم)</t>
  </si>
  <si>
    <t>113000-03</t>
  </si>
  <si>
    <t>نموذج BO-1</t>
  </si>
  <si>
    <t>113000-04</t>
  </si>
  <si>
    <t>نموذج HP-1</t>
  </si>
  <si>
    <t>نموذج PC-1</t>
  </si>
  <si>
    <t>نموذج WRC-1</t>
  </si>
  <si>
    <t>نموذج REF-1</t>
  </si>
  <si>
    <t>الاثاث ـ القسم رقم 12 : 
الأثاث :
توريد وتركيب أثاث شاملا التثبيت وجميع اكسسوارات التثبيت وكل مايلزم لإنهاء الأعمال طبقا للمخططات والمواصفات وحسب أصول الصناعة.</t>
  </si>
  <si>
    <t>125000-01</t>
  </si>
  <si>
    <t>نموذج BD03</t>
  </si>
  <si>
    <t>125000-02</t>
  </si>
  <si>
    <t>نموذج CA01</t>
  </si>
  <si>
    <t>125000-03</t>
  </si>
  <si>
    <t>نموذج CA04</t>
  </si>
  <si>
    <t>125000-04</t>
  </si>
  <si>
    <t>نموذج CA07</t>
  </si>
  <si>
    <t>125000-05</t>
  </si>
  <si>
    <t>نموذج CA14</t>
  </si>
  <si>
    <t>125000-06</t>
  </si>
  <si>
    <t>نموذج CH02</t>
  </si>
  <si>
    <t>125000-07</t>
  </si>
  <si>
    <t>نموذج CH08</t>
  </si>
  <si>
    <t>125000-08</t>
  </si>
  <si>
    <t>نموذج CH11</t>
  </si>
  <si>
    <t>125000-09</t>
  </si>
  <si>
    <t>نموذج CH17</t>
  </si>
  <si>
    <t>125000-10</t>
  </si>
  <si>
    <t>نموذج CH38</t>
  </si>
  <si>
    <t>125000-11</t>
  </si>
  <si>
    <t>نموذج CH73</t>
  </si>
  <si>
    <t>125000-12</t>
  </si>
  <si>
    <t>نموذج CR03</t>
  </si>
  <si>
    <t>125000-13</t>
  </si>
  <si>
    <t>نموذج DE07</t>
  </si>
  <si>
    <t>125000-14</t>
  </si>
  <si>
    <t>نموذج DE09</t>
  </si>
  <si>
    <t>125000-15</t>
  </si>
  <si>
    <t>نموذج DE10</t>
  </si>
  <si>
    <t>125000-16</t>
  </si>
  <si>
    <t>نموذج DE13</t>
  </si>
  <si>
    <t>125000-17</t>
  </si>
  <si>
    <t>نموذج SE03</t>
  </si>
  <si>
    <t>125000-18</t>
  </si>
  <si>
    <t>نموذج SO06</t>
  </si>
  <si>
    <t>125000-19</t>
  </si>
  <si>
    <t>نموذج SH01</t>
  </si>
  <si>
    <t>125000-20</t>
  </si>
  <si>
    <t>نموذج SR01</t>
  </si>
  <si>
    <t>125000-21</t>
  </si>
  <si>
    <t>نموذج TA11</t>
  </si>
  <si>
    <t>125000-22</t>
  </si>
  <si>
    <t>نموذج TA18</t>
  </si>
  <si>
    <t>125000-23</t>
  </si>
  <si>
    <t>نموذج TA20</t>
  </si>
  <si>
    <t>125000-24</t>
  </si>
  <si>
    <t>نموذج TA26</t>
  </si>
  <si>
    <t>125000-25</t>
  </si>
  <si>
    <t>نموذج TA27</t>
  </si>
  <si>
    <t>125000-26</t>
  </si>
  <si>
    <t>نموذج TA37</t>
  </si>
  <si>
    <t>125000-27</t>
  </si>
  <si>
    <t>نموذج WT01</t>
  </si>
  <si>
    <t>312000</t>
  </si>
  <si>
    <t>الأعمال الترابية ـ القسم رقم 31 : 
أعمال الحفر والردم
أعمال الحفر من منسوب التسوية الى منسوب التأسيس المطلوب شاملا التسوية والدمك و نقل مخلفات الحفر الى المقالب العمومية المعتمدة.</t>
  </si>
  <si>
    <t>312000-01</t>
  </si>
  <si>
    <t>اعمال الحفر لزوم الاساسات</t>
  </si>
  <si>
    <t>ردم المساحات المحفورة حول القواعد باستخدام تربة من مواد مختارة من نواتج الحفر أو تربة موردة من خارج الموقع حسب اعتماد المهندس الاستشارى شاملا الدمك</t>
  </si>
  <si>
    <t>312000-02</t>
  </si>
  <si>
    <t>أعمال الردم حول الاساسات</t>
  </si>
  <si>
    <t>313000</t>
  </si>
  <si>
    <t>أعمال معالجة التربة
توريد وتنفيذ معالجة للتربة ضد النمل الأبيض للأسطح الأفقية والرأسية حسب توجيه المهندس الاستشاري</t>
  </si>
  <si>
    <t>313000-03</t>
  </si>
  <si>
    <t>معالجة التربة ضد النمل الأبيض</t>
  </si>
  <si>
    <t xml:space="preserve">Total of Architecture / Structural /Civil Works for The Fire Station Building =  مجموع الأعمال المعمارية / الإنشائية / المدنية لمبنى الدفاع المدني  </t>
  </si>
  <si>
    <t>الأعمال الميكانيكية</t>
  </si>
  <si>
    <t>104416</t>
  </si>
  <si>
    <t xml:space="preserve">أعمال خاصة ـ القسم رقم 10 : 
طفايات الحريق
توريد وتركيب واختبار طفايات الحريق مصنفة من UL ومعتمدة من FM شاملا التثبيت وجميع اكسسوارات التثبيت وكل مايلزم لإنهاء الأعمال طبقا للمخططات والمواصفات وحسب أصول الصناعة </t>
  </si>
  <si>
    <t>104416-01</t>
  </si>
  <si>
    <t>طفاية  حريق  نوع  FE-1  سعة  6 كجم نوع كيميائى  جاف  متعددة الأغراض</t>
  </si>
  <si>
    <t xml:space="preserve">نعم </t>
  </si>
  <si>
    <t>104416-02</t>
  </si>
  <si>
    <t>طفاية حريق نوع FE-2 سعة 6 كجم نوع غاز ثانى أكسيد الكربون</t>
  </si>
  <si>
    <t>210000</t>
  </si>
  <si>
    <t>مكافحة الحريق ـ القسم رقم 21 :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t>
  </si>
  <si>
    <t>211313</t>
  </si>
  <si>
    <t xml:space="preserve">مواسير نظام الحريق الرطب
أعمال مواسير نظام الحريق الرطب طبقا لنظام الجمعيه الوطنيه للوقايه من الحريق والبند يشمل مواسير صرف الرشاشات وكل اللوازم وركائز التثبيت كاملة حسب الموضح في المخططات و المواصفات
توريد وتركيب واختبار مواسير حريق من (HDPE) بضغط (16) بار  توضع تحت الارض بما في ذلك الحفر والردم الخ. حسب الموضح بالمواصفات والمخططات
</t>
  </si>
  <si>
    <t>211313-01</t>
  </si>
  <si>
    <t>قطر 150 مم</t>
  </si>
  <si>
    <t xml:space="preserve">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t>
  </si>
  <si>
    <t>211313-02</t>
  </si>
  <si>
    <t>قطر 25 مم</t>
  </si>
  <si>
    <t>211313-03</t>
  </si>
  <si>
    <t>قطر 32 مم</t>
  </si>
  <si>
    <t>211313-04</t>
  </si>
  <si>
    <t>قطر 40 مم</t>
  </si>
  <si>
    <t>211313-05</t>
  </si>
  <si>
    <t>قطر 50 مم</t>
  </si>
  <si>
    <t>211313-06</t>
  </si>
  <si>
    <t>قطر 65 مم</t>
  </si>
  <si>
    <t>211314</t>
  </si>
  <si>
    <t>211313-07</t>
  </si>
  <si>
    <t>قطر 80 مم</t>
  </si>
  <si>
    <t>211313-08</t>
  </si>
  <si>
    <t>قطر 100 مم</t>
  </si>
  <si>
    <t>211313-09</t>
  </si>
  <si>
    <t xml:space="preserve">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t>
  </si>
  <si>
    <t>211313-10</t>
  </si>
  <si>
    <t>لوازم اعمال الحريق</t>
  </si>
  <si>
    <t>211313-11</t>
  </si>
  <si>
    <t>محبس عدم رجوع كهربي بجرس انذار وصمام عزل OS&amp;Y على الماسوره الرأسيه, قطر 150 مم</t>
  </si>
  <si>
    <t>211313-12</t>
  </si>
  <si>
    <t>وصلة الدفاع المدني ( Siamese Connection) نوع Wet type بمحبس عدم رجوع مقاس 150 * 65 * 65 مم</t>
  </si>
  <si>
    <t>211313-13</t>
  </si>
  <si>
    <t xml:space="preserve">صمامات العزل OS &amp; Y بقطر 40 مم مع مفتاح ضبط اشرافي </t>
  </si>
  <si>
    <t>211313-14</t>
  </si>
  <si>
    <t>وصلة إختبار و تنظيف قطر 25 مم مع محبس صرف</t>
  </si>
  <si>
    <t>211313-15</t>
  </si>
  <si>
    <t>منفس هواء اتوماتيكي (AAV) قطر 25 مم .</t>
  </si>
  <si>
    <t>الرشاشات</t>
  </si>
  <si>
    <t>211313-16</t>
  </si>
  <si>
    <t>رشاشات حريق من النوع المتدلي (Upright)</t>
  </si>
  <si>
    <t>رشاشات حريق من النوع المتدلي (Pendent)</t>
  </si>
  <si>
    <t>211313-17</t>
  </si>
  <si>
    <t>رشاشات حريق من النوع المتدلي (Pendent) سريع الاستجابة</t>
  </si>
  <si>
    <t>211313-18</t>
  </si>
  <si>
    <t>رشاشات حريق من النوع المقلوب (Upright) سريع الاستجابة</t>
  </si>
  <si>
    <t>211313-19</t>
  </si>
  <si>
    <t>رشاشات حريق من النوع الجانبي سريع الاستجابه ذو تغطية قياسية</t>
  </si>
  <si>
    <t>211313-20</t>
  </si>
  <si>
    <t>رشاشات حريق من النوع الجانبي سريع الاستجابه واسع التغطيه</t>
  </si>
  <si>
    <t xml:space="preserve">مجموعه محبس تحكم منطقة  (ZCS)
توريد وتركيب واختبار مجموعه محبس تحكم منطقه (معتمده من مختبرات الضامنين  ومختبرات المصنع),  شامله محابس OS&amp;Y متصل بمفتاح امان, محابس بوابه, محبس عدم رجوع, محابس تخفيض للضغط, محبس اختبار وصرف, منظم ضغط, شاشه مراقبه, مفتاح تدفق ......الخ, كاملة حسب الموضح بالمواصفات والمخططات
</t>
  </si>
  <si>
    <t>211313-21</t>
  </si>
  <si>
    <t xml:space="preserve">مجموعه محبس تحكم منطقه (ZCS), قطر 100 مم </t>
  </si>
  <si>
    <t>211200</t>
  </si>
  <si>
    <t xml:space="preserve">صناديق (كبائن) الحريق
توريد وتركيب واختبار كابينة خرطوم حريق خاصة شامله التثبيت وكل اللوازم كما هو موضح بالمخططات والمواصفات (كابينة خرطوم الحريق علي السطح او خارج المبني يجب ان تكون مقاومة للعوامل الجوية), كاملة حسب الموضح بالمواصفات والمخططات
</t>
  </si>
  <si>
    <t>211200-01</t>
  </si>
  <si>
    <t>كابينة خرطوم حريق نوع FHC-2</t>
  </si>
  <si>
    <t>212200</t>
  </si>
  <si>
    <t xml:space="preserve">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t>
  </si>
  <si>
    <t>212201</t>
  </si>
  <si>
    <t>212200-01</t>
  </si>
  <si>
    <t>نظام إطفاء بغاز NOVEC-1230 مكون من أسطوانة بسعة قياسية 32 لتر مملوءه بوزن 18 كجم من الغاز.</t>
  </si>
  <si>
    <t>220000</t>
  </si>
  <si>
    <t>الأعمال الصحية ـ القسم رقم 22 : 
متطلبات عامة:
توريد وتركيب واختبار واتزان الأعمال الصحية والأنظمة الصحىة  شاملة مضادات الزلازل واعمال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الصحى واعمال الغاز كما هو مذكور بالتعاقد وتقديم كتالوجات التشغيل والصيانة خلال فترة تنفيذ المشروع وقطع الغيار اللازمة  والكتيبات اللازمة لأعمال الصحى حسب المدة المذكورة بالعقد بالاضافة الى عملية الربط مع المراحل الأخرى للمشروع كما هو موضح بالمواصفات والمخططات</t>
  </si>
  <si>
    <t>224000</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</si>
  <si>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t>
  </si>
  <si>
    <t>224000-01</t>
  </si>
  <si>
    <t>مرحاض غربي نوع (WC-4) شاملا" صندوق الطرد وكل ما يلزم.</t>
  </si>
  <si>
    <t>224000-02</t>
  </si>
  <si>
    <t>مرحاض شرقي نوع (WC-3) شاملا" صمام الطرد و كل ما يلزم</t>
  </si>
  <si>
    <t>224000-03</t>
  </si>
  <si>
    <t>مرحاض غربي خاص بذوى الاحتياجات الخاصه نوع (WC-4) شاملا" صمام الطرد و كل ما يلزم</t>
  </si>
  <si>
    <t>224000-04</t>
  </si>
  <si>
    <t>حوض غسيل ايدي من النوع الكاونتر نوع (LAV-2)</t>
  </si>
  <si>
    <t>224000-05</t>
  </si>
  <si>
    <t>حوض غسيل ايدي خاص بذوى الاحتياجات الخاصه مثبت علي الحائط نوع (LAV-2)</t>
  </si>
  <si>
    <t>224000-06</t>
  </si>
  <si>
    <t>طقم شاور (دش) ( SH ) شاملا الخلاط</t>
  </si>
  <si>
    <t>224000-07</t>
  </si>
  <si>
    <t>حوض مطبخ بوعاء واحد نوع  (BSF-1)</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</si>
  <si>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t>
  </si>
  <si>
    <t>221316-01</t>
  </si>
  <si>
    <t>221316-02</t>
  </si>
  <si>
    <t>221316-03</t>
  </si>
  <si>
    <t>توريد وتركيب واختبار أنابيب مياه الصرف الصحي من (PVC) توضع تحت البلاط ، فوق الاسقف المعلقة، في المناور وفي الجدران الخ. حسب الموضح بالمواصفات والمخططات</t>
  </si>
  <si>
    <t>221316-04</t>
  </si>
  <si>
    <t>توريد وتركيب واختبار أنابيب التهوية  من (PVC ) تحت الارض بما في ذلك الحفر والردم الخ. حسب الموضح بالمواصفات والمخططات</t>
  </si>
  <si>
    <t>221316-05</t>
  </si>
  <si>
    <t>توريد وتركيب واختبار أنابيب التهوية  من (PVC ) توضع تحت البلاط ، فوق الاسقف المعلقة، في المناور وفي الجدران الخ. حسب الموضح بالمواصفات والمخططات</t>
  </si>
  <si>
    <t>221316-06</t>
  </si>
  <si>
    <t>توريد وتركيب واختبار أنابيب تصريف مياه الامطار من  (PVC) توضع تحت البلاط ، فوق الاسقف المعلقة، في المناور وفي الجدران الخ. حسب الموضح بالمواصفات والمخططات</t>
  </si>
  <si>
    <t>221316-07</t>
  </si>
  <si>
    <t>221316-08</t>
  </si>
  <si>
    <t>توريد وتركيب واختبار أنابيب صرف أجهزة التكيف من  (PVC) توضع تحت الارض بما في ذلك الحفر والردم الخ. حسب الموضح بالمواصفات والمخططاتت</t>
  </si>
  <si>
    <t>221316-09</t>
  </si>
  <si>
    <t>توريد وتركيب واختبار أنابيب صرف أجهزة التكيف من  (PVC) توضع تحت البلاط ، فوق الاسقف المعلقة، في المناور وفي الجدران الخ. حسب الموضح بالمواصفات والمخططات</t>
  </si>
  <si>
    <t>221316-10</t>
  </si>
  <si>
    <t>قطر 20 مم</t>
  </si>
  <si>
    <t>221316-11</t>
  </si>
  <si>
    <t>221316-12</t>
  </si>
  <si>
    <t>221316-13</t>
  </si>
  <si>
    <t>221316-14</t>
  </si>
  <si>
    <t>221319</t>
  </si>
  <si>
    <t>الملحقات</t>
  </si>
  <si>
    <t>221319-01</t>
  </si>
  <si>
    <t>طبة تسليك ارضية (FCO), قياس قطر 80 مم</t>
  </si>
  <si>
    <t>221319-02</t>
  </si>
  <si>
    <t>طبة تسليك ارضية (FCO), قياس قطر 100 مم</t>
  </si>
  <si>
    <t>221319-03</t>
  </si>
  <si>
    <t>طبة تسليك (CO)  قياس قطر 25 مم</t>
  </si>
  <si>
    <t>221320</t>
  </si>
  <si>
    <t>221319-04</t>
  </si>
  <si>
    <t>طبة تسليك (CO)  قياس قطر 40 مم</t>
  </si>
  <si>
    <t>221319-05</t>
  </si>
  <si>
    <t xml:space="preserve">مصرف ارضي (FD-1 ), قياس قطر 80 مم </t>
  </si>
  <si>
    <t>221319-06</t>
  </si>
  <si>
    <t xml:space="preserve">مصرف ارضي (FD-2 ), قياس قطر 50 مم </t>
  </si>
  <si>
    <t>221319-07</t>
  </si>
  <si>
    <t>مصرف سطح جانبى (RD) , قطر 80 مم</t>
  </si>
  <si>
    <t>221319-08</t>
  </si>
  <si>
    <t>مصرف سطح (RD) , قطر 100 مم</t>
  </si>
  <si>
    <t>221319-09</t>
  </si>
  <si>
    <t xml:space="preserve">كوع تصريف مياه الامطار بمانع رش, مقاس 80 مم </t>
  </si>
  <si>
    <t>221319-10</t>
  </si>
  <si>
    <t xml:space="preserve">كوع تصريف مياه الامطار بمانع رش, مقاس 100 مم </t>
  </si>
  <si>
    <t>221319-11</t>
  </si>
  <si>
    <t>غطاء عمود تهويه بالسطح ( RVC ), قطر 50 مم</t>
  </si>
  <si>
    <t>223300</t>
  </si>
  <si>
    <t xml:space="preserve">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t>
  </si>
  <si>
    <t>223300-01</t>
  </si>
  <si>
    <t xml:space="preserve">سخان مياه كهرباء نوع B15-EWH-01 </t>
  </si>
  <si>
    <t>223300-02</t>
  </si>
  <si>
    <t>سخان مياه كهرباء نوع B15-EWH-02</t>
  </si>
  <si>
    <t>221116</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</si>
  <si>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t>
  </si>
  <si>
    <t>221116-01</t>
  </si>
  <si>
    <t>221117</t>
  </si>
  <si>
    <t>221116-02</t>
  </si>
  <si>
    <t>قطر50 مم</t>
  </si>
  <si>
    <t>توريد وتركيب واختبار مواسير تغذيه المياه البارده 
من (CPVC)  توضع تحت البلاط ، فوق الاسقف المعلقة، في المناور وفي الجدران الخ, حسب الموضح بالمواصفات والمخططات</t>
  </si>
  <si>
    <t>221116-03</t>
  </si>
  <si>
    <t>قطر 15 مم</t>
  </si>
  <si>
    <t>221116-04</t>
  </si>
  <si>
    <t>221116-05</t>
  </si>
  <si>
    <t>221116-06</t>
  </si>
  <si>
    <t>221116-07</t>
  </si>
  <si>
    <t>221116-08</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</si>
  <si>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t>
  </si>
  <si>
    <t>221116-09</t>
  </si>
  <si>
    <t>221116-10</t>
  </si>
  <si>
    <t>221116-11</t>
  </si>
  <si>
    <t>قطر32 مم</t>
  </si>
  <si>
    <t>221113</t>
  </si>
  <si>
    <t>221113-01</t>
  </si>
  <si>
    <t>صمام بوابة  قطر 25 مم</t>
  </si>
  <si>
    <t>221113-02</t>
  </si>
  <si>
    <t>صمام بوابة  قطر 40 مم</t>
  </si>
  <si>
    <t>221113-03</t>
  </si>
  <si>
    <t>صمام بوابة  قطر 50 مم</t>
  </si>
  <si>
    <t>221119</t>
  </si>
  <si>
    <t>221119-01</t>
  </si>
  <si>
    <t>حنفية غسيل ( HB ) بصمام بوابة قطر 20 مم</t>
  </si>
  <si>
    <t>221119-02</t>
  </si>
  <si>
    <t>فتحة تنفيس هواء اتوماتكية (AAV), قطر 20 مم</t>
  </si>
  <si>
    <t>221313</t>
  </si>
  <si>
    <t>الاعمال المدنية المرتبطة باعمال السباكة
الأعمال المدنيه شامله صناديق الخرسانه (  صندوق المحابس , عدادات المياه , بيارة صرف ,المطابق ,...الخ) شاملا" الحفر والردم , اعمال الخرسانه المسلحه , عزل المياه , الغطاء , الدرج ....الخ, كاملا" كما يلزم حسب الموضح بالمواصفات والمخططات.</t>
  </si>
  <si>
    <t>221313-01</t>
  </si>
  <si>
    <t xml:space="preserve">حفرة تشرب مياه تكثيف وحدات  التكييف (Soakaway pit), مقاس كما موضح بالمخططات  </t>
  </si>
  <si>
    <t>230000</t>
  </si>
  <si>
    <t>أعمال التدفئة و التھوية و تكييف الھواء ـ القسم رقم 23 : 
متطلبات عامة: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t>
  </si>
  <si>
    <t>238126</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</si>
  <si>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t>
  </si>
  <si>
    <t>238126-01</t>
  </si>
  <si>
    <t>وحدة نوع XFCU-A-E3-01/ACU-E3-01</t>
  </si>
  <si>
    <t>238126-02</t>
  </si>
  <si>
    <t>وحدة نوع XFCU-A-E15-01/ACU-E15-01</t>
  </si>
  <si>
    <t>238127</t>
  </si>
  <si>
    <t>238126-03</t>
  </si>
  <si>
    <t>وحدة نوع XFCU-A-E15-06/ACU-E15-06</t>
  </si>
  <si>
    <t>233416</t>
  </si>
  <si>
    <t xml:space="preserve">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t>
  </si>
  <si>
    <t>233416-01</t>
  </si>
  <si>
    <t>مراوح طرد هواء نوع B15-EF-A-01</t>
  </si>
  <si>
    <t>233416-02</t>
  </si>
  <si>
    <t>مراوح طرد هواء نوع B15-EF-A-02</t>
  </si>
  <si>
    <t>233416-03</t>
  </si>
  <si>
    <t>مراوح طرد هواء نوع B15-EF-A-03</t>
  </si>
  <si>
    <t>233416-04</t>
  </si>
  <si>
    <t>مراوح طرد هواء نوع B15-EF-A-04</t>
  </si>
  <si>
    <t>233416-05</t>
  </si>
  <si>
    <t>مراوح أدخال الهواء النقي نوع B15-FF-C-01</t>
  </si>
  <si>
    <t>233100</t>
  </si>
  <si>
    <t>أعمال مجاري الهواء
توريد وتركيب واختبار مجاري الهواء لنظام التتكييف والتهوية طبقا لمتطلبات SMACNA شاملاً الركائز، الوصلات، المنظمات الحجمية والحريق والدخان والمزوده بموتور بانواعها المختلفة ، ووصلة مجارى الهواء الراجع على شكل فوهة جرس بمقاستها المختلفة ,المنظمات، مواد منع الحريق ،وهياكل التدعيم والوصلات المرنه وعملية تنظيف وتطهير الصاج وكل اللوازام المرتبطه بالتوصيل كاملة حسب المخططات والمواصفات.</t>
  </si>
  <si>
    <t>233100-01</t>
  </si>
  <si>
    <t>مجاري هواء من الصلب المجلفن للهواء الداخل والراجع و النقي</t>
  </si>
  <si>
    <t>كجم</t>
  </si>
  <si>
    <t>233100-02</t>
  </si>
  <si>
    <t xml:space="preserve">مجاري  هواء من الصلب المجلفن  للهواء المطرود </t>
  </si>
  <si>
    <t>230713</t>
  </si>
  <si>
    <t>عزل مجاري الهواء
توريد وتركيب واختبار عزل مجاري الهواء شاملاً   الركائز، الوصلات،  التثبيتات والللوازم .....الخ  كاملة حسب المخططات والمواصفات.</t>
  </si>
  <si>
    <t>230713-01</t>
  </si>
  <si>
    <t xml:space="preserve">العزل ( بألياف زجاجية صلبة مع الألومنيوم بسمك 40مم وكثافة 24 كجم/م3 ) لمجاري التغذية و الراجع في الأماكن الداخلية  </t>
  </si>
  <si>
    <t xml:space="preserve">م2 </t>
  </si>
  <si>
    <t>230713-02</t>
  </si>
  <si>
    <t>تبطين داخلي بمادة الفيبر غلاس الماصة للصوت بدهان الأسطح الداخلية بلون أسود كاملة باللاصق و دبابيس التثبيت</t>
  </si>
  <si>
    <t>233713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</si>
  <si>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t>
  </si>
  <si>
    <t>مخرج هواء تغذية سقفي مربع SCD</t>
  </si>
  <si>
    <t>233713-01</t>
  </si>
  <si>
    <t xml:space="preserve">مخرج هواء تغذية سقفي مربع SCD-02/4   </t>
  </si>
  <si>
    <t>233713-02</t>
  </si>
  <si>
    <t xml:space="preserve">مخرج هواء تغذية سقفي مربع SCD-03/4   </t>
  </si>
  <si>
    <t>233713-03</t>
  </si>
  <si>
    <t xml:space="preserve">مخرج هواء تغذية سقفي مربع SCD-04/4   </t>
  </si>
  <si>
    <t>مخرج هواء راجع سقفي مربع RCD</t>
  </si>
  <si>
    <t>233713-04</t>
  </si>
  <si>
    <t xml:space="preserve">مخرج هواء راجع سقفي مربع RCD-02/4   </t>
  </si>
  <si>
    <t>233713-05</t>
  </si>
  <si>
    <t xml:space="preserve">مخرج هواء راجع سقفي مربع RCD-03/4   </t>
  </si>
  <si>
    <t>233713-06</t>
  </si>
  <si>
    <t xml:space="preserve">مخرج هواء راجع سقفي مربع RCD-04/4   </t>
  </si>
  <si>
    <t>مخرج هواء تغذية SR</t>
  </si>
  <si>
    <t>233713-07</t>
  </si>
  <si>
    <t xml:space="preserve">مخرج هواء تغذية  SR2   </t>
  </si>
  <si>
    <t>233714</t>
  </si>
  <si>
    <t>233713-08</t>
  </si>
  <si>
    <t>مخرج هواء تغذية  SR3</t>
  </si>
  <si>
    <t>233715</t>
  </si>
  <si>
    <t>233713-09</t>
  </si>
  <si>
    <t>مخرج هواء تغذية  SR5</t>
  </si>
  <si>
    <t>مخرج هواء راجع RR</t>
  </si>
  <si>
    <t>233713-10</t>
  </si>
  <si>
    <t xml:space="preserve">مخرج هواء راجع RR3   </t>
  </si>
  <si>
    <t>233713-11</t>
  </si>
  <si>
    <t>مخرج هواء راجع RR5</t>
  </si>
  <si>
    <t>مخرج هواء عادم ER</t>
  </si>
  <si>
    <t>233713-12</t>
  </si>
  <si>
    <t>مخرج هواء عادم ER1</t>
  </si>
  <si>
    <t>233713-13</t>
  </si>
  <si>
    <t>مخرج هواء عادم ER2</t>
  </si>
  <si>
    <t>233713-14</t>
  </si>
  <si>
    <t>مخرج هواء عادم ER5</t>
  </si>
  <si>
    <t>233713-15</t>
  </si>
  <si>
    <t>مخرج هواء عادم ER6</t>
  </si>
  <si>
    <t>239200</t>
  </si>
  <si>
    <t>اجهزة القياس والتحكم
انظمة التحكم والمراقبة للمبانى
توريد و تركيب و إختبار و تشغيل نظام إدارة المباني ( BMS ) للأعمال الكهروميكانيكية و لأنظمة السلامة و الأمان تلبية لمتطلبات المشروع, ونظام الـ(BMS) شاملا البرمجيات, أدوات التحكم, أجهزة الموقع, نقاط التحكم, الكابلات الموصلة بالأنظمة الأخرى, القنوات, صناديق السحب, نهايه خط المقاومه, صناديق التوصيل الإحتياطية, الإشتقاقات (derivations) و جميع لوازم التثبيت, هذه الأجهزة يجب توصيلها بشبكة الـ(IP) سواء كان الجهاز مهيئا للتوصيل المباشر أو عن طريق منفذ / جهاز توجيه. يجب أن تشمل أيضا على وحدات تحكم برمجية و تكاملية عند اللزوم و ذلك لتحقيق الإتصال و التفاعل بين هذه الأجهزة للأعمال الكهروميكانيكية و لأنظمة السلامة و الأمان , ترتيب هذه العمليات وفقا لنقاط المداخل و المخارج, كاملة حسب المواصفات والمخططات.</t>
  </si>
  <si>
    <t>239200-01</t>
  </si>
  <si>
    <t xml:space="preserve">نظام إدارة المباني ( BMS ) </t>
  </si>
  <si>
    <t>بند</t>
  </si>
  <si>
    <t>محطات التحكم في الدخان</t>
  </si>
  <si>
    <t>239200-02</t>
  </si>
  <si>
    <t>محطات التحكم في الدخان الخاصة برجال الإطفاء</t>
  </si>
  <si>
    <t>Total of Mechanical Works for The Fire Station Building = مجموع الأعمال الميكانيكية لمبنى الدفاع المدني</t>
  </si>
  <si>
    <t xml:space="preserve">أعمال الكهرباء </t>
  </si>
  <si>
    <t>260000</t>
  </si>
  <si>
    <t xml:space="preserve">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t>
  </si>
  <si>
    <t>260519</t>
  </si>
  <si>
    <t>كابلات و موصلات الطاقة الكهربائية للجھد المنخفض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t>
  </si>
  <si>
    <t xml:space="preserve">CU/XLPE/PVC كابل ذو عزل من نوع </t>
  </si>
  <si>
    <t>260519-01</t>
  </si>
  <si>
    <t xml:space="preserve">4 موصلات - 10 مم2+ 10 مم2 أرضى </t>
  </si>
  <si>
    <t xml:space="preserve"> م ط</t>
  </si>
  <si>
    <t>262416</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</si>
  <si>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t>
  </si>
  <si>
    <t>262416-01</t>
  </si>
  <si>
    <t>مرجع  EPP-GB15</t>
  </si>
  <si>
    <t>262416-02</t>
  </si>
  <si>
    <t>مرجع  PP-GB15</t>
  </si>
  <si>
    <t xml:space="preserve">  عدد</t>
  </si>
  <si>
    <t>262416-03</t>
  </si>
  <si>
    <t>مرجع  UPP-GB15</t>
  </si>
  <si>
    <t>263353</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</si>
  <si>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t>
  </si>
  <si>
    <t>263353-01</t>
  </si>
  <si>
    <t>مزود الطاقة الكهربائية الغير منقطعة , 15 ك.ف.أ , 30 دقيقة , 400 فولت , مرجع (UPS-GB15)</t>
  </si>
  <si>
    <t>262726</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</si>
  <si>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t>
  </si>
  <si>
    <t>262726-01</t>
  </si>
  <si>
    <t>مخرج قوى لزوم  XFCU/ACU-A-E15-01</t>
  </si>
  <si>
    <t>262726-02</t>
  </si>
  <si>
    <t>مخرج قوى لزوم  XFCU/ACU-A-E15-06</t>
  </si>
  <si>
    <t>262726-03</t>
  </si>
  <si>
    <t>مخرج قوى لزوم  XFCU/ACU-A-E3-01</t>
  </si>
  <si>
    <t>262726-04</t>
  </si>
  <si>
    <t>مخرج قوى لزوم  B15-EF-A-00</t>
  </si>
  <si>
    <t>262726-05</t>
  </si>
  <si>
    <t>مخرج قوى لزوم  B15-EF-A-01</t>
  </si>
  <si>
    <t>262726-06</t>
  </si>
  <si>
    <t>مخرج قوى لزوم  B15-EF-A-02</t>
  </si>
  <si>
    <t>262726-07</t>
  </si>
  <si>
    <t>مخرج قوى لزوم  B15-EF-A-03</t>
  </si>
  <si>
    <t>262726-08</t>
  </si>
  <si>
    <t>مخرج قوى لزوم  B15-EF-A-04</t>
  </si>
  <si>
    <t>262726-09</t>
  </si>
  <si>
    <t>مخرج قوى لزوم  B15-EWH-01</t>
  </si>
  <si>
    <t>262726-10</t>
  </si>
  <si>
    <t>مخرج قوى لزوم  B15-EWH-02</t>
  </si>
  <si>
    <t>262726-11</t>
  </si>
  <si>
    <t>مخرج قوى لزوم  B15-FF-C-01</t>
  </si>
  <si>
    <t>262726-12</t>
  </si>
  <si>
    <t>مخرج قوى لزوم  PA-R</t>
  </si>
  <si>
    <t>262726-13</t>
  </si>
  <si>
    <t>مخرج قوى لزوم  SCC</t>
  </si>
  <si>
    <t>264770</t>
  </si>
  <si>
    <t xml:space="preserve">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t>
  </si>
  <si>
    <t>264770-01</t>
  </si>
  <si>
    <t>مفتاح فصل التیار  بدون مصھر ، 16 أمبیر، ثنائى القطبیة ،  230 فولت ، ذو درجة حماية IP20</t>
  </si>
  <si>
    <t>264770-02</t>
  </si>
  <si>
    <t>مفتاح فصل التیار  بدون مصھر ، 16 أمبیر، ثنائى القطبیة ،  230 فولت ، ذو درجة حماية IP54</t>
  </si>
  <si>
    <t>264770-03</t>
  </si>
  <si>
    <t>مفتاح فصل التیار  بدون مصھر ، 16 أمبیر، ثنائى القطبیة ،  230 فولت ، ذو درجة حماية IP65</t>
  </si>
  <si>
    <t>264770-04</t>
  </si>
  <si>
    <t>مفتاح فصل التیار  بدون مصھر ، 20 أمبیر، ثنائى القطبیة ،  230 فولت ، ذو درجة حماية IP65</t>
  </si>
  <si>
    <t>264770-05</t>
  </si>
  <si>
    <t>مفتاح فصل التیار  بدون مصھر ، 25 أمبیر، ثنائى القطبیة ،  230 فولت ، ذو درجة حماية IP54</t>
  </si>
  <si>
    <t>264770-06</t>
  </si>
  <si>
    <t>مفتاح فصل التیار  مزود بمصھر ، 25 أمبیر، ثلاثى القطبیة ،  400 فولت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</si>
  <si>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t>
  </si>
  <si>
    <t>مأخذ مفرد، 13 أمبیر، 230 فولت، ثنائى القطبية بوصلة ارضى، مثبت بالحائط، ذو درجة حماية IP20</t>
  </si>
  <si>
    <t>مأخذ مفرد، 13 أمبیر، 230 فولت، ثنائى القطبية بوصلة ارضى، مثبت بالحائط، و مقاوم للعوامل الجویة ، ذو درجة حماية IP65</t>
  </si>
  <si>
    <t>مأخذ مفرد، 13 أمبیر، 230 فولت، ثنائى القطبية بوصلة ارضى، مثبت بالحائط و موصل على دائرة الطوارئ و بلون مختلف ، ذو درجة حماية IP20</t>
  </si>
  <si>
    <t>مأخذ مفرد، 13 أمبیر، 230 فولت، ثنائى القطبية بوصلة ارضى، مثبت بالحائط ، موصل على دائرة الطوارئ و بلون مختلف و مقاوم للعوامل الجویة ، ذو درجة حماية IP65</t>
  </si>
  <si>
    <t>مأخذ مفرد، 13 أمبیر، 230 فولت، ثنائى القطبية بوصلة ارضى، مثبت بالحائط ،  لزوم الثلاجة ، موصل على دائرة الطوارئ و بلون مختلف و مقاوم للعوامل الجویة ، ذو درجة حماية IP65</t>
  </si>
  <si>
    <t>مأخذ مفرد، 15 أمبیر، 230 فولت، ثنائى القطبية بوصلة ارضى، مثبت بالحائط فوق مستوى سطح الكاونتر و مقاوم للعوامل الجویة ، ذو درجة حماية IP65</t>
  </si>
  <si>
    <t>مأخذ مزدوج، 13 أمبیر، 230 فولت، ثنائى القطبية بوصلة ارضى، مثبت بالحائط ، ذو درجة حماية IP20</t>
  </si>
  <si>
    <t>مأخذ مزدوج، 13 أمبیر، 230 فولت، ثنائى القطبية بوصلة ارضى، مثبت بالحائط ، ذو درجة حماية IP20 لزوم التليفزيون</t>
  </si>
  <si>
    <t>مأخذ مزدوج، 13 أمبیر، 230 فولت،  ثنائى القطبية بوصلة ارضى ، مثبت بالحائط ، موصل على دائرة الطوارئ و بلون مختلف ، ذو درجة حماية IP20</t>
  </si>
  <si>
    <t xml:space="preserve">مأخذ مزدوج، 13 أمبیر، 230 فولت، ثنائى القطبية بوصلة ارضى، مثبت بالحائط ، موصل على دائرة UPS و بلون مختلف ، ذو درجة حماية IP20 </t>
  </si>
  <si>
    <t>260533</t>
  </si>
  <si>
    <t xml:space="preserve">صناديق التوصيل (خاصة بمنظومة القوى)
توريد وتركيب واختبار وتسليم صناديق التوصيل و تشمل المواسير, الصناديق و الأسلاك  حتى  لوحات  التوزيع  وكل  ما يلزم  لاستكمال الاعمال كما هو موضح بالمخططات والمواصفات الفنية وطبقا لأصول الصناعة. </t>
  </si>
  <si>
    <t>260533-01</t>
  </si>
  <si>
    <t>صندوق توصيل مثبت بالحائط</t>
  </si>
  <si>
    <t>265119</t>
  </si>
  <si>
    <t xml:space="preserve">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t>
  </si>
  <si>
    <t>265119-01</t>
  </si>
  <si>
    <t>نوع - A1</t>
  </si>
  <si>
    <t>265119-02</t>
  </si>
  <si>
    <t>نوع - A2</t>
  </si>
  <si>
    <t>265119-03</t>
  </si>
  <si>
    <t>نوع - A2E</t>
  </si>
  <si>
    <t>265119-04</t>
  </si>
  <si>
    <t>نوع - A4</t>
  </si>
  <si>
    <t>265119-05</t>
  </si>
  <si>
    <t>نوع - A4E</t>
  </si>
  <si>
    <t>265119-06</t>
  </si>
  <si>
    <t>نوع - A6</t>
  </si>
  <si>
    <t>265119-07</t>
  </si>
  <si>
    <t>نوع - A6E</t>
  </si>
  <si>
    <t>265119-08</t>
  </si>
  <si>
    <t>نوع - A15</t>
  </si>
  <si>
    <t>265119-09</t>
  </si>
  <si>
    <t>نوع - A15E</t>
  </si>
  <si>
    <t>265119-10</t>
  </si>
  <si>
    <t>نوع - A16</t>
  </si>
  <si>
    <t>265119-11</t>
  </si>
  <si>
    <t>نوع - A16E</t>
  </si>
  <si>
    <t>265119-12</t>
  </si>
  <si>
    <t>نوع - B2</t>
  </si>
  <si>
    <t>265119-13</t>
  </si>
  <si>
    <t>نوع - B2E</t>
  </si>
  <si>
    <t>265119-14</t>
  </si>
  <si>
    <t>نوع - B4</t>
  </si>
  <si>
    <t>265119-15</t>
  </si>
  <si>
    <t>نوع - B4E</t>
  </si>
  <si>
    <t>265119-16</t>
  </si>
  <si>
    <t>نوع - B5</t>
  </si>
  <si>
    <t>265119-17</t>
  </si>
  <si>
    <t>نوع - B5E</t>
  </si>
  <si>
    <t>265119-18</t>
  </si>
  <si>
    <t>نوع - W2</t>
  </si>
  <si>
    <t>265119-19</t>
  </si>
  <si>
    <t>نوع - EX1</t>
  </si>
  <si>
    <t>265119-20</t>
  </si>
  <si>
    <t>نوع - EX2</t>
  </si>
  <si>
    <t>265119-21</t>
  </si>
  <si>
    <t>نوع - EX5</t>
  </si>
  <si>
    <t>262717</t>
  </si>
  <si>
    <t xml:space="preserve">مخارج وحدات الإنارة
توريد وتركيب واختبار وتسليم مخارج وحدات الإنارة و تشمل على الأسلاك ومواسير التوصيل وصناديق المناولة لتوصيل الدوائر بلوحاتها المخصصة وكل ما يلزم لاستكمال الاعمال كما هو موضح بالمخططات والمواصفات الفنية وطبقا لأصول الصناعة. </t>
  </si>
  <si>
    <t>262717-01</t>
  </si>
  <si>
    <t>مخارج وحدات الانارة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</si>
  <si>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t>
  </si>
  <si>
    <t>مفتاح اتجاه واحد، بلقمة واحدة, 230 فولت ، 10 أمبير</t>
  </si>
  <si>
    <t>مفتاح اتجاهين، بلقمة واحدة, 230 فولت ، 10 أمبير ومقاوم للعوامل الجوية</t>
  </si>
  <si>
    <t>حساس إشغال</t>
  </si>
  <si>
    <t>لوحات التحكم في الاضاءة
توريد وتركيب واختبار وتسليم لوحات التحكم في الاضاءة التي تشتمل على جميع الأسلاك والمواسير والتوصيل وكل ما يلزم لاستكمال الاعمال كما هو موضح بالمخططات والمواصفات الفنية وطبقا لأصول الصناعة.</t>
  </si>
  <si>
    <t>مرجع LCP-GB15</t>
  </si>
  <si>
    <t>260526</t>
  </si>
  <si>
    <t>نظام التأريض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t>
  </si>
  <si>
    <t>260526-01</t>
  </si>
  <si>
    <t>لزوم الشبكة الكاملة للتأريض اللازمة للوصول إلى المقاومة الأرضية المطلوبة</t>
  </si>
  <si>
    <t>260526-02</t>
  </si>
  <si>
    <t xml:space="preserve"> لزوم شبكة تأريض أنظمة التيار الخفيف بالمبنى
(clean earth)</t>
  </si>
  <si>
    <t>Total of Electrical Works for The Fire Station Building = مجموع الأعمال الكهربائية لمبنى الدفاع المدني</t>
  </si>
  <si>
    <t>أعمال الإتصالات</t>
  </si>
  <si>
    <t>270000</t>
  </si>
  <si>
    <t>أعمال الاتصالات ـ القسم رقم 27 :
متطلبات عامة :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t>
  </si>
  <si>
    <t xml:space="preserve">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t>
  </si>
  <si>
    <t>277350</t>
  </si>
  <si>
    <t>المكونات النشطة</t>
  </si>
  <si>
    <t>277350-01</t>
  </si>
  <si>
    <t xml:space="preserve">وحدة تجميع وتحكم فرعية سعة 48 مخرج (POE Gig-E switch) </t>
  </si>
  <si>
    <t>277350-02</t>
  </si>
  <si>
    <t>نقطة دخول لاسلكية ، تثبت بالسقف</t>
  </si>
  <si>
    <t>المكونات الغير النشطة</t>
  </si>
  <si>
    <t>271500-01</t>
  </si>
  <si>
    <t xml:space="preserve">كابينة اتصالات فرعية - 15 وحدة - مقاس (600 × 600مم) ، مزودة بحامل 19 بوصة ، شاملا كافة الاكسسوارات الضرورية </t>
  </si>
  <si>
    <t>271500-02</t>
  </si>
  <si>
    <t xml:space="preserve">لوحة تجميع كابلات (Patch Panel) ذات 48 منفذ لكابلات CAT6A  شاملة على Patch cords ووحدة ادارة الكابلات وكافة الاكسسوارات الضرورية </t>
  </si>
  <si>
    <t>271500-03</t>
  </si>
  <si>
    <t xml:space="preserve">لوحة تجميع كابلات (Patch Panel) للالياف الضوئية شاملة على Patch cords و كافة الاكسسوارات الضرورية </t>
  </si>
  <si>
    <t>271500-04</t>
  </si>
  <si>
    <t>مخرج اتصالات (1 بيانات) ، من النوع (RJ45) ، بكابلات (CAT6A) ، مثبت بالحائط على ارتفاع 300مم فوق مستوى التشطيب</t>
  </si>
  <si>
    <t>271500-05</t>
  </si>
  <si>
    <t>مخرج اتصالات (1 بيانات) ، من النوع (RJ45) ، بكابلات (CAT6A) ، مثبت بالحائط ، لزوم نظام التحكم بالابواب</t>
  </si>
  <si>
    <t>271500-06</t>
  </si>
  <si>
    <t>مخرج اتصالات (1 هاتف) ، من النوع (RJ45) ، بكابلات (CAT6A) ، مثبت بالحائط على ارتفاع 300مم فوق مستوى التشطيب لزوم وحدات الهاتف</t>
  </si>
  <si>
    <t>271500-07</t>
  </si>
  <si>
    <t>مخرج اتصالات (1 هاتف) ، من النوع (RJ45) ، بكابلات (CAT6A) ، مثبت بالحائط على ارتفاع 1200مم فوق مستوى التشطيب لزوم وحدات الهاتف</t>
  </si>
  <si>
    <t>271500-08</t>
  </si>
  <si>
    <t>مخرج اتصالات (1 بيانات) ، من النوع (RJ45) ، بكابلات (CAT6A) ، مثبت بالحائط ، على ارتفاع 1500مم فوق مستوى التشطيب لزوم نظام التليفزيون</t>
  </si>
  <si>
    <t>271500-09</t>
  </si>
  <si>
    <t>مخرج اتصالات (1 بيانات) ، من النوع (RJ45) ، بكابلات (CAT6A) ، مثبت فوق السقف المستعار ، لزوم  نظام نقطة الوصول اللاسلكية</t>
  </si>
  <si>
    <t>271500-10</t>
  </si>
  <si>
    <t>مخرج اتصالات (2 بيانات) ، من النوع (RJ45) ، بكابلات (CAT6A) ، مثبت بالحائط ، على ارتفاع 300مم فوق مستوى التشطيب</t>
  </si>
  <si>
    <t>271500-11</t>
  </si>
  <si>
    <t>مخرج اتصالات (2 هاتف) ، من النوع (RJ45) ، بكابلات (CAT6A) ، مثبت بالحائط ، على ارتفاع 300مم فوق مستوى التشطيب لزوم وحدات الهاتف</t>
  </si>
  <si>
    <t>271500-12</t>
  </si>
  <si>
    <t>مخرج اتصالات (2 بيانات) ، من النوع (RJ45) ، بكابلات (CAT6A) ، مثبت بالحائط ، على ارتفاع 1200مم فوق مستوى التشطيب لزوم نظام BMS</t>
  </si>
  <si>
    <t>271500-13</t>
  </si>
  <si>
    <t xml:space="preserve">مخرج اتصالات (1 بيانات) ، من النوع (RJ45) ، بكابلات (CAT6A) ، و المخرج شامل لصندوق خلفى من الصلب مقاس 100 × 100 × 55 مم ، لزوم نظام CCTV </t>
  </si>
  <si>
    <t>273000</t>
  </si>
  <si>
    <t xml:space="preserve">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t>
  </si>
  <si>
    <t>273000-01</t>
  </si>
  <si>
    <t>وحدة هاتف من النوع IP</t>
  </si>
  <si>
    <t>273000-02</t>
  </si>
  <si>
    <t>وحدة هاتف من النوع IP - تثبت بالحائط</t>
  </si>
  <si>
    <t>277860</t>
  </si>
  <si>
    <t xml:space="preserve">نظام التلفزيون (IPTV)
توريد وتركيب واختبار وتشغيل نظام التلفزيون (IPTV) شاملا عدة التثبيت و الاجهزة و البرمجة و التراخيص والتوصيل المطلوب بالانظمة الاخرى وكافة ما يلزم من اكسسوارات لاتمام الاعمال حسب المطلوب و كما هو موضح بالمخططات و المواصفات وباعتماد المهندس </t>
  </si>
  <si>
    <t>277860-01</t>
  </si>
  <si>
    <t>جهاز فك التشفير IPTV Set top box</t>
  </si>
  <si>
    <t>277860-02</t>
  </si>
  <si>
    <t>شاشة تلفزيون IPTV</t>
  </si>
  <si>
    <t>277860-03</t>
  </si>
  <si>
    <t>جهاز تحكم عن بعد متعدد الوظائف</t>
  </si>
  <si>
    <t>275116</t>
  </si>
  <si>
    <t xml:space="preserve">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t>
  </si>
  <si>
    <t>275116-01</t>
  </si>
  <si>
    <t>حامل نظام الاذاعة الداخلية / الاخلاء الصوتي - 19 بوصة - 27 وحدة شاملا كافة الاكسسوارات الضرورية</t>
  </si>
  <si>
    <t>275116-02</t>
  </si>
  <si>
    <t>وحدة مصفوفة للتحكم في الصوت</t>
  </si>
  <si>
    <t>275116-03</t>
  </si>
  <si>
    <t xml:space="preserve">مكبرالصوت قدرة 240 وات </t>
  </si>
  <si>
    <t>275116-04</t>
  </si>
  <si>
    <t>مكبرالصوت قدرة 240 وات - احتياطي</t>
  </si>
  <si>
    <t>275116-05</t>
  </si>
  <si>
    <t>وحدة توزيع الكهرباء</t>
  </si>
  <si>
    <t>275116-06</t>
  </si>
  <si>
    <t xml:space="preserve">مصدر إمداد طاقة مزود ببطاريات احتياطية </t>
  </si>
  <si>
    <t>275116-07</t>
  </si>
  <si>
    <t>ميكروفون للنداء متعدد المناطق من النوع المكتبى</t>
  </si>
  <si>
    <t>282300</t>
  </si>
  <si>
    <t>275116-08</t>
  </si>
  <si>
    <t>محطة عمل لنظام الاذاعة الداخلية شاملة ترخيص البرامج</t>
  </si>
  <si>
    <r>
      <t>توريد وتركيب واختبار وتشغيل سماعات صوت شاملة كابلات السماعات (2×1.5مم</t>
    </r>
    <r>
      <rPr>
        <b/>
        <u/>
        <vertAlign val="superscript"/>
        <sz val="14"/>
        <color theme="1"/>
        <rFont val="Calibri"/>
        <family val="2"/>
        <scheme val="minor"/>
      </rPr>
      <t>2</t>
    </r>
    <r>
      <rPr>
        <b/>
        <u/>
        <sz val="14"/>
        <color theme="1"/>
        <rFont val="Calibri"/>
        <family val="2"/>
        <scheme val="minor"/>
      </rPr>
      <t>) من النوع shielded والمواسير وعلب السحب والتوصيل وجميع الملحقات الضرورية</t>
    </r>
  </si>
  <si>
    <t>275116-09</t>
  </si>
  <si>
    <t>سماعة صوت مثبتة بالسقف قدرة (1.5 / 3 / 6) وات مع قبة خلفية للعزل و الحماية من الحريق (fire dome)</t>
  </si>
  <si>
    <t>275116-10</t>
  </si>
  <si>
    <t>سماعة من النوع البوقي (30 وات) من النوع المقاوم للعوامل الجوية (IP65) مثبت بالحائط</t>
  </si>
  <si>
    <t>Total of Communications Works for The Fire Station Building = مجموع أعمال الإتصالات لمبنى الدفاع المدني</t>
  </si>
  <si>
    <t>أعمال السلامة و الأمن الإلكترونية</t>
  </si>
  <si>
    <t>280000</t>
  </si>
  <si>
    <t>أعمال السلامة و الأمن الإلكترونية ـ القسم رقم 28 :
متطلبات عامة :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t>
  </si>
  <si>
    <t>283111</t>
  </si>
  <si>
    <t xml:space="preserve">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t>
  </si>
  <si>
    <t>283111-01</t>
  </si>
  <si>
    <t>لوحة تحكم رئيسية للإنذار ضد الحريق من النوع الذكى المعنون شاملة جميع الملحقات وحدة الاتصال الالى ATD و خط الهاتف (جهاز اتصال إنذار رقمي) و أعمال الربط مع الأنظمة الأخرى، مرجع (MFACP)</t>
  </si>
  <si>
    <t>283111-02</t>
  </si>
  <si>
    <t>لوحة تحكم للإنذار ضد الحريق من النوع الذكى المعنون
 (3 حلقات + 1 حلقة احتياطية) شاملا البطارية و شاحن البطارية، جهاز الحماية من زيادة التيار و جميع الاكسسوارات اللازمة</t>
  </si>
  <si>
    <t>283111-03</t>
  </si>
  <si>
    <t>لوحة مذيع انذار الحريق</t>
  </si>
  <si>
    <t>283111-04</t>
  </si>
  <si>
    <t>محطة عمل لزوم نظام الكشف والإنذار عن الحريق (واجهة المستخدم الرسومية) , شاملا شاشة LED مقاس 55 بوصة</t>
  </si>
  <si>
    <t>283111-05</t>
  </si>
  <si>
    <t>طابعة تسجيل الأحداث</t>
  </si>
  <si>
    <t>283111-06</t>
  </si>
  <si>
    <t xml:space="preserve">لوحة اتصالات الطوارئ ثنائية الاتجاه </t>
  </si>
  <si>
    <t>283111-07</t>
  </si>
  <si>
    <t>كابينة هواتف محمولة لزوم مكافحة الحريق (5 مجموعات)</t>
  </si>
  <si>
    <t>توريد وتركيب واختبار وتشغيل معدات إنذار الحريق الاتية شاملة الكابلات والمواسير وجميع الاعمال اللازمة للتركيب والتشغيل : والبند  يشمل ولا يقتصر على:</t>
  </si>
  <si>
    <t>283111-08</t>
  </si>
  <si>
    <t>كاشف دخان بصرى معنون</t>
  </si>
  <si>
    <t>283111-09</t>
  </si>
  <si>
    <t>كاشف دخان بصرى معنون ، مزود بقاعدة صوتية و فلاشر</t>
  </si>
  <si>
    <t>283111-10</t>
  </si>
  <si>
    <t>كاشف حرارة معنون</t>
  </si>
  <si>
    <t>283111-11</t>
  </si>
  <si>
    <t>كاشف حرارة بمعدل تعويض درجة الحرارة، من النوع المقاوم للعوامل الجوية</t>
  </si>
  <si>
    <t>283111-12</t>
  </si>
  <si>
    <t>كاشف دخان بصرى معنون ، يثبت  فوق السقف المستعار</t>
  </si>
  <si>
    <t>283111-13</t>
  </si>
  <si>
    <t>محطة نداء يدوية للإنذار ضد الحريق</t>
  </si>
  <si>
    <t>283111-14</t>
  </si>
  <si>
    <t>محطة نداء يدوية للإنذار ضد الحريق ، من النوع المقاوم للعوامل الجوية</t>
  </si>
  <si>
    <t>283111-15</t>
  </si>
  <si>
    <t>وحدة انذار صوتية مزودة بوحدة اضاءة متقطعة</t>
  </si>
  <si>
    <t>283111-16</t>
  </si>
  <si>
    <t>وحدة انذار صوتية مزودة بوحدة اضاءة متقطعة، من النوع المقاوم للعوامل الجوية</t>
  </si>
  <si>
    <t>283111-17</t>
  </si>
  <si>
    <t>وحده تحكم معنونة</t>
  </si>
  <si>
    <t>283111-18</t>
  </si>
  <si>
    <t>وحده مراقبة معنونة</t>
  </si>
  <si>
    <t>283111-19</t>
  </si>
  <si>
    <t>وحده عزل أعطال (FI)</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</si>
  <si>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t>
  </si>
  <si>
    <t>282300-01</t>
  </si>
  <si>
    <t xml:space="preserve">كاميرا مراقبة مقببه ثابتة من النوع IP - تثبت بالسقف ، مزودة بحماية ضد التخريب - 5 ميجا بيكسل  </t>
  </si>
  <si>
    <t>282300-02</t>
  </si>
  <si>
    <t>كاميرا مراقبة ثابتة من النوع IP و تثبت بالحائط (للاستعمال الخارجي) ، تعمل بالأشعة  تحت الحمراء - مقاومة للعوامل الجوية (5 ميجا بيكسل)</t>
  </si>
  <si>
    <t>281300</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</si>
  <si>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t>
  </si>
  <si>
    <t>281300-01</t>
  </si>
  <si>
    <t>وحدة التحكم بالابواب (ACP) شاملا وحدة الإمداد بالطاقة و البطاريات و كافة الاكسسوارات الضرورية</t>
  </si>
  <si>
    <t>281300-02</t>
  </si>
  <si>
    <t>وحدة قارئ الكروت من النوع Proximity</t>
  </si>
  <si>
    <t>281300-03</t>
  </si>
  <si>
    <t xml:space="preserve">وحدة قارئ الكروت من النوع Proximity ، و مقاومة للعوامل الجوية </t>
  </si>
  <si>
    <t>281300-04</t>
  </si>
  <si>
    <t>قفل باب من النوع الكهرومغناطيسي مزود ببيان حالة الباب</t>
  </si>
  <si>
    <t>281300-05</t>
  </si>
  <si>
    <t>زر طلب الخروج</t>
  </si>
  <si>
    <t>281300-06</t>
  </si>
  <si>
    <t>وحدة كسر الزجاج في حالات الطوارئ</t>
  </si>
  <si>
    <t xml:space="preserve"> مجموع أعمال السلامة و الأمن الإلكترونية لمبنى الدفاع المدني </t>
  </si>
  <si>
    <t xml:space="preserve">مجموع أعمال مبنى الدفاع المدني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</si>
</sst>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23"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8"/>
      <name val="Calibri"/>
      <family val="2"/>
      <scheme val="minor"/>
    </font>
    <font>
      <b/>
      <sz val="14"/>
      <name val="Arial (Arabic)"/>
      <charset val="178"/>
    </font>
    <font>
      <b/>
      <sz val="14"/>
      <color indexed="8"/>
      <name val="Calibri"/>
      <family val="2"/>
      <scheme val="minor"/>
    </font>
    <font>
      <sz val="14"/>
      <name val="Calibri"/>
      <family val="2"/>
      <scheme val="minor"/>
    </font>
    <font>
      <b/>
      <sz val="12"/>
      <name val="Arial (Arabic)"/>
      <charset val="178"/>
    </font>
    <font>
      <b/>
      <sz val="14"/>
      <name val="Calibri"/>
      <family val="2"/>
      <scheme val="minor"/>
    </font>
    <font>
      <sz val="10"/>
      <color indexed="8"/>
      <name val="Arial"/>
      <family val="2"/>
    </font>
    <font>
      <b/>
      <u/>
      <sz val="14"/>
      <name val="Calibri"/>
      <family val="2"/>
      <scheme val="minor"/>
    </font>
    <font>
      <sz val="14"/>
      <color rgb="FFFF0000"/>
      <name val="Calibri"/>
      <family val="2"/>
      <scheme val="minor"/>
    </font>
    <font>
      <sz val="14"/>
      <color rgb="FFFF0000"/>
      <name val="Arial"/>
      <family val="2"/>
    </font>
    <font>
      <sz val="14"/>
      <name val="Arial"/>
      <family val="2"/>
    </font>
    <font>
      <sz val="11"/>
      <color rgb="FF00B050"/>
      <name val="Calibri"/>
      <family val="2"/>
      <scheme val="minor"/>
    </font>
    <font>
      <sz val="14"/>
      <color rgb="FF00B050"/>
      <name val="Calibri"/>
      <family val="2"/>
      <scheme val="minor"/>
    </font>
    <font>
      <sz val="14"/>
      <color theme="1"/>
      <name val="Calibri"/>
      <family val="2"/>
      <scheme val="minor"/>
    </font>
    <font>
      <sz val="10"/>
      <name val="Arial"/>
      <family val="2"/>
    </font>
    <font>
      <b/>
      <u/>
      <sz val="14"/>
      <color theme="1"/>
      <name val="Calibri"/>
      <family val="2"/>
      <scheme val="minor"/>
    </font>
    <font>
      <b/>
      <sz val="16"/>
      <name val="Calibri"/>
      <family val="2"/>
      <scheme val="minor"/>
    </font>
    <font>
      <b/>
      <sz val="16"/>
      <color rgb="FFFF0000"/>
      <name val="Calibri"/>
      <family val="2"/>
      <scheme val="minor"/>
    </font>
    <font>
      <b/>
      <u/>
      <vertAlign val="superscript"/>
      <sz val="14"/>
      <color theme="1"/>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theme="3" tint="0.79998168889431442"/>
        <bgColor indexed="0"/>
      </patternFill>
    </fill>
    <fill>
      <patternFill patternType="solid">
        <fgColor rgb="FF92D050"/>
        <bgColor indexed="0"/>
      </patternFill>
    </fill>
    <fill>
      <patternFill patternType="solid">
        <fgColor theme="0"/>
        <bgColor indexed="64"/>
      </patternFill>
    </fill>
    <fill>
      <patternFill patternType="solid">
        <fgColor theme="4" tint="0.79995117038483843"/>
        <bgColor indexed="64"/>
      </patternFill>
    </fill>
    <fill>
      <patternFill patternType="solid">
        <fgColor rgb="FFFFFF00"/>
        <bgColor indexed="64"/>
      </patternFill>
    </fill>
    <fill>
      <patternFill patternType="solid">
        <fgColor rgb="FF99FF33"/>
        <bgColor indexed="64"/>
      </patternFill>
    </fill>
    <fill>
      <patternFill patternType="solid">
        <fgColor rgb="FF92D050"/>
        <bgColor indexed="64"/>
      </patternFill>
    </fill>
    <fill>
      <patternFill patternType="solid">
        <fgColor rgb="FF00B0F0"/>
        <bgColor indexed="0"/>
      </patternFill>
    </fill>
    <fill>
      <patternFill patternType="solid">
        <fgColor rgb="FF00B0F0"/>
        <bgColor indexed="64"/>
      </patternFill>
    </fill>
    <fill>
      <patternFill patternType="solid">
        <fgColor rgb="FFFFFF99"/>
        <bgColor indexed="0"/>
      </patternFill>
    </fill>
    <fill>
      <patternFill patternType="solid">
        <fgColor theme="0" tint="-0.14999847407452621"/>
        <bgColor indexed="64"/>
      </patternFill>
    </fill>
    <fill>
      <patternFill patternType="solid">
        <fgColor rgb="FFFFFF99"/>
        <bgColor indexed="64"/>
      </patternFill>
    </fill>
    <fill>
      <patternFill patternType="solid">
        <fgColor rgb="FFFFC000"/>
        <bgColor indexed="0"/>
      </patternFill>
    </fill>
    <fill>
      <patternFill patternType="solid">
        <fgColor rgb="FFFFC000"/>
        <bgColor indexed="64"/>
      </patternFill>
    </fill>
    <fill>
      <patternFill patternType="solid">
        <fgColor theme="9" tint="0.59999389629810485"/>
        <bgColor indexed="0"/>
      </patternFill>
    </fill>
    <fill>
      <patternFill patternType="solid">
        <fgColor theme="9" tint="0.59999389629810485"/>
        <bgColor indexed="64"/>
      </patternFill>
    </fill>
    <fill>
      <patternFill patternType="solid">
        <fgColor theme="4"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dotted">
        <color auto="1"/>
      </bottom>
      <diagonal/>
    </border>
    <border>
      <left style="thin">
        <color indexed="64"/>
      </left>
      <right style="thin">
        <color indexed="64"/>
      </right>
      <top style="dotted">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dotted">
        <color indexed="64"/>
      </top>
      <bottom/>
      <diagonal/>
    </border>
  </borders>
  <cellStyleXfs count="7">
    <xf numFmtId="0" fontId="0" fillId="0" borderId="0"/>
    <xf numFmtId="43" fontId="1" fillId="0" borderId="0" applyFont="0" applyFill="0" applyBorder="0" applyAlignment="0" applyProtection="0"/>
    <xf numFmtId="0" fontId="1" fillId="0" borderId="0"/>
    <xf numFmtId="0" fontId="10" fillId="0" borderId="0"/>
    <xf numFmtId="0" fontId="18" fillId="0" borderId="0"/>
    <xf numFmtId="43" fontId="1" fillId="0" borderId="0" applyFont="0" applyFill="0" applyBorder="0" applyAlignment="0" applyProtection="0"/>
    <xf numFmtId="0" fontId="18" fillId="0" borderId="0"/>
  </cellStyleXfs>
  <cellXfs count="258">
    <xf numFmtId="0" fontId="0" fillId="0" borderId="0" xfId="0"/>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2" fontId="3" fillId="0" borderId="0" xfId="0" applyNumberFormat="1" applyFont="1" applyAlignment="1">
      <alignment horizontal="center" vertical="center" wrapText="1"/>
    </xf>
    <xf numFmtId="4" fontId="3" fillId="0" borderId="0" xfId="0" applyNumberFormat="1" applyFont="1" applyAlignment="1">
      <alignment horizontal="center" vertical="center" wrapText="1"/>
    </xf>
    <xf numFmtId="43" fontId="3" fillId="0" borderId="0" xfId="1" applyFont="1" applyAlignment="1">
      <alignment wrapText="1"/>
    </xf>
    <xf numFmtId="0" fontId="3" fillId="0" borderId="0" xfId="0" applyFont="1" applyAlignment="1">
      <alignment wrapText="1"/>
    </xf>
    <xf numFmtId="0" fontId="4" fillId="2" borderId="0" xfId="0" applyFont="1" applyFill="1" applyBorder="1" applyAlignment="1" applyProtection="1">
      <alignment horizontal="center" vertical="center" wrapText="1" readingOrder="2"/>
    </xf>
    <xf numFmtId="49" fontId="5" fillId="3" borderId="2" xfId="0" applyNumberFormat="1" applyFont="1" applyFill="1" applyBorder="1" applyAlignment="1" applyProtection="1">
      <alignment horizontal="center" vertical="center" wrapText="1"/>
    </xf>
    <xf numFmtId="0" fontId="5" fillId="3" borderId="2" xfId="0" applyFont="1" applyFill="1" applyBorder="1" applyAlignment="1" applyProtection="1">
      <alignment horizontal="center" vertical="center" wrapText="1"/>
    </xf>
    <xf numFmtId="0" fontId="6" fillId="3" borderId="2" xfId="0" applyFont="1" applyFill="1" applyBorder="1" applyAlignment="1" applyProtection="1">
      <alignment horizontal="center" vertical="center" wrapText="1"/>
    </xf>
    <xf numFmtId="2" fontId="5" fillId="3" borderId="2" xfId="0" applyNumberFormat="1" applyFont="1" applyFill="1" applyBorder="1" applyAlignment="1" applyProtection="1">
      <alignment horizontal="center" vertical="center" wrapText="1"/>
    </xf>
    <xf numFmtId="4" fontId="5" fillId="3" borderId="2" xfId="0" applyNumberFormat="1" applyFont="1" applyFill="1" applyBorder="1" applyAlignment="1" applyProtection="1">
      <alignment horizontal="center" vertical="center" wrapText="1"/>
    </xf>
    <xf numFmtId="49" fontId="5" fillId="3" borderId="2" xfId="0" applyNumberFormat="1" applyFont="1" applyFill="1" applyBorder="1" applyAlignment="1">
      <alignment horizontal="center" vertical="center" wrapText="1"/>
    </xf>
    <xf numFmtId="43" fontId="7" fillId="0" borderId="0" xfId="1" applyFont="1" applyAlignment="1">
      <alignment wrapText="1"/>
    </xf>
    <xf numFmtId="0" fontId="7" fillId="0" borderId="0" xfId="0" applyFont="1" applyAlignment="1">
      <alignment wrapText="1"/>
    </xf>
    <xf numFmtId="49" fontId="8" fillId="3" borderId="2" xfId="0" applyNumberFormat="1" applyFont="1" applyFill="1" applyBorder="1" applyAlignment="1" applyProtection="1">
      <alignment horizontal="center" vertical="center" wrapText="1"/>
    </xf>
    <xf numFmtId="0" fontId="8" fillId="3" borderId="2" xfId="0" applyFont="1" applyFill="1" applyBorder="1" applyAlignment="1" applyProtection="1">
      <alignment horizontal="center" vertical="center" wrapText="1"/>
    </xf>
    <xf numFmtId="0" fontId="9" fillId="3" borderId="3" xfId="0" applyFont="1" applyFill="1" applyBorder="1" applyAlignment="1" applyProtection="1">
      <alignment horizontal="center" vertical="center" wrapText="1"/>
    </xf>
    <xf numFmtId="2" fontId="8" fillId="3" borderId="2" xfId="0" applyNumberFormat="1" applyFont="1" applyFill="1" applyBorder="1" applyAlignment="1" applyProtection="1">
      <alignment horizontal="center" vertical="center" wrapText="1"/>
    </xf>
    <xf numFmtId="4" fontId="8" fillId="3" borderId="2" xfId="0" applyNumberFormat="1" applyFont="1" applyFill="1" applyBorder="1" applyAlignment="1" applyProtection="1">
      <alignment horizontal="center" vertical="center" wrapText="1"/>
    </xf>
    <xf numFmtId="49" fontId="8" fillId="3" borderId="2" xfId="0" applyNumberFormat="1" applyFont="1" applyFill="1" applyBorder="1" applyAlignment="1">
      <alignment horizontal="center" vertical="center" wrapText="1"/>
    </xf>
    <xf numFmtId="49" fontId="8" fillId="4" borderId="3" xfId="0" applyNumberFormat="1" applyFont="1" applyFill="1" applyBorder="1" applyAlignment="1" applyProtection="1">
      <alignment vertical="center" wrapText="1" readingOrder="2"/>
    </xf>
    <xf numFmtId="49" fontId="8" fillId="4" borderId="4" xfId="0" applyNumberFormat="1" applyFont="1" applyFill="1" applyBorder="1" applyAlignment="1" applyProtection="1">
      <alignment vertical="center" wrapText="1" readingOrder="2"/>
    </xf>
    <xf numFmtId="49" fontId="5" fillId="4" borderId="5" xfId="0" applyNumberFormat="1" applyFont="1" applyFill="1" applyBorder="1" applyAlignment="1" applyProtection="1">
      <alignment horizontal="center" vertical="center" wrapText="1" readingOrder="2"/>
    </xf>
    <xf numFmtId="49" fontId="8" fillId="4" borderId="6" xfId="0" applyNumberFormat="1" applyFont="1" applyFill="1" applyBorder="1" applyAlignment="1" applyProtection="1">
      <alignment vertical="center" wrapText="1" readingOrder="2"/>
    </xf>
    <xf numFmtId="43" fontId="3" fillId="0" borderId="0" xfId="1" applyFont="1"/>
    <xf numFmtId="0" fontId="3" fillId="0" borderId="0" xfId="0" applyFont="1"/>
    <xf numFmtId="49" fontId="7" fillId="0" borderId="5" xfId="2" applyNumberFormat="1" applyFont="1" applyBorder="1" applyAlignment="1" applyProtection="1">
      <alignment horizontal="center" vertical="center" wrapText="1"/>
    </xf>
    <xf numFmtId="49" fontId="7" fillId="2" borderId="7" xfId="3" applyNumberFormat="1" applyFont="1" applyFill="1" applyBorder="1" applyAlignment="1" applyProtection="1">
      <alignment horizontal="center" vertical="center" wrapText="1"/>
    </xf>
    <xf numFmtId="49" fontId="7" fillId="0" borderId="7" xfId="2" quotePrefix="1" applyNumberFormat="1" applyFont="1" applyBorder="1" applyAlignment="1" applyProtection="1">
      <alignment horizontal="right" vertical="top" wrapText="1" readingOrder="2"/>
    </xf>
    <xf numFmtId="4" fontId="12" fillId="2" borderId="7" xfId="2" applyNumberFormat="1" applyFont="1" applyFill="1" applyBorder="1" applyAlignment="1" applyProtection="1">
      <alignment horizontal="center" vertical="center" wrapText="1"/>
    </xf>
    <xf numFmtId="4" fontId="7" fillId="0" borderId="7" xfId="2" applyNumberFormat="1" applyFont="1" applyBorder="1" applyAlignment="1" applyProtection="1">
      <alignment horizontal="center" vertical="center" wrapText="1" readingOrder="2"/>
    </xf>
    <xf numFmtId="4" fontId="12" fillId="2" borderId="7" xfId="3" applyNumberFormat="1" applyFont="1" applyFill="1" applyBorder="1" applyAlignment="1" applyProtection="1">
      <alignment horizontal="center" vertical="center" wrapText="1"/>
      <protection locked="0"/>
    </xf>
    <xf numFmtId="4" fontId="13" fillId="0" borderId="7" xfId="3" applyNumberFormat="1" applyFont="1" applyBorder="1" applyAlignment="1" applyProtection="1">
      <alignment horizontal="center" vertical="center" wrapText="1"/>
      <protection locked="0"/>
    </xf>
    <xf numFmtId="1" fontId="14" fillId="0" borderId="7" xfId="3" applyNumberFormat="1" applyFont="1" applyBorder="1" applyAlignment="1" applyProtection="1">
      <alignment horizontal="center" vertical="center" wrapText="1"/>
    </xf>
    <xf numFmtId="4" fontId="7" fillId="2" borderId="7" xfId="2" applyNumberFormat="1" applyFont="1" applyFill="1" applyBorder="1" applyAlignment="1" applyProtection="1">
      <alignment horizontal="center" vertical="center" wrapText="1"/>
    </xf>
    <xf numFmtId="1" fontId="14" fillId="0" borderId="7" xfId="3" applyNumberFormat="1" applyFont="1" applyBorder="1" applyAlignment="1" applyProtection="1">
      <alignment horizontal="center" vertical="center" wrapText="1"/>
      <protection locked="0"/>
    </xf>
    <xf numFmtId="0" fontId="2" fillId="5" borderId="0" xfId="2" applyFont="1" applyFill="1"/>
    <xf numFmtId="0" fontId="2" fillId="0" borderId="0" xfId="2" applyFont="1"/>
    <xf numFmtId="49" fontId="7" fillId="0" borderId="8" xfId="0" applyNumberFormat="1" applyFont="1" applyBorder="1" applyAlignment="1" applyProtection="1">
      <alignment horizontal="center" vertical="center" wrapText="1"/>
    </xf>
    <xf numFmtId="49" fontId="7" fillId="2" borderId="8" xfId="3" applyNumberFormat="1" applyFont="1" applyFill="1" applyBorder="1" applyAlignment="1" applyProtection="1">
      <alignment horizontal="center" vertical="center" wrapText="1"/>
    </xf>
    <xf numFmtId="49" fontId="7" fillId="0" borderId="8" xfId="0" applyNumberFormat="1" applyFont="1" applyBorder="1" applyAlignment="1" applyProtection="1">
      <alignment horizontal="right" vertical="center" wrapText="1" readingOrder="2"/>
    </xf>
    <xf numFmtId="4" fontId="7" fillId="6" borderId="8" xfId="2" applyNumberFormat="1" applyFont="1" applyFill="1" applyBorder="1" applyAlignment="1" applyProtection="1">
      <alignment horizontal="center" vertical="center" wrapText="1"/>
    </xf>
    <xf numFmtId="4" fontId="7" fillId="0" borderId="8" xfId="0" applyNumberFormat="1" applyFont="1" applyBorder="1" applyAlignment="1" applyProtection="1">
      <alignment horizontal="center" vertical="center" wrapText="1" readingOrder="2"/>
    </xf>
    <xf numFmtId="4" fontId="7" fillId="2" borderId="8" xfId="0" applyNumberFormat="1" applyFont="1" applyFill="1" applyBorder="1" applyAlignment="1" applyProtection="1">
      <alignment horizontal="center" vertical="center" wrapText="1" readingOrder="2"/>
      <protection locked="0"/>
    </xf>
    <xf numFmtId="4" fontId="12" fillId="0" borderId="8" xfId="0" applyNumberFormat="1" applyFont="1" applyBorder="1" applyAlignment="1" applyProtection="1">
      <alignment horizontal="center" vertical="center" wrapText="1" readingOrder="2"/>
      <protection locked="0"/>
    </xf>
    <xf numFmtId="4" fontId="7" fillId="2" borderId="8" xfId="2" applyNumberFormat="1" applyFont="1" applyFill="1" applyBorder="1" applyAlignment="1" applyProtection="1">
      <alignment horizontal="center" vertical="center" wrapText="1" readingOrder="2"/>
    </xf>
    <xf numFmtId="1" fontId="7" fillId="0" borderId="8" xfId="0" applyNumberFormat="1" applyFont="1" applyBorder="1" applyAlignment="1" applyProtection="1">
      <alignment horizontal="center" vertical="center" wrapText="1" readingOrder="2"/>
    </xf>
    <xf numFmtId="1" fontId="7" fillId="0" borderId="8" xfId="0" applyNumberFormat="1" applyFont="1" applyBorder="1" applyAlignment="1" applyProtection="1">
      <alignment horizontal="center" vertical="center" wrapText="1" readingOrder="2"/>
      <protection locked="0"/>
    </xf>
    <xf numFmtId="49" fontId="7" fillId="0" borderId="8" xfId="2" applyNumberFormat="1" applyFont="1" applyBorder="1" applyAlignment="1" applyProtection="1">
      <alignment horizontal="center" vertical="center" wrapText="1"/>
    </xf>
    <xf numFmtId="49" fontId="9" fillId="0" borderId="8" xfId="2" quotePrefix="1" applyNumberFormat="1" applyFont="1" applyBorder="1" applyAlignment="1" applyProtection="1">
      <alignment horizontal="right" vertical="top" wrapText="1" readingOrder="2"/>
    </xf>
    <xf numFmtId="4" fontId="12" fillId="2" borderId="8" xfId="2" applyNumberFormat="1" applyFont="1" applyFill="1" applyBorder="1" applyAlignment="1" applyProtection="1">
      <alignment horizontal="center" vertical="center" wrapText="1"/>
    </xf>
    <xf numFmtId="4" fontId="7" fillId="0" borderId="8" xfId="2" applyNumberFormat="1" applyFont="1" applyBorder="1" applyAlignment="1" applyProtection="1">
      <alignment horizontal="center" vertical="center" wrapText="1" readingOrder="2"/>
    </xf>
    <xf numFmtId="4" fontId="12" fillId="2" borderId="8" xfId="3" applyNumberFormat="1" applyFont="1" applyFill="1" applyBorder="1" applyAlignment="1" applyProtection="1">
      <alignment horizontal="center" vertical="center" wrapText="1" readingOrder="2"/>
      <protection locked="0"/>
    </xf>
    <xf numFmtId="4" fontId="12" fillId="2" borderId="8" xfId="2" applyNumberFormat="1" applyFont="1" applyFill="1" applyBorder="1" applyAlignment="1" applyProtection="1">
      <alignment horizontal="center" vertical="center" wrapText="1" readingOrder="2"/>
    </xf>
    <xf numFmtId="49" fontId="7" fillId="0" borderId="8" xfId="2" applyNumberFormat="1" applyFont="1" applyBorder="1" applyAlignment="1" applyProtection="1">
      <alignment horizontal="right" vertical="center" wrapText="1" readingOrder="2"/>
    </xf>
    <xf numFmtId="49" fontId="11" fillId="0" borderId="8" xfId="2" quotePrefix="1" applyNumberFormat="1" applyFont="1" applyBorder="1" applyAlignment="1" applyProtection="1">
      <alignment horizontal="right" vertical="top" wrapText="1" readingOrder="2"/>
    </xf>
    <xf numFmtId="4" fontId="7" fillId="2" borderId="8" xfId="3" applyNumberFormat="1" applyFont="1" applyFill="1" applyBorder="1" applyAlignment="1" applyProtection="1">
      <alignment horizontal="center" vertical="center" wrapText="1" readingOrder="2"/>
      <protection locked="0"/>
    </xf>
    <xf numFmtId="4" fontId="7" fillId="0" borderId="8" xfId="3" applyNumberFormat="1" applyFont="1" applyBorder="1" applyAlignment="1" applyProtection="1">
      <alignment horizontal="center" vertical="center" wrapText="1" readingOrder="2"/>
      <protection locked="0"/>
    </xf>
    <xf numFmtId="4" fontId="7" fillId="2" borderId="8" xfId="0" applyNumberFormat="1" applyFont="1" applyFill="1" applyBorder="1" applyAlignment="1" applyProtection="1">
      <alignment horizontal="center" vertical="center" wrapText="1" readingOrder="2"/>
    </xf>
    <xf numFmtId="0" fontId="7" fillId="0" borderId="8" xfId="0" applyFont="1" applyBorder="1" applyAlignment="1" applyProtection="1">
      <alignment horizontal="center" vertical="center" wrapText="1" readingOrder="2"/>
    </xf>
    <xf numFmtId="0" fontId="7" fillId="0" borderId="8" xfId="0" applyFont="1" applyBorder="1" applyAlignment="1" applyProtection="1">
      <alignment horizontal="center" vertical="center" wrapText="1" readingOrder="2"/>
      <protection locked="0"/>
    </xf>
    <xf numFmtId="49" fontId="11" fillId="0" borderId="8" xfId="0" quotePrefix="1" applyNumberFormat="1" applyFont="1" applyBorder="1" applyAlignment="1" applyProtection="1">
      <alignment horizontal="right" vertical="top" wrapText="1" readingOrder="2"/>
    </xf>
    <xf numFmtId="4" fontId="12" fillId="2" borderId="8" xfId="0" applyNumberFormat="1" applyFont="1" applyFill="1" applyBorder="1" applyAlignment="1" applyProtection="1">
      <alignment horizontal="center" vertical="center" wrapText="1" readingOrder="2"/>
    </xf>
    <xf numFmtId="4" fontId="7" fillId="6" borderId="8" xfId="0" applyNumberFormat="1" applyFont="1" applyFill="1" applyBorder="1" applyAlignment="1" applyProtection="1">
      <alignment horizontal="center" vertical="center" wrapText="1" readingOrder="2"/>
    </xf>
    <xf numFmtId="49" fontId="7" fillId="0" borderId="8" xfId="0" applyNumberFormat="1" applyFont="1" applyBorder="1" applyAlignment="1" applyProtection="1">
      <alignment horizontal="center" vertical="center" wrapText="1"/>
      <protection locked="0"/>
    </xf>
    <xf numFmtId="49" fontId="7" fillId="0" borderId="8" xfId="2" quotePrefix="1" applyNumberFormat="1" applyFont="1" applyBorder="1" applyAlignment="1" applyProtection="1">
      <alignment horizontal="right" vertical="top" wrapText="1" readingOrder="2"/>
    </xf>
    <xf numFmtId="0" fontId="2" fillId="7" borderId="0" xfId="2" applyFont="1" applyFill="1"/>
    <xf numFmtId="49" fontId="7" fillId="0" borderId="8" xfId="0" quotePrefix="1" applyNumberFormat="1" applyFont="1" applyBorder="1" applyAlignment="1" applyProtection="1">
      <alignment horizontal="right" vertical="top" wrapText="1" readingOrder="2"/>
    </xf>
    <xf numFmtId="4" fontId="12" fillId="6" borderId="8" xfId="2" applyNumberFormat="1" applyFont="1" applyFill="1" applyBorder="1" applyAlignment="1" applyProtection="1">
      <alignment horizontal="center" vertical="center" wrapText="1"/>
    </xf>
    <xf numFmtId="4" fontId="13" fillId="0" borderId="8" xfId="3" applyNumberFormat="1" applyFont="1" applyBorder="1" applyAlignment="1" applyProtection="1">
      <alignment horizontal="center" vertical="center" wrapText="1"/>
      <protection locked="0"/>
    </xf>
    <xf numFmtId="1" fontId="14" fillId="0" borderId="8" xfId="3" applyNumberFormat="1" applyFont="1" applyBorder="1" applyAlignment="1" applyProtection="1">
      <alignment horizontal="center" vertical="center" wrapText="1"/>
    </xf>
    <xf numFmtId="1" fontId="14" fillId="0" borderId="8" xfId="3" applyNumberFormat="1" applyFont="1" applyBorder="1" applyAlignment="1" applyProtection="1">
      <alignment horizontal="center" vertical="center" wrapText="1"/>
      <protection locked="0"/>
    </xf>
    <xf numFmtId="0" fontId="2" fillId="0" borderId="0" xfId="0" applyFont="1"/>
    <xf numFmtId="49" fontId="9" fillId="0" borderId="8" xfId="0" quotePrefix="1" applyNumberFormat="1" applyFont="1" applyBorder="1" applyAlignment="1" applyProtection="1">
      <alignment horizontal="right" vertical="top" wrapText="1" readingOrder="2"/>
    </xf>
    <xf numFmtId="4" fontId="12" fillId="0" borderId="8" xfId="3" applyNumberFormat="1" applyFont="1" applyBorder="1" applyAlignment="1" applyProtection="1">
      <alignment horizontal="center" vertical="center" wrapText="1" readingOrder="2"/>
      <protection locked="0"/>
    </xf>
    <xf numFmtId="1" fontId="7" fillId="0" borderId="8" xfId="3" applyNumberFormat="1" applyFont="1" applyBorder="1" applyAlignment="1" applyProtection="1">
      <alignment horizontal="center" vertical="center" wrapText="1" readingOrder="2"/>
    </xf>
    <xf numFmtId="1" fontId="7" fillId="0" borderId="8" xfId="3" applyNumberFormat="1" applyFont="1" applyBorder="1" applyAlignment="1" applyProtection="1">
      <alignment horizontal="center" vertical="center" wrapText="1" readingOrder="2"/>
      <protection locked="0"/>
    </xf>
    <xf numFmtId="0" fontId="15" fillId="5" borderId="0" xfId="0" applyFont="1" applyFill="1"/>
    <xf numFmtId="0" fontId="15" fillId="8" borderId="0" xfId="0" applyFont="1" applyFill="1"/>
    <xf numFmtId="4" fontId="16" fillId="2" borderId="8" xfId="0" applyNumberFormat="1" applyFont="1" applyFill="1" applyBorder="1" applyAlignment="1" applyProtection="1">
      <alignment horizontal="center" vertical="center" wrapText="1" readingOrder="2"/>
    </xf>
    <xf numFmtId="0" fontId="15" fillId="5" borderId="0" xfId="2" applyFont="1" applyFill="1"/>
    <xf numFmtId="0" fontId="15" fillId="0" borderId="0" xfId="2" applyFont="1"/>
    <xf numFmtId="49" fontId="7" fillId="2" borderId="8" xfId="0" applyNumberFormat="1" applyFont="1" applyFill="1" applyBorder="1" applyAlignment="1" applyProtection="1">
      <alignment horizontal="center" vertical="center" wrapText="1"/>
    </xf>
    <xf numFmtId="4" fontId="17" fillId="2" borderId="8" xfId="3" applyNumberFormat="1" applyFont="1" applyFill="1" applyBorder="1" applyAlignment="1" applyProtection="1">
      <alignment horizontal="center" vertical="center" wrapText="1" readingOrder="2"/>
      <protection locked="0"/>
    </xf>
    <xf numFmtId="4" fontId="7" fillId="2" borderId="8" xfId="2" applyNumberFormat="1" applyFont="1" applyFill="1" applyBorder="1" applyAlignment="1" applyProtection="1">
      <alignment horizontal="center" vertical="center" wrapText="1"/>
    </xf>
    <xf numFmtId="4" fontId="7" fillId="0" borderId="8" xfId="2" applyNumberFormat="1" applyFont="1" applyBorder="1" applyAlignment="1" applyProtection="1">
      <alignment horizontal="center" vertical="center" wrapText="1"/>
    </xf>
    <xf numFmtId="49" fontId="7" fillId="0" borderId="8" xfId="4" applyNumberFormat="1" applyFont="1" applyBorder="1" applyAlignment="1" applyProtection="1">
      <alignment horizontal="center" vertical="center" wrapText="1"/>
    </xf>
    <xf numFmtId="49" fontId="7" fillId="5" borderId="8" xfId="2" applyNumberFormat="1" applyFont="1" applyFill="1" applyBorder="1" applyAlignment="1" applyProtection="1">
      <alignment horizontal="right" vertical="center" wrapText="1" readingOrder="2"/>
    </xf>
    <xf numFmtId="4" fontId="7" fillId="6" borderId="8" xfId="2" applyNumberFormat="1" applyFont="1" applyFill="1" applyBorder="1" applyAlignment="1" applyProtection="1">
      <alignment horizontal="center" vertical="center" wrapText="1" readingOrder="2"/>
    </xf>
    <xf numFmtId="0" fontId="15" fillId="0" borderId="0" xfId="0" applyFont="1"/>
    <xf numFmtId="4" fontId="7" fillId="2" borderId="8" xfId="3" applyNumberFormat="1" applyFont="1" applyFill="1" applyBorder="1" applyAlignment="1" applyProtection="1">
      <alignment horizontal="center" vertical="center" wrapText="1" readingOrder="2"/>
    </xf>
    <xf numFmtId="49" fontId="7" fillId="0" borderId="8" xfId="2" applyNumberFormat="1" applyFont="1" applyBorder="1" applyAlignment="1" applyProtection="1">
      <alignment horizontal="center" vertical="center" wrapText="1" readingOrder="1"/>
    </xf>
    <xf numFmtId="0" fontId="3" fillId="0" borderId="0" xfId="2" applyFont="1"/>
    <xf numFmtId="4" fontId="13" fillId="0" borderId="8" xfId="3" applyNumberFormat="1" applyFont="1" applyBorder="1" applyAlignment="1" applyProtection="1">
      <alignment horizontal="center" vertical="center" wrapText="1" readingOrder="2"/>
      <protection locked="0"/>
    </xf>
    <xf numFmtId="0" fontId="3" fillId="5" borderId="0" xfId="2" applyFont="1" applyFill="1"/>
    <xf numFmtId="0" fontId="0" fillId="0" borderId="0" xfId="2" applyFont="1"/>
    <xf numFmtId="49" fontId="17" fillId="0" borderId="8" xfId="2" applyNumberFormat="1" applyFont="1" applyBorder="1" applyAlignment="1" applyProtection="1">
      <alignment horizontal="center" vertical="center" wrapText="1"/>
    </xf>
    <xf numFmtId="49" fontId="17" fillId="2" borderId="8" xfId="3" applyNumberFormat="1" applyFont="1" applyFill="1" applyBorder="1" applyAlignment="1" applyProtection="1">
      <alignment horizontal="center" vertical="center" wrapText="1"/>
    </xf>
    <xf numFmtId="49" fontId="19" fillId="0" borderId="8" xfId="2" quotePrefix="1" applyNumberFormat="1" applyFont="1" applyBorder="1" applyAlignment="1" applyProtection="1">
      <alignment horizontal="right" vertical="top" wrapText="1" readingOrder="2"/>
    </xf>
    <xf numFmtId="4" fontId="0" fillId="2" borderId="8" xfId="2" applyNumberFormat="1" applyFont="1" applyFill="1" applyBorder="1" applyAlignment="1" applyProtection="1">
      <alignment horizontal="center" vertical="center" wrapText="1" readingOrder="2"/>
    </xf>
    <xf numFmtId="4" fontId="17" fillId="0" borderId="8" xfId="2" applyNumberFormat="1" applyFont="1" applyBorder="1" applyAlignment="1" applyProtection="1">
      <alignment horizontal="center" vertical="center" wrapText="1" readingOrder="2"/>
    </xf>
    <xf numFmtId="4" fontId="17" fillId="0" borderId="8" xfId="3" applyNumberFormat="1" applyFont="1" applyBorder="1" applyAlignment="1" applyProtection="1">
      <alignment horizontal="center" vertical="center" wrapText="1" readingOrder="2"/>
      <protection locked="0"/>
    </xf>
    <xf numFmtId="4" fontId="17" fillId="2" borderId="8" xfId="2" applyNumberFormat="1" applyFont="1" applyFill="1" applyBorder="1" applyAlignment="1" applyProtection="1">
      <alignment horizontal="center" vertical="center" wrapText="1" readingOrder="2"/>
    </xf>
    <xf numFmtId="49" fontId="17" fillId="0" borderId="8" xfId="2" applyNumberFormat="1" applyFont="1" applyBorder="1" applyAlignment="1" applyProtection="1">
      <alignment horizontal="center" vertical="center" wrapText="1"/>
      <protection locked="0"/>
    </xf>
    <xf numFmtId="49" fontId="17" fillId="0" borderId="8" xfId="2" applyNumberFormat="1" applyFont="1" applyBorder="1" applyAlignment="1" applyProtection="1">
      <alignment horizontal="right" vertical="center" wrapText="1" readingOrder="2"/>
    </xf>
    <xf numFmtId="4" fontId="0" fillId="6" borderId="8" xfId="2" applyNumberFormat="1" applyFont="1" applyFill="1" applyBorder="1" applyAlignment="1" applyProtection="1">
      <alignment horizontal="center" vertical="center" wrapText="1" readingOrder="2"/>
    </xf>
    <xf numFmtId="49" fontId="7" fillId="0" borderId="8" xfId="2" quotePrefix="1" applyNumberFormat="1" applyFont="1" applyFill="1" applyBorder="1" applyAlignment="1" applyProtection="1">
      <alignment horizontal="right" vertical="top" wrapText="1" readingOrder="2"/>
    </xf>
    <xf numFmtId="4" fontId="7" fillId="0" borderId="8" xfId="2" applyNumberFormat="1" applyFont="1" applyFill="1" applyBorder="1" applyAlignment="1" applyProtection="1">
      <alignment horizontal="center" vertical="center" wrapText="1" readingOrder="2"/>
    </xf>
    <xf numFmtId="0" fontId="2" fillId="7" borderId="0" xfId="0" applyFont="1" applyFill="1"/>
    <xf numFmtId="4" fontId="21" fillId="9" borderId="2" xfId="0" applyNumberFormat="1" applyFont="1" applyFill="1" applyBorder="1" applyAlignment="1" applyProtection="1">
      <alignment horizontal="center" vertical="center" readingOrder="2"/>
    </xf>
    <xf numFmtId="164" fontId="21" fillId="9" borderId="2" xfId="0" applyNumberFormat="1" applyFont="1" applyFill="1" applyBorder="1" applyAlignment="1" applyProtection="1">
      <alignment horizontal="center" vertical="center" readingOrder="2"/>
    </xf>
    <xf numFmtId="164" fontId="21" fillId="9" borderId="2" xfId="0" applyNumberFormat="1" applyFont="1" applyFill="1" applyBorder="1" applyAlignment="1" applyProtection="1">
      <alignment horizontal="center" vertical="center" readingOrder="2"/>
      <protection locked="0"/>
    </xf>
    <xf numFmtId="49" fontId="8" fillId="10" borderId="9" xfId="0" applyNumberFormat="1" applyFont="1" applyFill="1" applyBorder="1" applyAlignment="1" applyProtection="1">
      <alignment vertical="center" wrapText="1" readingOrder="2"/>
    </xf>
    <xf numFmtId="49" fontId="8" fillId="10" borderId="10" xfId="0" applyNumberFormat="1" applyFont="1" applyFill="1" applyBorder="1" applyAlignment="1" applyProtection="1">
      <alignment vertical="center" wrapText="1" readingOrder="2"/>
    </xf>
    <xf numFmtId="49" fontId="5" fillId="10" borderId="5" xfId="0" applyNumberFormat="1" applyFont="1" applyFill="1" applyBorder="1" applyAlignment="1" applyProtection="1">
      <alignment horizontal="center" vertical="center" wrapText="1" readingOrder="2"/>
    </xf>
    <xf numFmtId="49" fontId="8" fillId="10" borderId="11" xfId="0" applyNumberFormat="1" applyFont="1" applyFill="1" applyBorder="1" applyAlignment="1" applyProtection="1">
      <alignment vertical="center" wrapText="1" readingOrder="2"/>
    </xf>
    <xf numFmtId="49" fontId="8" fillId="10" borderId="9" xfId="0" applyNumberFormat="1" applyFont="1" applyFill="1" applyBorder="1" applyAlignment="1" applyProtection="1">
      <alignment vertical="center" wrapText="1" readingOrder="2"/>
      <protection locked="0"/>
    </xf>
    <xf numFmtId="49" fontId="17" fillId="0" borderId="7" xfId="0" applyNumberFormat="1" applyFont="1" applyBorder="1" applyAlignment="1" applyProtection="1">
      <alignment horizontal="center" vertical="center" wrapText="1"/>
    </xf>
    <xf numFmtId="49" fontId="17" fillId="2" borderId="7" xfId="0" applyNumberFormat="1" applyFont="1" applyFill="1" applyBorder="1" applyAlignment="1" applyProtection="1">
      <alignment horizontal="center" vertical="center" wrapText="1"/>
    </xf>
    <xf numFmtId="49" fontId="19" fillId="0" borderId="7" xfId="0" quotePrefix="1" applyNumberFormat="1" applyFont="1" applyBorder="1" applyAlignment="1" applyProtection="1">
      <alignment horizontal="right" vertical="top" wrapText="1" readingOrder="2"/>
    </xf>
    <xf numFmtId="4" fontId="17" fillId="2" borderId="7" xfId="0" applyNumberFormat="1" applyFont="1" applyFill="1" applyBorder="1" applyAlignment="1" applyProtection="1">
      <alignment horizontal="center" vertical="center" wrapText="1" readingOrder="2"/>
    </xf>
    <xf numFmtId="4" fontId="17" fillId="0" borderId="7" xfId="0" applyNumberFormat="1" applyFont="1" applyBorder="1" applyAlignment="1" applyProtection="1">
      <alignment horizontal="center" vertical="center" wrapText="1" readingOrder="2"/>
    </xf>
    <xf numFmtId="4" fontId="17" fillId="2" borderId="7" xfId="0" applyNumberFormat="1" applyFont="1" applyFill="1" applyBorder="1" applyAlignment="1" applyProtection="1">
      <alignment horizontal="center" vertical="center" wrapText="1" readingOrder="2"/>
      <protection locked="0"/>
    </xf>
    <xf numFmtId="4" fontId="17" fillId="0" borderId="7" xfId="0" applyNumberFormat="1" applyFont="1" applyBorder="1" applyAlignment="1" applyProtection="1">
      <alignment horizontal="center" vertical="center" wrapText="1" readingOrder="2"/>
      <protection locked="0"/>
    </xf>
    <xf numFmtId="49" fontId="17" fillId="0" borderId="7" xfId="0" applyNumberFormat="1" applyFont="1" applyBorder="1" applyAlignment="1" applyProtection="1">
      <alignment horizontal="center" vertical="center" wrapText="1"/>
      <protection locked="0"/>
    </xf>
    <xf numFmtId="4" fontId="17" fillId="0" borderId="8" xfId="0" applyNumberFormat="1" applyFont="1" applyBorder="1" applyAlignment="1" applyProtection="1">
      <alignment horizontal="center" vertical="center" wrapText="1" readingOrder="2"/>
    </xf>
    <xf numFmtId="4" fontId="7" fillId="0" borderId="8" xfId="0" applyNumberFormat="1" applyFont="1" applyBorder="1" applyAlignment="1" applyProtection="1">
      <alignment horizontal="center" vertical="center" wrapText="1" readingOrder="2"/>
      <protection locked="0"/>
    </xf>
    <xf numFmtId="49" fontId="17" fillId="0" borderId="8" xfId="0" applyNumberFormat="1" applyFont="1" applyBorder="1" applyAlignment="1" applyProtection="1">
      <alignment horizontal="center" vertical="center" wrapText="1"/>
    </xf>
    <xf numFmtId="49" fontId="17" fillId="0" borderId="8" xfId="0" applyNumberFormat="1" applyFont="1" applyBorder="1" applyAlignment="1" applyProtection="1">
      <alignment horizontal="right" vertical="center" wrapText="1" readingOrder="2"/>
    </xf>
    <xf numFmtId="4" fontId="17" fillId="6" borderId="8" xfId="0" applyNumberFormat="1" applyFont="1" applyFill="1" applyBorder="1" applyAlignment="1" applyProtection="1">
      <alignment horizontal="center" vertical="center" wrapText="1" readingOrder="2"/>
    </xf>
    <xf numFmtId="4" fontId="17" fillId="2" borderId="8" xfId="0" applyNumberFormat="1" applyFont="1" applyFill="1" applyBorder="1" applyAlignment="1" applyProtection="1">
      <alignment horizontal="center" vertical="center" wrapText="1" readingOrder="2"/>
      <protection locked="0"/>
    </xf>
    <xf numFmtId="4" fontId="17" fillId="0" borderId="8" xfId="0" applyNumberFormat="1" applyFont="1" applyBorder="1" applyAlignment="1" applyProtection="1">
      <alignment horizontal="center" vertical="center" wrapText="1" readingOrder="2"/>
      <protection locked="0"/>
    </xf>
    <xf numFmtId="4" fontId="17" fillId="2" borderId="8" xfId="0" applyNumberFormat="1" applyFont="1" applyFill="1" applyBorder="1" applyAlignment="1" applyProtection="1">
      <alignment horizontal="center" vertical="center" wrapText="1" readingOrder="2"/>
    </xf>
    <xf numFmtId="49" fontId="17" fillId="2" borderId="8" xfId="0" applyNumberFormat="1" applyFont="1" applyFill="1" applyBorder="1" applyAlignment="1" applyProtection="1">
      <alignment horizontal="center" vertical="center" wrapText="1"/>
    </xf>
    <xf numFmtId="49" fontId="19" fillId="0" borderId="8" xfId="0" quotePrefix="1" applyNumberFormat="1" applyFont="1" applyBorder="1" applyAlignment="1" applyProtection="1">
      <alignment horizontal="right" vertical="top" wrapText="1" readingOrder="2"/>
    </xf>
    <xf numFmtId="49" fontId="17" fillId="0" borderId="8" xfId="0" applyNumberFormat="1" applyFont="1" applyBorder="1" applyAlignment="1" applyProtection="1">
      <alignment horizontal="center" vertical="center" wrapText="1"/>
      <protection locked="0"/>
    </xf>
    <xf numFmtId="49" fontId="17" fillId="5" borderId="8" xfId="0" applyNumberFormat="1" applyFont="1" applyFill="1" applyBorder="1" applyAlignment="1" applyProtection="1">
      <alignment horizontal="right" vertical="center" wrapText="1" readingOrder="2"/>
    </xf>
    <xf numFmtId="49" fontId="17" fillId="0" borderId="8" xfId="0" applyNumberFormat="1" applyFont="1" applyBorder="1" applyAlignment="1" applyProtection="1">
      <alignment horizontal="right" vertical="top" wrapText="1" readingOrder="2"/>
    </xf>
    <xf numFmtId="49" fontId="7" fillId="0" borderId="8" xfId="0" applyNumberFormat="1" applyFont="1" applyBorder="1" applyAlignment="1" applyProtection="1">
      <alignment horizontal="right" vertical="top" wrapText="1" readingOrder="2"/>
    </xf>
    <xf numFmtId="49" fontId="7" fillId="5" borderId="8" xfId="0" applyNumberFormat="1" applyFont="1" applyFill="1" applyBorder="1" applyAlignment="1" applyProtection="1">
      <alignment horizontal="center" vertical="center" wrapText="1"/>
    </xf>
    <xf numFmtId="49" fontId="11" fillId="5" borderId="8" xfId="0" quotePrefix="1" applyNumberFormat="1" applyFont="1" applyFill="1" applyBorder="1" applyAlignment="1" applyProtection="1">
      <alignment horizontal="right" vertical="top" wrapText="1" readingOrder="2"/>
    </xf>
    <xf numFmtId="0" fontId="7" fillId="5" borderId="8" xfId="0" applyFont="1" applyFill="1" applyBorder="1" applyAlignment="1" applyProtection="1">
      <alignment horizontal="center" vertical="center" wrapText="1" readingOrder="2"/>
    </xf>
    <xf numFmtId="0" fontId="7" fillId="5" borderId="8" xfId="0" applyFont="1" applyFill="1" applyBorder="1" applyAlignment="1" applyProtection="1">
      <alignment horizontal="center" vertical="center" wrapText="1" readingOrder="2"/>
      <protection locked="0"/>
    </xf>
    <xf numFmtId="49" fontId="17" fillId="5" borderId="8" xfId="0" applyNumberFormat="1" applyFont="1" applyFill="1" applyBorder="1" applyAlignment="1" applyProtection="1">
      <alignment horizontal="center" vertical="center" wrapText="1"/>
    </xf>
    <xf numFmtId="0" fontId="11" fillId="0" borderId="8" xfId="0" quotePrefix="1" applyFont="1" applyBorder="1" applyAlignment="1" applyProtection="1">
      <alignment horizontal="right" vertical="top" wrapText="1" readingOrder="2"/>
    </xf>
    <xf numFmtId="4" fontId="7" fillId="2" borderId="8" xfId="5" applyNumberFormat="1" applyFont="1" applyFill="1" applyBorder="1" applyAlignment="1" applyProtection="1">
      <alignment horizontal="center" vertical="center" wrapText="1" readingOrder="2"/>
    </xf>
    <xf numFmtId="49" fontId="17" fillId="0" borderId="12" xfId="0" applyNumberFormat="1" applyFont="1" applyBorder="1" applyAlignment="1" applyProtection="1">
      <alignment horizontal="center" vertical="center" wrapText="1"/>
    </xf>
    <xf numFmtId="49" fontId="17" fillId="2" borderId="12" xfId="0" applyNumberFormat="1" applyFont="1" applyFill="1" applyBorder="1" applyAlignment="1" applyProtection="1">
      <alignment horizontal="center" vertical="center" wrapText="1"/>
    </xf>
    <xf numFmtId="4" fontId="17" fillId="0" borderId="12" xfId="0" applyNumberFormat="1" applyFont="1" applyBorder="1" applyAlignment="1" applyProtection="1">
      <alignment horizontal="center" vertical="center" wrapText="1" readingOrder="2"/>
    </xf>
    <xf numFmtId="4" fontId="17" fillId="2" borderId="12" xfId="0" applyNumberFormat="1" applyFont="1" applyFill="1" applyBorder="1" applyAlignment="1" applyProtection="1">
      <alignment horizontal="center" vertical="center" wrapText="1" readingOrder="2"/>
    </xf>
    <xf numFmtId="49" fontId="7" fillId="5" borderId="8" xfId="0" applyNumberFormat="1" applyFont="1" applyFill="1" applyBorder="1" applyAlignment="1" applyProtection="1">
      <alignment horizontal="center" vertical="center" wrapText="1"/>
      <protection locked="0"/>
    </xf>
    <xf numFmtId="1" fontId="7" fillId="2" borderId="8" xfId="0" applyNumberFormat="1" applyFont="1" applyFill="1" applyBorder="1" applyAlignment="1" applyProtection="1">
      <alignment horizontal="center" vertical="center" wrapText="1" readingOrder="2"/>
    </xf>
    <xf numFmtId="4" fontId="21" fillId="11" borderId="2" xfId="0" applyNumberFormat="1" applyFont="1" applyFill="1" applyBorder="1" applyAlignment="1" applyProtection="1">
      <alignment horizontal="center" vertical="center" readingOrder="2"/>
    </xf>
    <xf numFmtId="164" fontId="21" fillId="11" borderId="2" xfId="0" applyNumberFormat="1" applyFont="1" applyFill="1" applyBorder="1" applyAlignment="1" applyProtection="1">
      <alignment horizontal="center" vertical="center" readingOrder="2"/>
    </xf>
    <xf numFmtId="164" fontId="21" fillId="11" borderId="2" xfId="0" applyNumberFormat="1" applyFont="1" applyFill="1" applyBorder="1" applyAlignment="1" applyProtection="1">
      <alignment horizontal="center" vertical="center" readingOrder="2"/>
      <protection locked="0"/>
    </xf>
    <xf numFmtId="49" fontId="8" fillId="12" borderId="3" xfId="0" applyNumberFormat="1" applyFont="1" applyFill="1" applyBorder="1" applyAlignment="1" applyProtection="1">
      <alignment vertical="center" wrapText="1" readingOrder="2"/>
    </xf>
    <xf numFmtId="49" fontId="8" fillId="12" borderId="6" xfId="0" applyNumberFormat="1" applyFont="1" applyFill="1" applyBorder="1" applyAlignment="1" applyProtection="1">
      <alignment vertical="center" wrapText="1" readingOrder="2"/>
    </xf>
    <xf numFmtId="49" fontId="5" fillId="12" borderId="2" xfId="0" applyNumberFormat="1" applyFont="1" applyFill="1" applyBorder="1" applyAlignment="1" applyProtection="1">
      <alignment horizontal="center" vertical="center" wrapText="1" readingOrder="2"/>
    </xf>
    <xf numFmtId="49" fontId="8" fillId="12" borderId="4" xfId="0" applyNumberFormat="1" applyFont="1" applyFill="1" applyBorder="1" applyAlignment="1" applyProtection="1">
      <alignment vertical="center" wrapText="1" readingOrder="2"/>
    </xf>
    <xf numFmtId="49" fontId="8" fillId="12" borderId="3" xfId="0" applyNumberFormat="1" applyFont="1" applyFill="1" applyBorder="1" applyAlignment="1" applyProtection="1">
      <alignment vertical="center" wrapText="1" readingOrder="2"/>
      <protection locked="0"/>
    </xf>
    <xf numFmtId="0" fontId="3" fillId="0" borderId="0" xfId="0" applyFont="1" applyAlignment="1">
      <alignment readingOrder="2"/>
    </xf>
    <xf numFmtId="49" fontId="7" fillId="0" borderId="5" xfId="0" applyNumberFormat="1" applyFont="1" applyBorder="1" applyAlignment="1" applyProtection="1">
      <alignment horizontal="center" vertical="center" wrapText="1"/>
    </xf>
    <xf numFmtId="49" fontId="7" fillId="2" borderId="7" xfId="0" applyNumberFormat="1" applyFont="1" applyFill="1" applyBorder="1" applyAlignment="1" applyProtection="1">
      <alignment horizontal="center" vertical="center" wrapText="1"/>
    </xf>
    <xf numFmtId="49" fontId="11" fillId="0" borderId="5" xfId="0" quotePrefix="1" applyNumberFormat="1" applyFont="1" applyBorder="1" applyAlignment="1" applyProtection="1">
      <alignment horizontal="right" vertical="top" wrapText="1" readingOrder="2"/>
    </xf>
    <xf numFmtId="4" fontId="7" fillId="2" borderId="7" xfId="0" applyNumberFormat="1" applyFont="1" applyFill="1" applyBorder="1" applyAlignment="1" applyProtection="1">
      <alignment horizontal="center" vertical="center" wrapText="1" readingOrder="2"/>
    </xf>
    <xf numFmtId="4" fontId="7" fillId="0" borderId="5" xfId="0" applyNumberFormat="1" applyFont="1" applyBorder="1" applyAlignment="1" applyProtection="1">
      <alignment horizontal="center" vertical="center" wrapText="1" readingOrder="2"/>
    </xf>
    <xf numFmtId="4" fontId="7" fillId="2" borderId="7" xfId="0" applyNumberFormat="1" applyFont="1" applyFill="1" applyBorder="1" applyAlignment="1" applyProtection="1">
      <alignment horizontal="center" vertical="center" wrapText="1" readingOrder="2"/>
      <protection locked="0"/>
    </xf>
    <xf numFmtId="4" fontId="7" fillId="0" borderId="5" xfId="0" applyNumberFormat="1" applyFont="1" applyBorder="1" applyAlignment="1" applyProtection="1">
      <alignment horizontal="center" vertical="center" wrapText="1" readingOrder="2"/>
      <protection locked="0"/>
    </xf>
    <xf numFmtId="4" fontId="7" fillId="2" borderId="5" xfId="0" applyNumberFormat="1" applyFont="1" applyFill="1" applyBorder="1" applyAlignment="1" applyProtection="1">
      <alignment horizontal="center" vertical="center" wrapText="1" readingOrder="2"/>
    </xf>
    <xf numFmtId="43" fontId="3" fillId="0" borderId="0" xfId="1" applyFont="1" applyAlignment="1">
      <alignment readingOrder="2"/>
    </xf>
    <xf numFmtId="49" fontId="11" fillId="0" borderId="8" xfId="0" quotePrefix="1" applyNumberFormat="1" applyFont="1" applyBorder="1" applyAlignment="1" applyProtection="1">
      <alignment horizontal="right" vertical="top" wrapText="1" readingOrder="1"/>
    </xf>
    <xf numFmtId="49" fontId="7" fillId="5" borderId="8" xfId="0" applyNumberFormat="1" applyFont="1" applyFill="1" applyBorder="1" applyAlignment="1" applyProtection="1">
      <alignment horizontal="right" vertical="center" wrapText="1" readingOrder="2"/>
    </xf>
    <xf numFmtId="0" fontId="7" fillId="2" borderId="8" xfId="0" applyFont="1" applyFill="1" applyBorder="1" applyAlignment="1" applyProtection="1">
      <alignment horizontal="center" vertical="center" wrapText="1" readingOrder="2"/>
    </xf>
    <xf numFmtId="0" fontId="17" fillId="0" borderId="8" xfId="0" applyFont="1" applyBorder="1" applyAlignment="1" applyProtection="1">
      <alignment horizontal="center" vertical="center" wrapText="1" readingOrder="2"/>
    </xf>
    <xf numFmtId="0" fontId="17" fillId="0" borderId="8" xfId="0" applyFont="1" applyBorder="1" applyAlignment="1" applyProtection="1">
      <alignment horizontal="center" vertical="center" wrapText="1" readingOrder="2"/>
      <protection locked="0"/>
    </xf>
    <xf numFmtId="49" fontId="7" fillId="0" borderId="8" xfId="0" applyNumberFormat="1" applyFont="1" applyBorder="1" applyAlignment="1" applyProtection="1">
      <alignment horizontal="center" vertical="center" wrapText="1" readingOrder="1"/>
    </xf>
    <xf numFmtId="49" fontId="7" fillId="2" borderId="8" xfId="3" applyNumberFormat="1" applyFont="1" applyFill="1" applyBorder="1" applyAlignment="1" applyProtection="1">
      <alignment horizontal="center" vertical="center" wrapText="1" readingOrder="1"/>
    </xf>
    <xf numFmtId="4" fontId="7" fillId="5" borderId="8" xfId="0" applyNumberFormat="1" applyFont="1" applyFill="1" applyBorder="1" applyAlignment="1" applyProtection="1">
      <alignment horizontal="center" vertical="center" wrapText="1" readingOrder="2"/>
    </xf>
    <xf numFmtId="4" fontId="7" fillId="5" borderId="8" xfId="3" applyNumberFormat="1" applyFont="1" applyFill="1" applyBorder="1" applyAlignment="1" applyProtection="1">
      <alignment horizontal="center" vertical="center" wrapText="1" readingOrder="2"/>
      <protection locked="0"/>
    </xf>
    <xf numFmtId="1" fontId="7" fillId="5" borderId="8" xfId="3" applyNumberFormat="1" applyFont="1" applyFill="1" applyBorder="1" applyAlignment="1" applyProtection="1">
      <alignment horizontal="center" vertical="center" wrapText="1" readingOrder="2"/>
    </xf>
    <xf numFmtId="1" fontId="7" fillId="5" borderId="8" xfId="3" applyNumberFormat="1" applyFont="1" applyFill="1" applyBorder="1" applyAlignment="1" applyProtection="1">
      <alignment horizontal="center" vertical="center" wrapText="1" readingOrder="2"/>
      <protection locked="0"/>
    </xf>
    <xf numFmtId="4" fontId="7" fillId="5" borderId="8" xfId="3" applyNumberFormat="1" applyFont="1" applyFill="1" applyBorder="1" applyAlignment="1" applyProtection="1">
      <alignment horizontal="center" vertical="center" wrapText="1" readingOrder="2"/>
    </xf>
    <xf numFmtId="0" fontId="7" fillId="5" borderId="8" xfId="3" applyFont="1" applyFill="1" applyBorder="1" applyAlignment="1" applyProtection="1">
      <alignment horizontal="center" vertical="center" wrapText="1" readingOrder="2"/>
    </xf>
    <xf numFmtId="0" fontId="7" fillId="5" borderId="8" xfId="3" applyFont="1" applyFill="1" applyBorder="1" applyAlignment="1" applyProtection="1">
      <alignment horizontal="center" vertical="center" wrapText="1" readingOrder="2"/>
      <protection locked="0"/>
    </xf>
    <xf numFmtId="3" fontId="7" fillId="2" borderId="8" xfId="0" applyNumberFormat="1" applyFont="1" applyFill="1" applyBorder="1" applyAlignment="1" applyProtection="1">
      <alignment horizontal="center" vertical="center" wrapText="1" readingOrder="2"/>
    </xf>
    <xf numFmtId="0" fontId="3" fillId="0" borderId="0" xfId="6" applyFont="1"/>
    <xf numFmtId="49" fontId="7" fillId="0" borderId="8" xfId="6" applyNumberFormat="1" applyFont="1" applyBorder="1" applyAlignment="1" applyProtection="1">
      <alignment horizontal="center" vertical="center" wrapText="1"/>
    </xf>
    <xf numFmtId="4" fontId="7" fillId="2" borderId="8" xfId="6" applyNumberFormat="1" applyFont="1" applyFill="1" applyBorder="1" applyAlignment="1" applyProtection="1">
      <alignment horizontal="center" vertical="center" wrapText="1" readingOrder="2"/>
    </xf>
    <xf numFmtId="3" fontId="7" fillId="2" borderId="8" xfId="6" applyNumberFormat="1" applyFont="1" applyFill="1" applyBorder="1" applyAlignment="1" applyProtection="1">
      <alignment horizontal="center" vertical="center" wrapText="1" readingOrder="2"/>
    </xf>
    <xf numFmtId="0" fontId="2" fillId="0" borderId="0" xfId="6" applyFont="1"/>
    <xf numFmtId="0" fontId="3" fillId="0" borderId="0" xfId="0" applyFont="1" applyAlignment="1">
      <alignment vertical="center"/>
    </xf>
    <xf numFmtId="49" fontId="7" fillId="0" borderId="8" xfId="0" applyNumberFormat="1" applyFont="1" applyBorder="1" applyAlignment="1" applyProtection="1">
      <alignment horizontal="center" vertical="center"/>
    </xf>
    <xf numFmtId="0" fontId="3" fillId="13" borderId="0" xfId="0" applyFont="1" applyFill="1" applyAlignment="1">
      <alignment vertical="center"/>
    </xf>
    <xf numFmtId="4" fontId="21" fillId="14" borderId="2" xfId="0" applyNumberFormat="1" applyFont="1" applyFill="1" applyBorder="1" applyAlignment="1" applyProtection="1">
      <alignment horizontal="center" vertical="center" readingOrder="2"/>
    </xf>
    <xf numFmtId="4" fontId="21" fillId="14" borderId="2" xfId="0" applyNumberFormat="1" applyFont="1" applyFill="1" applyBorder="1" applyAlignment="1" applyProtection="1">
      <alignment horizontal="center" vertical="center" readingOrder="2"/>
      <protection locked="0"/>
    </xf>
    <xf numFmtId="49" fontId="8" fillId="15" borderId="3" xfId="0" applyNumberFormat="1" applyFont="1" applyFill="1" applyBorder="1" applyAlignment="1" applyProtection="1">
      <alignment vertical="center" wrapText="1" readingOrder="2"/>
    </xf>
    <xf numFmtId="49" fontId="8" fillId="15" borderId="6" xfId="0" applyNumberFormat="1" applyFont="1" applyFill="1" applyBorder="1" applyAlignment="1" applyProtection="1">
      <alignment vertical="center" wrapText="1" readingOrder="2"/>
    </xf>
    <xf numFmtId="49" fontId="5" fillId="15" borderId="2" xfId="0" applyNumberFormat="1" applyFont="1" applyFill="1" applyBorder="1" applyAlignment="1" applyProtection="1">
      <alignment horizontal="center" vertical="center" wrapText="1" readingOrder="2"/>
    </xf>
    <xf numFmtId="49" fontId="8" fillId="15" borderId="4" xfId="0" applyNumberFormat="1" applyFont="1" applyFill="1" applyBorder="1" applyAlignment="1" applyProtection="1">
      <alignment vertical="center" wrapText="1" readingOrder="2"/>
    </xf>
    <xf numFmtId="49" fontId="8" fillId="15" borderId="6" xfId="0" applyNumberFormat="1" applyFont="1" applyFill="1" applyBorder="1" applyAlignment="1" applyProtection="1">
      <alignment vertical="center" wrapText="1" readingOrder="2"/>
      <protection locked="0"/>
    </xf>
    <xf numFmtId="49" fontId="7" fillId="2" borderId="5" xfId="0" applyNumberFormat="1" applyFont="1" applyFill="1" applyBorder="1" applyAlignment="1" applyProtection="1">
      <alignment horizontal="center" vertical="center" wrapText="1"/>
    </xf>
    <xf numFmtId="4" fontId="7" fillId="2" borderId="5" xfId="0" applyNumberFormat="1" applyFont="1" applyFill="1" applyBorder="1" applyAlignment="1" applyProtection="1">
      <alignment horizontal="center" vertical="center" wrapText="1" readingOrder="2"/>
      <protection locked="0"/>
    </xf>
    <xf numFmtId="0" fontId="7" fillId="5" borderId="8" xfId="0" applyFont="1" applyFill="1" applyBorder="1" applyAlignment="1" applyProtection="1">
      <alignment horizontal="right" vertical="top" wrapText="1" readingOrder="2"/>
    </xf>
    <xf numFmtId="49" fontId="7" fillId="6" borderId="8" xfId="0" applyNumberFormat="1" applyFont="1" applyFill="1" applyBorder="1" applyAlignment="1" applyProtection="1">
      <alignment horizontal="center" vertical="center" wrapText="1"/>
    </xf>
    <xf numFmtId="2" fontId="7" fillId="5" borderId="8" xfId="0" applyNumberFormat="1" applyFont="1" applyFill="1" applyBorder="1" applyAlignment="1" applyProtection="1">
      <alignment horizontal="right" vertical="top" wrapText="1" readingOrder="2"/>
    </xf>
    <xf numFmtId="0" fontId="18" fillId="0" borderId="0" xfId="6"/>
    <xf numFmtId="2" fontId="7" fillId="5" borderId="8" xfId="6" applyNumberFormat="1" applyFont="1" applyFill="1" applyBorder="1" applyAlignment="1" applyProtection="1">
      <alignment horizontal="right" vertical="top" wrapText="1" readingOrder="2"/>
    </xf>
    <xf numFmtId="4" fontId="7" fillId="0" borderId="8" xfId="3" applyNumberFormat="1" applyFont="1" applyBorder="1" applyAlignment="1" applyProtection="1">
      <alignment horizontal="center" vertical="center" wrapText="1" readingOrder="2"/>
    </xf>
    <xf numFmtId="43" fontId="18" fillId="0" borderId="0" xfId="1" applyFont="1"/>
    <xf numFmtId="2" fontId="7" fillId="5" borderId="8" xfId="0" applyNumberFormat="1" applyFont="1" applyFill="1" applyBorder="1" applyAlignment="1" applyProtection="1">
      <alignment horizontal="right" vertical="center" wrapText="1" readingOrder="2"/>
    </xf>
    <xf numFmtId="2" fontId="17" fillId="5" borderId="8" xfId="0" applyNumberFormat="1" applyFont="1" applyFill="1" applyBorder="1" applyAlignment="1" applyProtection="1">
      <alignment horizontal="right" vertical="top" wrapText="1" readingOrder="2"/>
    </xf>
    <xf numFmtId="4" fontId="17" fillId="2" borderId="8" xfId="0" applyNumberFormat="1" applyFont="1" applyFill="1" applyBorder="1" applyAlignment="1" applyProtection="1">
      <alignment horizontal="center" vertical="center" wrapText="1"/>
    </xf>
    <xf numFmtId="2" fontId="17" fillId="0" borderId="8" xfId="0" applyNumberFormat="1" applyFont="1" applyBorder="1" applyAlignment="1" applyProtection="1">
      <alignment horizontal="center" vertical="center" wrapText="1" readingOrder="2"/>
    </xf>
    <xf numFmtId="43" fontId="0" fillId="0" borderId="0" xfId="1" applyFont="1"/>
    <xf numFmtId="4" fontId="17" fillId="5" borderId="8" xfId="0" applyNumberFormat="1" applyFont="1" applyFill="1" applyBorder="1" applyAlignment="1" applyProtection="1">
      <alignment horizontal="center" vertical="center" wrapText="1" readingOrder="2"/>
    </xf>
    <xf numFmtId="43" fontId="2" fillId="0" borderId="0" xfId="1" applyFont="1"/>
    <xf numFmtId="0" fontId="7" fillId="5" borderId="8" xfId="0" applyFont="1" applyFill="1" applyBorder="1" applyAlignment="1" applyProtection="1">
      <alignment horizontal="right" vertical="center" wrapText="1" readingOrder="2"/>
    </xf>
    <xf numFmtId="4" fontId="7" fillId="5" borderId="8" xfId="0" applyNumberFormat="1" applyFont="1" applyFill="1" applyBorder="1" applyAlignment="1" applyProtection="1">
      <alignment horizontal="center" vertical="center" wrapText="1" readingOrder="2"/>
      <protection locked="0"/>
    </xf>
    <xf numFmtId="49" fontId="19" fillId="5" borderId="8" xfId="0" quotePrefix="1" applyNumberFormat="1" applyFont="1" applyFill="1" applyBorder="1" applyAlignment="1" applyProtection="1">
      <alignment horizontal="right" vertical="top" wrapText="1" readingOrder="2"/>
    </xf>
    <xf numFmtId="49" fontId="7" fillId="0" borderId="12" xfId="0" applyNumberFormat="1" applyFont="1" applyBorder="1" applyAlignment="1" applyProtection="1">
      <alignment horizontal="center" vertical="center" wrapText="1"/>
    </xf>
    <xf numFmtId="49" fontId="7" fillId="5" borderId="12" xfId="0" applyNumberFormat="1" applyFont="1" applyFill="1" applyBorder="1" applyAlignment="1" applyProtection="1">
      <alignment horizontal="right" vertical="center" wrapText="1" readingOrder="2"/>
    </xf>
    <xf numFmtId="4" fontId="7" fillId="2" borderId="12" xfId="0" applyNumberFormat="1" applyFont="1" applyFill="1" applyBorder="1" applyAlignment="1" applyProtection="1">
      <alignment horizontal="center" vertical="center" wrapText="1" readingOrder="2"/>
    </xf>
    <xf numFmtId="4" fontId="7" fillId="0" borderId="12" xfId="0" applyNumberFormat="1" applyFont="1" applyBorder="1" applyAlignment="1" applyProtection="1">
      <alignment horizontal="center" vertical="center" wrapText="1" readingOrder="2"/>
    </xf>
    <xf numFmtId="4" fontId="7" fillId="2" borderId="12" xfId="0" applyNumberFormat="1" applyFont="1" applyFill="1" applyBorder="1" applyAlignment="1" applyProtection="1">
      <alignment horizontal="center" vertical="center" wrapText="1" readingOrder="2"/>
      <protection locked="0"/>
    </xf>
    <xf numFmtId="4" fontId="7" fillId="0" borderId="12" xfId="0" applyNumberFormat="1" applyFont="1" applyBorder="1" applyAlignment="1" applyProtection="1">
      <alignment horizontal="center" vertical="center" wrapText="1" readingOrder="2"/>
      <protection locked="0"/>
    </xf>
    <xf numFmtId="4" fontId="21" fillId="16" borderId="2" xfId="0" applyNumberFormat="1" applyFont="1" applyFill="1" applyBorder="1" applyAlignment="1" applyProtection="1">
      <alignment horizontal="center" vertical="center" readingOrder="2"/>
    </xf>
    <xf numFmtId="4" fontId="21" fillId="16" borderId="2" xfId="0" applyNumberFormat="1" applyFont="1" applyFill="1" applyBorder="1" applyAlignment="1" applyProtection="1">
      <alignment horizontal="center" vertical="center" readingOrder="2"/>
      <protection locked="0"/>
    </xf>
    <xf numFmtId="49" fontId="8" fillId="17" borderId="3" xfId="0" applyNumberFormat="1" applyFont="1" applyFill="1" applyBorder="1" applyAlignment="1" applyProtection="1">
      <alignment vertical="center" wrapText="1" readingOrder="2"/>
    </xf>
    <xf numFmtId="49" fontId="8" fillId="17" borderId="6" xfId="0" applyNumberFormat="1" applyFont="1" applyFill="1" applyBorder="1" applyAlignment="1" applyProtection="1">
      <alignment vertical="center" wrapText="1" readingOrder="2"/>
    </xf>
    <xf numFmtId="49" fontId="5" fillId="17" borderId="2" xfId="0" applyNumberFormat="1" applyFont="1" applyFill="1" applyBorder="1" applyAlignment="1" applyProtection="1">
      <alignment horizontal="center" vertical="center" wrapText="1" readingOrder="2"/>
    </xf>
    <xf numFmtId="49" fontId="8" fillId="17" borderId="4" xfId="0" applyNumberFormat="1" applyFont="1" applyFill="1" applyBorder="1" applyAlignment="1" applyProtection="1">
      <alignment vertical="center" wrapText="1" readingOrder="2"/>
    </xf>
    <xf numFmtId="49" fontId="8" fillId="17" borderId="6" xfId="0" applyNumberFormat="1" applyFont="1" applyFill="1" applyBorder="1" applyAlignment="1" applyProtection="1">
      <alignment vertical="center" wrapText="1" readingOrder="2"/>
      <protection locked="0"/>
    </xf>
    <xf numFmtId="0" fontId="7" fillId="5" borderId="8" xfId="6" applyFont="1" applyFill="1" applyBorder="1" applyAlignment="1" applyProtection="1">
      <alignment horizontal="right" vertical="center" wrapText="1" readingOrder="2"/>
    </xf>
    <xf numFmtId="4" fontId="21" fillId="18" borderId="2" xfId="0" applyNumberFormat="1" applyFont="1" applyFill="1" applyBorder="1" applyAlignment="1" applyProtection="1">
      <alignment horizontal="center" vertical="center" readingOrder="2"/>
    </xf>
    <xf numFmtId="164" fontId="21" fillId="18" borderId="2" xfId="0" applyNumberFormat="1" applyFont="1" applyFill="1" applyBorder="1" applyAlignment="1" applyProtection="1">
      <alignment horizontal="center" vertical="center" readingOrder="2"/>
    </xf>
    <xf numFmtId="4" fontId="21" fillId="19" borderId="2" xfId="0" applyNumberFormat="1" applyFont="1" applyFill="1" applyBorder="1" applyAlignment="1" applyProtection="1">
      <alignment horizontal="center" vertical="center" readingOrder="2"/>
    </xf>
    <xf numFmtId="164" fontId="21" fillId="19" borderId="2" xfId="0" applyNumberFormat="1" applyFont="1" applyFill="1" applyBorder="1" applyAlignment="1" applyProtection="1">
      <alignment horizontal="center" vertical="center" readingOrder="2"/>
    </xf>
    <xf numFmtId="0" fontId="3" fillId="0" borderId="0" xfId="0" applyFont="1" applyAlignment="1">
      <alignment horizontal="center" vertical="center"/>
    </xf>
    <xf numFmtId="0" fontId="20" fillId="16" borderId="3" xfId="0" applyFont="1" applyFill="1" applyBorder="1" applyAlignment="1" applyProtection="1">
      <alignment horizontal="center" vertical="center"/>
    </xf>
    <xf numFmtId="0" fontId="20" fillId="16" borderId="6" xfId="0" applyFont="1" applyFill="1" applyBorder="1" applyAlignment="1" applyProtection="1">
      <alignment horizontal="center" vertical="center"/>
    </xf>
    <xf numFmtId="0" fontId="20" fillId="16" borderId="4" xfId="0" applyFont="1" applyFill="1" applyBorder="1" applyAlignment="1" applyProtection="1">
      <alignment horizontal="center" vertical="center"/>
    </xf>
    <xf numFmtId="0" fontId="20" fillId="18" borderId="3" xfId="0" applyFont="1" applyFill="1" applyBorder="1" applyAlignment="1" applyProtection="1">
      <alignment horizontal="center" vertical="center"/>
    </xf>
    <xf numFmtId="0" fontId="20" fillId="18" borderId="6" xfId="0" applyFont="1" applyFill="1" applyBorder="1" applyAlignment="1" applyProtection="1">
      <alignment horizontal="center" vertical="center"/>
    </xf>
    <xf numFmtId="0" fontId="20" fillId="18" borderId="4" xfId="0" applyFont="1" applyFill="1" applyBorder="1" applyAlignment="1" applyProtection="1">
      <alignment horizontal="center" vertical="center"/>
    </xf>
    <xf numFmtId="0" fontId="20" fillId="19" borderId="3" xfId="0" applyFont="1" applyFill="1" applyBorder="1" applyAlignment="1" applyProtection="1">
      <alignment horizontal="center" vertical="center"/>
    </xf>
    <xf numFmtId="0" fontId="20" fillId="19" borderId="6" xfId="0" applyFont="1" applyFill="1" applyBorder="1" applyAlignment="1" applyProtection="1">
      <alignment horizontal="center" vertical="center"/>
    </xf>
    <xf numFmtId="0" fontId="20" fillId="19" borderId="4" xfId="0" applyFont="1" applyFill="1" applyBorder="1" applyAlignment="1" applyProtection="1">
      <alignment horizontal="center" vertical="center"/>
    </xf>
    <xf numFmtId="0" fontId="4" fillId="2" borderId="0" xfId="0" applyFont="1" applyFill="1" applyBorder="1" applyAlignment="1" applyProtection="1">
      <alignment horizontal="center" vertical="center" wrapText="1" readingOrder="2"/>
    </xf>
    <xf numFmtId="0" fontId="4" fillId="2" borderId="1" xfId="0" applyFont="1" applyFill="1" applyBorder="1" applyAlignment="1" applyProtection="1">
      <alignment horizontal="center" vertical="center" wrapText="1" readingOrder="2"/>
    </xf>
    <xf numFmtId="0" fontId="20" fillId="9" borderId="2" xfId="0" applyFont="1" applyFill="1" applyBorder="1" applyAlignment="1" applyProtection="1">
      <alignment horizontal="center" vertical="center" wrapText="1"/>
    </xf>
    <xf numFmtId="0" fontId="20" fillId="11" borderId="3" xfId="0" applyFont="1" applyFill="1" applyBorder="1" applyAlignment="1" applyProtection="1">
      <alignment horizontal="center" vertical="center"/>
    </xf>
    <xf numFmtId="0" fontId="20" fillId="11" borderId="6" xfId="0" applyFont="1" applyFill="1" applyBorder="1" applyAlignment="1" applyProtection="1">
      <alignment horizontal="center" vertical="center"/>
    </xf>
    <xf numFmtId="0" fontId="20" fillId="11" borderId="4" xfId="0" applyFont="1" applyFill="1" applyBorder="1" applyAlignment="1" applyProtection="1">
      <alignment horizontal="center" vertical="center"/>
    </xf>
    <xf numFmtId="0" fontId="20" fillId="14" borderId="3" xfId="0" applyFont="1" applyFill="1" applyBorder="1" applyAlignment="1" applyProtection="1">
      <alignment horizontal="center" vertical="center"/>
    </xf>
    <xf numFmtId="0" fontId="20" fillId="14" borderId="6" xfId="0" applyFont="1" applyFill="1" applyBorder="1" applyAlignment="1" applyProtection="1">
      <alignment horizontal="center" vertical="center"/>
    </xf>
    <xf numFmtId="0" fontId="20" fillId="14" borderId="4" xfId="0" applyFont="1" applyFill="1" applyBorder="1" applyAlignment="1" applyProtection="1">
      <alignment horizontal="center" vertical="center"/>
    </xf>
  </cellXfs>
  <cellStyles count="7">
    <cellStyle name="Comma" xfId="1" builtinId="3"/>
    <cellStyle name="Comma 5" xfId="5"/>
    <cellStyle name="Normal" xfId="0" builtinId="0"/>
    <cellStyle name="Normal 114" xfId="2"/>
    <cellStyle name="Normal 7 2 20" xfId="6"/>
    <cellStyle name="Normal 9 2" xfId="4"/>
    <cellStyle name="Normal_Sheet1 3" xfId="3"/>
  </cellStyles>
  <dxfs count="5">
    <dxf>
      <fill>
        <patternFill>
          <bgColor theme="2" tint="-0.89996032593768116"/>
        </patternFill>
      </fill>
    </dxf>
    <dxf>
      <fill>
        <patternFill>
          <bgColor theme="2" tint="-0.89996032593768116"/>
        </patternFill>
      </fill>
    </dxf>
    <dxf>
      <fill>
        <patternFill>
          <bgColor theme="2" tint="-0.89996032593768116"/>
        </patternFill>
      </fill>
    </dxf>
    <dxf>
      <fill>
        <patternFill>
          <bgColor theme="2" tint="-0.89996032593768116"/>
        </patternFill>
      </fill>
    </dxf>
    <dxf>
      <fill>
        <patternFill>
          <bgColor theme="2"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F0"/>
  </sheetPr>
  <dimension ref="A1:TM482"/>
  <sheetViews>
    <sheetView rightToLeft="1" tabSelected="1" view="pageBreakPreview" topLeftCell="A472" zoomScale="55" zoomScaleNormal="10" zoomScaleSheetLayoutView="55" zoomScalePageLayoutView="70" workbookViewId="0">
      <selection activeCell="G480" sqref="G480"/>
    </sheetView>
  </sheetViews>
  <sheetFormatPr defaultColWidth="9.140625" defaultRowHeight="15" x14ac:dyDescent="0.25"/>
  <cols>
    <col min="1" max="1" width="4.85546875" style="27" customWidth="1"/>
    <col min="2" max="2" width="11.140625" style="239" hidden="1" customWidth="1"/>
    <col min="3" max="3" width="15.85546875" style="27" customWidth="1"/>
    <col min="4" max="4" width="50.7109375" style="192" customWidth="1"/>
    <col min="5" max="5" width="10.5703125" style="27" bestFit="1" customWidth="1"/>
    <col min="6" max="6" width="12.85546875" style="27" customWidth="1"/>
    <col min="7" max="7" width="18" style="27" customWidth="1"/>
    <col min="8" max="8" width="27" style="27" customWidth="1"/>
    <col min="9" max="9" width="21.28515625" style="239" customWidth="1"/>
    <col min="10" max="10" width="16.85546875" style="239" bestFit="1" customWidth="1"/>
    <col min="11" max="11" width="10.28515625" style="239" customWidth="1"/>
    <col min="12" max="12" width="16.85546875" style="239" bestFit="1" customWidth="1"/>
    <col min="13" max="13" width="12.85546875" style="26" bestFit="1" customWidth="1"/>
    <col min="14" max="16384" width="9.140625" style="27"/>
  </cols>
  <sheetData>
    <row r="1" spans="2:533" s="6" customFormat="1" x14ac:dyDescent="0.25">
      <c r="B1" s="1"/>
      <c r="C1" s="1"/>
      <c r="D1" s="2"/>
      <c r="E1" s="2"/>
      <c r="F1" s="3"/>
      <c r="G1" s="4"/>
      <c r="H1" s="1"/>
      <c r="I1" s="4"/>
      <c r="J1" s="1"/>
      <c r="K1" s="4"/>
      <c r="L1" s="1"/>
      <c r="M1" s="5"/>
    </row>
    <row r="2" spans="2:533" s="2" customFormat="1" ht="23.25" customHeight="1" x14ac:dyDescent="0.25">
      <c r="B2" s="249" t="s">
        <v>0</v>
      </c>
      <c r="C2" s="249"/>
      <c r="D2" s="249"/>
      <c r="E2" s="249"/>
      <c r="F2" s="249"/>
      <c r="G2" s="249"/>
      <c r="H2" s="249"/>
      <c r="I2" s="249"/>
      <c r="J2" s="249"/>
      <c r="K2" s="249"/>
      <c r="L2" s="249"/>
    </row>
    <row r="3" spans="2:533" s="2" customFormat="1" ht="23.25" customHeight="1" x14ac:dyDescent="0.25">
      <c r="B3" s="249" t="s">
        <v>1</v>
      </c>
      <c r="C3" s="249"/>
      <c r="D3" s="249"/>
      <c r="E3" s="249"/>
      <c r="F3" s="249"/>
      <c r="G3" s="249"/>
      <c r="H3" s="249"/>
      <c r="I3" s="249"/>
      <c r="J3" s="249"/>
      <c r="K3" s="249"/>
      <c r="L3" s="7"/>
    </row>
    <row r="4" spans="2:533" s="2" customFormat="1" ht="23.25" customHeight="1" x14ac:dyDescent="0.25">
      <c r="B4" s="250" t="s">
        <v>2</v>
      </c>
      <c r="C4" s="250"/>
      <c r="D4" s="250"/>
      <c r="E4" s="250"/>
      <c r="F4" s="250"/>
      <c r="G4" s="250"/>
      <c r="H4" s="250"/>
      <c r="I4" s="250"/>
      <c r="J4" s="250"/>
      <c r="K4" s="250"/>
      <c r="L4" s="7"/>
    </row>
    <row r="5" spans="2:533" s="15" customFormat="1" ht="36" customHeight="1" x14ac:dyDescent="0.3">
      <c r="B5" s="8" t="s">
        <v>3</v>
      </c>
      <c r="C5" s="9" t="s">
        <v>3</v>
      </c>
      <c r="D5" s="10" t="s">
        <v>4</v>
      </c>
      <c r="E5" s="9" t="s">
        <v>5</v>
      </c>
      <c r="F5" s="11" t="s">
        <v>6</v>
      </c>
      <c r="G5" s="12" t="s">
        <v>7</v>
      </c>
      <c r="H5" s="8" t="s">
        <v>8</v>
      </c>
      <c r="I5" s="12" t="s">
        <v>9</v>
      </c>
      <c r="J5" s="8" t="s">
        <v>10</v>
      </c>
      <c r="K5" s="12" t="s">
        <v>11</v>
      </c>
      <c r="L5" s="13" t="s">
        <v>12</v>
      </c>
      <c r="M5" s="14"/>
    </row>
    <row r="6" spans="2:533" s="15" customFormat="1" ht="36" customHeight="1" x14ac:dyDescent="0.3">
      <c r="B6" s="16" t="s">
        <v>13</v>
      </c>
      <c r="C6" s="17" t="s">
        <v>14</v>
      </c>
      <c r="D6" s="18" t="s">
        <v>15</v>
      </c>
      <c r="E6" s="17" t="s">
        <v>16</v>
      </c>
      <c r="F6" s="19" t="s">
        <v>17</v>
      </c>
      <c r="G6" s="20" t="s">
        <v>18</v>
      </c>
      <c r="H6" s="16" t="s">
        <v>19</v>
      </c>
      <c r="I6" s="20" t="s">
        <v>20</v>
      </c>
      <c r="J6" s="16" t="s">
        <v>21</v>
      </c>
      <c r="K6" s="20" t="s">
        <v>22</v>
      </c>
      <c r="L6" s="21" t="s">
        <v>23</v>
      </c>
      <c r="M6" s="14"/>
    </row>
    <row r="7" spans="2:533" ht="36" customHeight="1" x14ac:dyDescent="0.25">
      <c r="B7" s="22"/>
      <c r="C7" s="23"/>
      <c r="D7" s="24" t="s">
        <v>24</v>
      </c>
      <c r="E7" s="22"/>
      <c r="F7" s="25"/>
      <c r="G7" s="25"/>
      <c r="H7" s="25"/>
      <c r="I7" s="25"/>
      <c r="J7" s="22"/>
      <c r="K7" s="23"/>
      <c r="L7" s="22"/>
    </row>
    <row r="8" spans="2:533" s="39" customFormat="1" ht="206.25" x14ac:dyDescent="0.25">
      <c r="B8" s="28" t="s">
        <v>25</v>
      </c>
      <c r="C8" s="29"/>
      <c r="D8" s="30" t="s">
        <v>26</v>
      </c>
      <c r="E8" s="31"/>
      <c r="F8" s="32"/>
      <c r="G8" s="33"/>
      <c r="H8" s="34"/>
      <c r="I8" s="31"/>
      <c r="J8" s="35"/>
      <c r="K8" s="36"/>
      <c r="L8" s="37"/>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8"/>
      <c r="HF8" s="38"/>
      <c r="HG8" s="38"/>
      <c r="HH8" s="38"/>
      <c r="HI8" s="38"/>
      <c r="HJ8" s="38"/>
      <c r="HK8" s="38"/>
      <c r="HL8" s="38"/>
      <c r="HM8" s="38"/>
      <c r="HN8" s="38"/>
      <c r="HO8" s="38"/>
      <c r="HP8" s="38"/>
      <c r="HQ8" s="38"/>
      <c r="HR8" s="38"/>
      <c r="HS8" s="38"/>
      <c r="HT8" s="38"/>
      <c r="HU8" s="38"/>
      <c r="HV8" s="38"/>
      <c r="HW8" s="38"/>
      <c r="HX8" s="38"/>
      <c r="HY8" s="38"/>
      <c r="HZ8" s="38"/>
      <c r="IA8" s="38"/>
      <c r="IB8" s="38"/>
      <c r="IC8" s="38"/>
      <c r="ID8" s="38"/>
      <c r="IE8" s="38"/>
      <c r="IF8" s="38"/>
      <c r="IG8" s="38"/>
      <c r="IH8" s="38"/>
      <c r="II8" s="38"/>
      <c r="IJ8" s="38"/>
      <c r="IK8" s="38"/>
      <c r="IL8" s="38"/>
      <c r="IM8" s="38"/>
      <c r="IN8" s="38"/>
      <c r="IO8" s="38"/>
      <c r="IP8" s="38"/>
      <c r="IQ8" s="38"/>
      <c r="IR8" s="38"/>
      <c r="IS8" s="38"/>
      <c r="IT8" s="38"/>
      <c r="IU8" s="38"/>
      <c r="IV8" s="38"/>
      <c r="IW8" s="38"/>
      <c r="IX8" s="38"/>
      <c r="IY8" s="38"/>
      <c r="IZ8" s="38"/>
      <c r="JA8" s="38"/>
      <c r="JB8" s="38"/>
      <c r="JC8" s="38"/>
      <c r="JD8" s="38"/>
      <c r="JE8" s="38"/>
      <c r="JF8" s="38"/>
      <c r="JG8" s="38"/>
      <c r="JH8" s="38"/>
      <c r="JI8" s="38"/>
      <c r="JJ8" s="38"/>
      <c r="JK8" s="38"/>
      <c r="JL8" s="38"/>
      <c r="JM8" s="38"/>
      <c r="JN8" s="38"/>
      <c r="JO8" s="38"/>
      <c r="JP8" s="38"/>
      <c r="JQ8" s="38"/>
      <c r="JR8" s="38"/>
      <c r="JS8" s="38"/>
      <c r="JT8" s="38"/>
      <c r="JU8" s="38"/>
      <c r="JV8" s="38"/>
      <c r="JW8" s="38"/>
      <c r="JX8" s="38"/>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c r="LB8" s="38"/>
      <c r="LC8" s="38"/>
      <c r="LD8" s="38"/>
      <c r="LE8" s="38"/>
      <c r="LF8" s="38"/>
      <c r="LG8" s="38"/>
      <c r="LH8" s="38"/>
      <c r="LI8" s="38"/>
      <c r="LJ8" s="38"/>
      <c r="LK8" s="38"/>
      <c r="LL8" s="38"/>
      <c r="LM8" s="38"/>
      <c r="LN8" s="38"/>
      <c r="LO8" s="38"/>
      <c r="LP8" s="38"/>
      <c r="LQ8" s="38"/>
      <c r="LR8" s="38"/>
      <c r="LS8" s="38"/>
      <c r="LT8" s="38"/>
      <c r="LU8" s="38"/>
      <c r="LV8" s="38"/>
      <c r="LW8" s="38"/>
      <c r="LX8" s="38"/>
      <c r="LY8" s="38"/>
      <c r="LZ8" s="38"/>
      <c r="MA8" s="38"/>
      <c r="MB8" s="38"/>
      <c r="MC8" s="38"/>
      <c r="MD8" s="38"/>
      <c r="ME8" s="38"/>
      <c r="MF8" s="38"/>
      <c r="MG8" s="38"/>
      <c r="MH8" s="38"/>
      <c r="MI8" s="38"/>
      <c r="MJ8" s="38"/>
      <c r="MK8" s="38"/>
      <c r="ML8" s="38"/>
      <c r="MM8" s="38"/>
      <c r="MN8" s="38"/>
      <c r="MO8" s="38"/>
      <c r="MP8" s="38"/>
      <c r="MQ8" s="38"/>
      <c r="MR8" s="38"/>
      <c r="MS8" s="38"/>
      <c r="MT8" s="38"/>
      <c r="MU8" s="38"/>
      <c r="MV8" s="38"/>
      <c r="MW8" s="38"/>
      <c r="MX8" s="38"/>
      <c r="MY8" s="38"/>
      <c r="MZ8" s="38"/>
      <c r="NA8" s="38"/>
      <c r="NB8" s="38"/>
      <c r="NC8" s="38"/>
      <c r="ND8" s="38"/>
      <c r="NE8" s="38"/>
      <c r="NF8" s="38"/>
      <c r="NG8" s="38"/>
      <c r="NH8" s="38"/>
      <c r="NI8" s="38"/>
      <c r="NJ8" s="38"/>
      <c r="NK8" s="38"/>
      <c r="NL8" s="38"/>
      <c r="NM8" s="38"/>
      <c r="NN8" s="38"/>
      <c r="NO8" s="38"/>
      <c r="NP8" s="38"/>
      <c r="NQ8" s="38"/>
      <c r="NR8" s="38"/>
      <c r="NS8" s="38"/>
      <c r="NT8" s="38"/>
      <c r="NU8" s="38"/>
      <c r="NV8" s="38"/>
      <c r="NW8" s="38"/>
      <c r="NX8" s="38"/>
      <c r="NY8" s="38"/>
      <c r="NZ8" s="38"/>
      <c r="OA8" s="38"/>
      <c r="OB8" s="38"/>
      <c r="OC8" s="38"/>
      <c r="OD8" s="38"/>
      <c r="OE8" s="38"/>
      <c r="OF8" s="38"/>
      <c r="OG8" s="38"/>
      <c r="OH8" s="38"/>
      <c r="OI8" s="38"/>
      <c r="OJ8" s="38"/>
      <c r="OK8" s="38"/>
      <c r="OL8" s="38"/>
      <c r="OM8" s="38"/>
      <c r="ON8" s="38"/>
      <c r="OO8" s="38"/>
      <c r="OP8" s="38"/>
      <c r="OQ8" s="38"/>
      <c r="OR8" s="38"/>
      <c r="OS8" s="38"/>
      <c r="OT8" s="38"/>
      <c r="OU8" s="38"/>
      <c r="OV8" s="38"/>
      <c r="OW8" s="38"/>
      <c r="OX8" s="38"/>
      <c r="OY8" s="38"/>
      <c r="OZ8" s="38"/>
      <c r="PA8" s="38"/>
      <c r="PB8" s="38"/>
      <c r="PC8" s="38"/>
      <c r="PD8" s="38"/>
      <c r="PE8" s="38"/>
      <c r="PF8" s="38"/>
      <c r="PG8" s="38"/>
      <c r="PH8" s="38"/>
      <c r="PI8" s="38"/>
      <c r="PJ8" s="38"/>
      <c r="PK8" s="38"/>
      <c r="PL8" s="38"/>
      <c r="PM8" s="38"/>
      <c r="PN8" s="38"/>
      <c r="PO8" s="38"/>
      <c r="PP8" s="38"/>
      <c r="PQ8" s="38"/>
      <c r="PR8" s="38"/>
      <c r="PS8" s="38"/>
      <c r="PT8" s="38"/>
      <c r="PU8" s="38"/>
      <c r="PV8" s="38"/>
      <c r="PW8" s="38"/>
      <c r="PX8" s="38"/>
      <c r="PY8" s="38"/>
      <c r="PZ8" s="38"/>
      <c r="QA8" s="38"/>
      <c r="QB8" s="38"/>
      <c r="QC8" s="38"/>
      <c r="QD8" s="38"/>
      <c r="QE8" s="38"/>
      <c r="QF8" s="38"/>
      <c r="QG8" s="38"/>
      <c r="QH8" s="38"/>
      <c r="QI8" s="38"/>
      <c r="QJ8" s="38"/>
      <c r="QK8" s="38"/>
      <c r="QL8" s="38"/>
      <c r="QM8" s="38"/>
      <c r="QN8" s="38"/>
      <c r="QO8" s="38"/>
      <c r="QP8" s="38"/>
      <c r="QQ8" s="38"/>
      <c r="QR8" s="38"/>
      <c r="QS8" s="38"/>
      <c r="QT8" s="38"/>
      <c r="QU8" s="38"/>
      <c r="QV8" s="38"/>
      <c r="QW8" s="38"/>
      <c r="QX8" s="38"/>
      <c r="QY8" s="38"/>
      <c r="QZ8" s="38"/>
      <c r="RA8" s="38"/>
      <c r="RB8" s="38"/>
      <c r="RC8" s="38"/>
      <c r="RD8" s="38"/>
      <c r="RE8" s="38"/>
      <c r="RF8" s="38"/>
      <c r="RG8" s="38"/>
      <c r="RH8" s="38"/>
      <c r="RI8" s="38"/>
      <c r="RJ8" s="38"/>
      <c r="RK8" s="38"/>
      <c r="RL8" s="38"/>
      <c r="RM8" s="38"/>
      <c r="RN8" s="38"/>
      <c r="RO8" s="38"/>
      <c r="RP8" s="38"/>
      <c r="RQ8" s="38"/>
      <c r="RR8" s="38"/>
      <c r="RS8" s="38"/>
      <c r="RT8" s="38"/>
      <c r="RU8" s="38"/>
      <c r="RV8" s="38"/>
      <c r="RW8" s="38"/>
      <c r="RX8" s="38"/>
      <c r="RY8" s="38"/>
      <c r="RZ8" s="38"/>
      <c r="SA8" s="38"/>
      <c r="SB8" s="38"/>
      <c r="SC8" s="38"/>
      <c r="SD8" s="38"/>
      <c r="SE8" s="38"/>
      <c r="SF8" s="38"/>
      <c r="SG8" s="38"/>
      <c r="SH8" s="38"/>
      <c r="SI8" s="38"/>
      <c r="SJ8" s="38"/>
      <c r="SK8" s="38"/>
      <c r="SL8" s="38"/>
      <c r="SM8" s="38"/>
      <c r="SN8" s="38"/>
      <c r="SO8" s="38"/>
      <c r="SP8" s="38"/>
      <c r="SQ8" s="38"/>
      <c r="SR8" s="38"/>
      <c r="SS8" s="38"/>
      <c r="ST8" s="38"/>
      <c r="SU8" s="38"/>
      <c r="SV8" s="38"/>
      <c r="SW8" s="38"/>
      <c r="SX8" s="38"/>
      <c r="SY8" s="38"/>
      <c r="SZ8" s="38"/>
      <c r="TA8" s="38"/>
      <c r="TB8" s="38"/>
      <c r="TC8" s="38"/>
      <c r="TD8" s="38"/>
      <c r="TE8" s="38"/>
      <c r="TF8" s="38"/>
      <c r="TG8" s="38"/>
      <c r="TH8" s="38"/>
      <c r="TI8" s="38"/>
      <c r="TJ8" s="38"/>
      <c r="TK8" s="38"/>
      <c r="TL8" s="38"/>
      <c r="TM8" s="38"/>
    </row>
    <row r="9" spans="2:533" s="39" customFormat="1" ht="18.75" x14ac:dyDescent="0.25">
      <c r="B9" s="40" t="s">
        <v>25</v>
      </c>
      <c r="C9" s="41" t="s">
        <v>27</v>
      </c>
      <c r="D9" s="42" t="s">
        <v>28</v>
      </c>
      <c r="E9" s="43" t="s">
        <v>29</v>
      </c>
      <c r="F9" s="44">
        <v>179</v>
      </c>
      <c r="G9" s="45"/>
      <c r="H9" s="46"/>
      <c r="I9" s="47">
        <f t="shared" ref="I9" si="0">F9*G9</f>
        <v>0</v>
      </c>
      <c r="J9" s="48">
        <v>2004</v>
      </c>
      <c r="K9" s="47" t="s">
        <v>30</v>
      </c>
      <c r="L9" s="49"/>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c r="DA9" s="38"/>
      <c r="DB9" s="38"/>
      <c r="DC9" s="38"/>
      <c r="DD9" s="38"/>
      <c r="DE9" s="38"/>
      <c r="DF9" s="38"/>
      <c r="DG9" s="38"/>
      <c r="DH9" s="38"/>
      <c r="DI9" s="38"/>
      <c r="DJ9" s="38"/>
      <c r="DK9" s="38"/>
      <c r="DL9" s="38"/>
      <c r="DM9" s="38"/>
      <c r="DN9" s="38"/>
      <c r="DO9" s="38"/>
      <c r="DP9" s="38"/>
      <c r="DQ9" s="38"/>
      <c r="DR9" s="38"/>
      <c r="DS9" s="38"/>
      <c r="DT9" s="38"/>
      <c r="DU9" s="38"/>
      <c r="DV9" s="38"/>
      <c r="DW9" s="38"/>
      <c r="DX9" s="38"/>
      <c r="DY9" s="38"/>
      <c r="DZ9" s="38"/>
      <c r="EA9" s="38"/>
      <c r="EB9" s="38"/>
      <c r="EC9" s="38"/>
      <c r="ED9" s="38"/>
      <c r="EE9" s="38"/>
      <c r="EF9" s="38"/>
      <c r="EG9" s="38"/>
      <c r="EH9" s="38"/>
      <c r="EI9" s="38"/>
      <c r="EJ9" s="38"/>
      <c r="EK9" s="38"/>
      <c r="EL9" s="38"/>
      <c r="EM9" s="38"/>
      <c r="EN9" s="38"/>
      <c r="EO9" s="38"/>
      <c r="EP9" s="38"/>
      <c r="EQ9" s="38"/>
      <c r="ER9" s="38"/>
      <c r="ES9" s="38"/>
      <c r="ET9" s="38"/>
      <c r="EU9" s="38"/>
      <c r="EV9" s="38"/>
      <c r="EW9" s="38"/>
      <c r="EX9" s="38"/>
      <c r="EY9" s="38"/>
      <c r="EZ9" s="38"/>
      <c r="FA9" s="38"/>
      <c r="FB9" s="38"/>
      <c r="FC9" s="38"/>
      <c r="FD9" s="38"/>
      <c r="FE9" s="38"/>
      <c r="FF9" s="38"/>
      <c r="FG9" s="38"/>
      <c r="FH9" s="38"/>
      <c r="FI9" s="38"/>
      <c r="FJ9" s="38"/>
      <c r="FK9" s="38"/>
      <c r="FL9" s="38"/>
      <c r="FM9" s="38"/>
      <c r="FN9" s="38"/>
      <c r="FO9" s="38"/>
      <c r="FP9" s="38"/>
      <c r="FQ9" s="38"/>
      <c r="FR9" s="38"/>
      <c r="FS9" s="38"/>
      <c r="FT9" s="38"/>
      <c r="FU9" s="38"/>
      <c r="FV9" s="38"/>
      <c r="FW9" s="38"/>
      <c r="FX9" s="38"/>
      <c r="FY9" s="38"/>
      <c r="FZ9" s="38"/>
      <c r="GA9" s="38"/>
      <c r="GB9" s="38"/>
      <c r="GC9" s="38"/>
      <c r="GD9" s="38"/>
      <c r="GE9" s="38"/>
      <c r="GF9" s="38"/>
      <c r="GG9" s="38"/>
      <c r="GH9" s="38"/>
      <c r="GI9" s="38"/>
      <c r="GJ9" s="38"/>
      <c r="GK9" s="38"/>
      <c r="GL9" s="38"/>
      <c r="GM9" s="38"/>
      <c r="GN9" s="38"/>
      <c r="GO9" s="38"/>
      <c r="GP9" s="38"/>
      <c r="GQ9" s="38"/>
      <c r="GR9" s="38"/>
      <c r="GS9" s="38"/>
      <c r="GT9" s="38"/>
      <c r="GU9" s="38"/>
      <c r="GV9" s="38"/>
      <c r="GW9" s="38"/>
      <c r="GX9" s="38"/>
      <c r="GY9" s="38"/>
      <c r="GZ9" s="38"/>
      <c r="HA9" s="38"/>
      <c r="HB9" s="38"/>
      <c r="HC9" s="38"/>
      <c r="HD9" s="38"/>
      <c r="HE9" s="38"/>
      <c r="HF9" s="38"/>
      <c r="HG9" s="38"/>
      <c r="HH9" s="38"/>
      <c r="HI9" s="38"/>
      <c r="HJ9" s="38"/>
      <c r="HK9" s="38"/>
      <c r="HL9" s="38"/>
      <c r="HM9" s="38"/>
      <c r="HN9" s="38"/>
      <c r="HO9" s="38"/>
      <c r="HP9" s="38"/>
      <c r="HQ9" s="38"/>
      <c r="HR9" s="38"/>
      <c r="HS9" s="38"/>
      <c r="HT9" s="38"/>
      <c r="HU9" s="38"/>
      <c r="HV9" s="38"/>
      <c r="HW9" s="38"/>
      <c r="HX9" s="38"/>
      <c r="HY9" s="38"/>
      <c r="HZ9" s="38"/>
      <c r="IA9" s="38"/>
      <c r="IB9" s="38"/>
      <c r="IC9" s="38"/>
      <c r="ID9" s="38"/>
      <c r="IE9" s="38"/>
      <c r="IF9" s="38"/>
      <c r="IG9" s="38"/>
      <c r="IH9" s="38"/>
      <c r="II9" s="38"/>
      <c r="IJ9" s="38"/>
      <c r="IK9" s="38"/>
      <c r="IL9" s="38"/>
      <c r="IM9" s="38"/>
      <c r="IN9" s="38"/>
      <c r="IO9" s="38"/>
      <c r="IP9" s="38"/>
      <c r="IQ9" s="38"/>
      <c r="IR9" s="38"/>
      <c r="IS9" s="38"/>
      <c r="IT9" s="38"/>
      <c r="IU9" s="38"/>
      <c r="IV9" s="38"/>
      <c r="IW9" s="38"/>
      <c r="IX9" s="38"/>
      <c r="IY9" s="38"/>
      <c r="IZ9" s="38"/>
      <c r="JA9" s="38"/>
      <c r="JB9" s="38"/>
      <c r="JC9" s="38"/>
      <c r="JD9" s="38"/>
      <c r="JE9" s="38"/>
      <c r="JF9" s="38"/>
      <c r="JG9" s="38"/>
      <c r="JH9" s="38"/>
      <c r="JI9" s="38"/>
      <c r="JJ9" s="38"/>
      <c r="JK9" s="38"/>
      <c r="JL9" s="38"/>
      <c r="JM9" s="38"/>
      <c r="JN9" s="38"/>
      <c r="JO9" s="38"/>
      <c r="JP9" s="38"/>
      <c r="JQ9" s="38"/>
      <c r="JR9" s="38"/>
      <c r="JS9" s="38"/>
      <c r="JT9" s="38"/>
      <c r="JU9" s="38"/>
      <c r="JV9" s="38"/>
      <c r="JW9" s="38"/>
      <c r="JX9" s="38"/>
      <c r="JY9" s="38"/>
      <c r="JZ9" s="38"/>
      <c r="KA9" s="38"/>
      <c r="KB9" s="38"/>
      <c r="KC9" s="38"/>
      <c r="KD9" s="38"/>
      <c r="KE9" s="38"/>
      <c r="KF9" s="38"/>
      <c r="KG9" s="38"/>
      <c r="KH9" s="38"/>
      <c r="KI9" s="38"/>
      <c r="KJ9" s="38"/>
      <c r="KK9" s="38"/>
      <c r="KL9" s="38"/>
      <c r="KM9" s="38"/>
      <c r="KN9" s="38"/>
      <c r="KO9" s="38"/>
      <c r="KP9" s="38"/>
      <c r="KQ9" s="38"/>
      <c r="KR9" s="38"/>
      <c r="KS9" s="38"/>
      <c r="KT9" s="38"/>
      <c r="KU9" s="38"/>
      <c r="KV9" s="38"/>
      <c r="KW9" s="38"/>
      <c r="KX9" s="38"/>
      <c r="KY9" s="38"/>
      <c r="KZ9" s="38"/>
      <c r="LA9" s="38"/>
      <c r="LB9" s="38"/>
      <c r="LC9" s="38"/>
      <c r="LD9" s="38"/>
      <c r="LE9" s="38"/>
      <c r="LF9" s="38"/>
      <c r="LG9" s="38"/>
      <c r="LH9" s="38"/>
      <c r="LI9" s="38"/>
      <c r="LJ9" s="38"/>
      <c r="LK9" s="38"/>
      <c r="LL9" s="38"/>
      <c r="LM9" s="38"/>
      <c r="LN9" s="38"/>
      <c r="LO9" s="38"/>
      <c r="LP9" s="38"/>
      <c r="LQ9" s="38"/>
      <c r="LR9" s="38"/>
      <c r="LS9" s="38"/>
      <c r="LT9" s="38"/>
      <c r="LU9" s="38"/>
      <c r="LV9" s="38"/>
      <c r="LW9" s="38"/>
      <c r="LX9" s="38"/>
      <c r="LY9" s="38"/>
      <c r="LZ9" s="38"/>
      <c r="MA9" s="38"/>
      <c r="MB9" s="38"/>
      <c r="MC9" s="38"/>
      <c r="MD9" s="38"/>
      <c r="ME9" s="38"/>
      <c r="MF9" s="38"/>
      <c r="MG9" s="38"/>
      <c r="MH9" s="38"/>
      <c r="MI9" s="38"/>
      <c r="MJ9" s="38"/>
      <c r="MK9" s="38"/>
      <c r="ML9" s="38"/>
      <c r="MM9" s="38"/>
      <c r="MN9" s="38"/>
      <c r="MO9" s="38"/>
      <c r="MP9" s="38"/>
      <c r="MQ9" s="38"/>
      <c r="MR9" s="38"/>
      <c r="MS9" s="38"/>
      <c r="MT9" s="38"/>
      <c r="MU9" s="38"/>
      <c r="MV9" s="38"/>
      <c r="MW9" s="38"/>
      <c r="MX9" s="38"/>
      <c r="MY9" s="38"/>
      <c r="MZ9" s="38"/>
      <c r="NA9" s="38"/>
      <c r="NB9" s="38"/>
      <c r="NC9" s="38"/>
      <c r="ND9" s="38"/>
      <c r="NE9" s="38"/>
      <c r="NF9" s="38"/>
      <c r="NG9" s="38"/>
      <c r="NH9" s="38"/>
      <c r="NI9" s="38"/>
      <c r="NJ9" s="38"/>
      <c r="NK9" s="38"/>
      <c r="NL9" s="38"/>
      <c r="NM9" s="38"/>
      <c r="NN9" s="38"/>
      <c r="NO9" s="38"/>
      <c r="NP9" s="38"/>
      <c r="NQ9" s="38"/>
      <c r="NR9" s="38"/>
      <c r="NS9" s="38"/>
      <c r="NT9" s="38"/>
      <c r="NU9" s="38"/>
      <c r="NV9" s="38"/>
      <c r="NW9" s="38"/>
      <c r="NX9" s="38"/>
      <c r="NY9" s="38"/>
      <c r="NZ9" s="38"/>
      <c r="OA9" s="38"/>
      <c r="OB9" s="38"/>
      <c r="OC9" s="38"/>
      <c r="OD9" s="38"/>
      <c r="OE9" s="38"/>
      <c r="OF9" s="38"/>
      <c r="OG9" s="38"/>
      <c r="OH9" s="38"/>
      <c r="OI9" s="38"/>
      <c r="OJ9" s="38"/>
      <c r="OK9" s="38"/>
      <c r="OL9" s="38"/>
      <c r="OM9" s="38"/>
      <c r="ON9" s="38"/>
      <c r="OO9" s="38"/>
      <c r="OP9" s="38"/>
      <c r="OQ9" s="38"/>
      <c r="OR9" s="38"/>
      <c r="OS9" s="38"/>
      <c r="OT9" s="38"/>
      <c r="OU9" s="38"/>
      <c r="OV9" s="38"/>
      <c r="OW9" s="38"/>
      <c r="OX9" s="38"/>
      <c r="OY9" s="38"/>
      <c r="OZ9" s="38"/>
      <c r="PA9" s="38"/>
      <c r="PB9" s="38"/>
      <c r="PC9" s="38"/>
      <c r="PD9" s="38"/>
      <c r="PE9" s="38"/>
      <c r="PF9" s="38"/>
      <c r="PG9" s="38"/>
      <c r="PH9" s="38"/>
      <c r="PI9" s="38"/>
      <c r="PJ9" s="38"/>
      <c r="PK9" s="38"/>
      <c r="PL9" s="38"/>
      <c r="PM9" s="38"/>
      <c r="PN9" s="38"/>
      <c r="PO9" s="38"/>
      <c r="PP9" s="38"/>
      <c r="PQ9" s="38"/>
      <c r="PR9" s="38"/>
      <c r="PS9" s="38"/>
      <c r="PT9" s="38"/>
      <c r="PU9" s="38"/>
      <c r="PV9" s="38"/>
      <c r="PW9" s="38"/>
      <c r="PX9" s="38"/>
      <c r="PY9" s="38"/>
      <c r="PZ9" s="38"/>
      <c r="QA9" s="38"/>
      <c r="QB9" s="38"/>
      <c r="QC9" s="38"/>
      <c r="QD9" s="38"/>
      <c r="QE9" s="38"/>
      <c r="QF9" s="38"/>
      <c r="QG9" s="38"/>
      <c r="QH9" s="38"/>
      <c r="QI9" s="38"/>
      <c r="QJ9" s="38"/>
      <c r="QK9" s="38"/>
      <c r="QL9" s="38"/>
      <c r="QM9" s="38"/>
      <c r="QN9" s="38"/>
      <c r="QO9" s="38"/>
      <c r="QP9" s="38"/>
      <c r="QQ9" s="38"/>
      <c r="QR9" s="38"/>
      <c r="QS9" s="38"/>
      <c r="QT9" s="38"/>
      <c r="QU9" s="38"/>
      <c r="QV9" s="38"/>
      <c r="QW9" s="38"/>
      <c r="QX9" s="38"/>
      <c r="QY9" s="38"/>
      <c r="QZ9" s="38"/>
      <c r="RA9" s="38"/>
      <c r="RB9" s="38"/>
      <c r="RC9" s="38"/>
      <c r="RD9" s="38"/>
      <c r="RE9" s="38"/>
      <c r="RF9" s="38"/>
      <c r="RG9" s="38"/>
      <c r="RH9" s="38"/>
      <c r="RI9" s="38"/>
      <c r="RJ9" s="38"/>
      <c r="RK9" s="38"/>
      <c r="RL9" s="38"/>
      <c r="RM9" s="38"/>
      <c r="RN9" s="38"/>
      <c r="RO9" s="38"/>
      <c r="RP9" s="38"/>
      <c r="RQ9" s="38"/>
      <c r="RR9" s="38"/>
      <c r="RS9" s="38"/>
      <c r="RT9" s="38"/>
      <c r="RU9" s="38"/>
      <c r="RV9" s="38"/>
      <c r="RW9" s="38"/>
      <c r="RX9" s="38"/>
      <c r="RY9" s="38"/>
      <c r="RZ9" s="38"/>
      <c r="SA9" s="38"/>
      <c r="SB9" s="38"/>
      <c r="SC9" s="38"/>
      <c r="SD9" s="38"/>
      <c r="SE9" s="38"/>
      <c r="SF9" s="38"/>
      <c r="SG9" s="38"/>
      <c r="SH9" s="38"/>
      <c r="SI9" s="38"/>
      <c r="SJ9" s="38"/>
      <c r="SK9" s="38"/>
      <c r="SL9" s="38"/>
      <c r="SM9" s="38"/>
      <c r="SN9" s="38"/>
      <c r="SO9" s="38"/>
      <c r="SP9" s="38"/>
      <c r="SQ9" s="38"/>
      <c r="SR9" s="38"/>
      <c r="SS9" s="38"/>
      <c r="ST9" s="38"/>
      <c r="SU9" s="38"/>
      <c r="SV9" s="38"/>
      <c r="SW9" s="38"/>
      <c r="SX9" s="38"/>
      <c r="SY9" s="38"/>
      <c r="SZ9" s="38"/>
      <c r="TA9" s="38"/>
      <c r="TB9" s="38"/>
      <c r="TC9" s="38"/>
      <c r="TD9" s="38"/>
      <c r="TE9" s="38"/>
      <c r="TF9" s="38"/>
      <c r="TG9" s="38"/>
      <c r="TH9" s="38"/>
      <c r="TI9" s="38"/>
      <c r="TJ9" s="38"/>
      <c r="TK9" s="38"/>
      <c r="TL9" s="38"/>
      <c r="TM9" s="38"/>
    </row>
    <row r="10" spans="2:533" s="39" customFormat="1" ht="37.5" x14ac:dyDescent="0.25">
      <c r="B10" s="40" t="s">
        <v>25</v>
      </c>
      <c r="C10" s="41" t="s">
        <v>31</v>
      </c>
      <c r="D10" s="42" t="s">
        <v>32</v>
      </c>
      <c r="E10" s="43" t="s">
        <v>29</v>
      </c>
      <c r="F10" s="44">
        <v>881</v>
      </c>
      <c r="G10" s="45"/>
      <c r="H10" s="46"/>
      <c r="I10" s="47">
        <f>F10*G10</f>
        <v>0</v>
      </c>
      <c r="J10" s="48">
        <v>2004</v>
      </c>
      <c r="K10" s="47" t="s">
        <v>30</v>
      </c>
      <c r="L10" s="49"/>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c r="HI10" s="38"/>
      <c r="HJ10" s="38"/>
      <c r="HK10" s="38"/>
      <c r="HL10" s="38"/>
      <c r="HM10" s="38"/>
      <c r="HN10" s="38"/>
      <c r="HO10" s="38"/>
      <c r="HP10" s="38"/>
      <c r="HQ10" s="38"/>
      <c r="HR10" s="38"/>
      <c r="HS10" s="38"/>
      <c r="HT10" s="38"/>
      <c r="HU10" s="38"/>
      <c r="HV10" s="38"/>
      <c r="HW10" s="38"/>
      <c r="HX10" s="38"/>
      <c r="HY10" s="38"/>
      <c r="HZ10" s="38"/>
      <c r="IA10" s="38"/>
      <c r="IB10" s="38"/>
      <c r="IC10" s="38"/>
      <c r="ID10" s="38"/>
      <c r="IE10" s="38"/>
      <c r="IF10" s="38"/>
      <c r="IG10" s="38"/>
      <c r="IH10" s="38"/>
      <c r="II10" s="38"/>
      <c r="IJ10" s="38"/>
      <c r="IK10" s="38"/>
      <c r="IL10" s="38"/>
      <c r="IM10" s="38"/>
      <c r="IN10" s="38"/>
      <c r="IO10" s="38"/>
      <c r="IP10" s="38"/>
      <c r="IQ10" s="38"/>
      <c r="IR10" s="38"/>
      <c r="IS10" s="38"/>
      <c r="IT10" s="38"/>
      <c r="IU10" s="38"/>
      <c r="IV10" s="38"/>
      <c r="IW10" s="38"/>
      <c r="IX10" s="38"/>
      <c r="IY10" s="38"/>
      <c r="IZ10" s="38"/>
      <c r="JA10" s="38"/>
      <c r="JB10" s="38"/>
      <c r="JC10" s="38"/>
      <c r="JD10" s="38"/>
      <c r="JE10" s="38"/>
      <c r="JF10" s="38"/>
      <c r="JG10" s="38"/>
      <c r="JH10" s="38"/>
      <c r="JI10" s="38"/>
      <c r="JJ10" s="38"/>
      <c r="JK10" s="38"/>
      <c r="JL10" s="38"/>
      <c r="JM10" s="38"/>
      <c r="JN10" s="38"/>
      <c r="JO10" s="38"/>
      <c r="JP10" s="38"/>
      <c r="JQ10" s="38"/>
      <c r="JR10" s="38"/>
      <c r="JS10" s="38"/>
      <c r="JT10" s="38"/>
      <c r="JU10" s="38"/>
      <c r="JV10" s="38"/>
      <c r="JW10" s="38"/>
      <c r="JX10" s="38"/>
      <c r="JY10" s="38"/>
      <c r="JZ10" s="38"/>
      <c r="KA10" s="38"/>
      <c r="KB10" s="38"/>
      <c r="KC10" s="38"/>
      <c r="KD10" s="38"/>
      <c r="KE10" s="38"/>
      <c r="KF10" s="38"/>
      <c r="KG10" s="38"/>
      <c r="KH10" s="38"/>
      <c r="KI10" s="38"/>
      <c r="KJ10" s="38"/>
      <c r="KK10" s="38"/>
      <c r="KL10" s="38"/>
      <c r="KM10" s="38"/>
      <c r="KN10" s="38"/>
      <c r="KO10" s="38"/>
      <c r="KP10" s="38"/>
      <c r="KQ10" s="38"/>
      <c r="KR10" s="38"/>
      <c r="KS10" s="38"/>
      <c r="KT10" s="38"/>
      <c r="KU10" s="38"/>
      <c r="KV10" s="38"/>
      <c r="KW10" s="38"/>
      <c r="KX10" s="38"/>
      <c r="KY10" s="38"/>
      <c r="KZ10" s="38"/>
      <c r="LA10" s="38"/>
      <c r="LB10" s="38"/>
      <c r="LC10" s="38"/>
      <c r="LD10" s="38"/>
      <c r="LE10" s="38"/>
      <c r="LF10" s="38"/>
      <c r="LG10" s="38"/>
      <c r="LH10" s="38"/>
      <c r="LI10" s="38"/>
      <c r="LJ10" s="38"/>
      <c r="LK10" s="38"/>
      <c r="LL10" s="38"/>
      <c r="LM10" s="38"/>
      <c r="LN10" s="38"/>
      <c r="LO10" s="38"/>
      <c r="LP10" s="38"/>
      <c r="LQ10" s="38"/>
      <c r="LR10" s="38"/>
      <c r="LS10" s="38"/>
      <c r="LT10" s="38"/>
      <c r="LU10" s="38"/>
      <c r="LV10" s="38"/>
      <c r="LW10" s="38"/>
      <c r="LX10" s="38"/>
      <c r="LY10" s="38"/>
      <c r="LZ10" s="38"/>
      <c r="MA10" s="38"/>
      <c r="MB10" s="38"/>
      <c r="MC10" s="38"/>
      <c r="MD10" s="38"/>
      <c r="ME10" s="38"/>
      <c r="MF10" s="38"/>
      <c r="MG10" s="38"/>
      <c r="MH10" s="38"/>
      <c r="MI10" s="38"/>
      <c r="MJ10" s="38"/>
      <c r="MK10" s="38"/>
      <c r="ML10" s="38"/>
      <c r="MM10" s="38"/>
      <c r="MN10" s="38"/>
      <c r="MO10" s="38"/>
      <c r="MP10" s="38"/>
      <c r="MQ10" s="38"/>
      <c r="MR10" s="38"/>
      <c r="MS10" s="38"/>
      <c r="MT10" s="38"/>
      <c r="MU10" s="38"/>
      <c r="MV10" s="38"/>
      <c r="MW10" s="38"/>
      <c r="MX10" s="38"/>
      <c r="MY10" s="38"/>
      <c r="MZ10" s="38"/>
      <c r="NA10" s="38"/>
      <c r="NB10" s="38"/>
      <c r="NC10" s="38"/>
      <c r="ND10" s="38"/>
      <c r="NE10" s="38"/>
      <c r="NF10" s="38"/>
      <c r="NG10" s="38"/>
      <c r="NH10" s="38"/>
      <c r="NI10" s="38"/>
      <c r="NJ10" s="38"/>
      <c r="NK10" s="38"/>
      <c r="NL10" s="38"/>
      <c r="NM10" s="38"/>
      <c r="NN10" s="38"/>
      <c r="NO10" s="38"/>
      <c r="NP10" s="38"/>
      <c r="NQ10" s="38"/>
      <c r="NR10" s="38"/>
      <c r="NS10" s="38"/>
      <c r="NT10" s="38"/>
      <c r="NU10" s="38"/>
      <c r="NV10" s="38"/>
      <c r="NW10" s="38"/>
      <c r="NX10" s="38"/>
      <c r="NY10" s="38"/>
      <c r="NZ10" s="38"/>
      <c r="OA10" s="38"/>
      <c r="OB10" s="38"/>
      <c r="OC10" s="38"/>
      <c r="OD10" s="38"/>
      <c r="OE10" s="38"/>
      <c r="OF10" s="38"/>
      <c r="OG10" s="38"/>
      <c r="OH10" s="38"/>
      <c r="OI10" s="38"/>
      <c r="OJ10" s="38"/>
      <c r="OK10" s="38"/>
      <c r="OL10" s="38"/>
      <c r="OM10" s="38"/>
      <c r="ON10" s="38"/>
      <c r="OO10" s="38"/>
      <c r="OP10" s="38"/>
      <c r="OQ10" s="38"/>
      <c r="OR10" s="38"/>
      <c r="OS10" s="38"/>
      <c r="OT10" s="38"/>
      <c r="OU10" s="38"/>
      <c r="OV10" s="38"/>
      <c r="OW10" s="38"/>
      <c r="OX10" s="38"/>
      <c r="OY10" s="38"/>
      <c r="OZ10" s="38"/>
      <c r="PA10" s="38"/>
      <c r="PB10" s="38"/>
      <c r="PC10" s="38"/>
      <c r="PD10" s="38"/>
      <c r="PE10" s="38"/>
      <c r="PF10" s="38"/>
      <c r="PG10" s="38"/>
      <c r="PH10" s="38"/>
      <c r="PI10" s="38"/>
      <c r="PJ10" s="38"/>
      <c r="PK10" s="38"/>
      <c r="PL10" s="38"/>
      <c r="PM10" s="38"/>
      <c r="PN10" s="38"/>
      <c r="PO10" s="38"/>
      <c r="PP10" s="38"/>
      <c r="PQ10" s="38"/>
      <c r="PR10" s="38"/>
      <c r="PS10" s="38"/>
      <c r="PT10" s="38"/>
      <c r="PU10" s="38"/>
      <c r="PV10" s="38"/>
      <c r="PW10" s="38"/>
      <c r="PX10" s="38"/>
      <c r="PY10" s="38"/>
      <c r="PZ10" s="38"/>
      <c r="QA10" s="38"/>
      <c r="QB10" s="38"/>
      <c r="QC10" s="38"/>
      <c r="QD10" s="38"/>
      <c r="QE10" s="38"/>
      <c r="QF10" s="38"/>
      <c r="QG10" s="38"/>
      <c r="QH10" s="38"/>
      <c r="QI10" s="38"/>
      <c r="QJ10" s="38"/>
      <c r="QK10" s="38"/>
      <c r="QL10" s="38"/>
      <c r="QM10" s="38"/>
      <c r="QN10" s="38"/>
      <c r="QO10" s="38"/>
      <c r="QP10" s="38"/>
      <c r="QQ10" s="38"/>
      <c r="QR10" s="38"/>
      <c r="QS10" s="38"/>
      <c r="QT10" s="38"/>
      <c r="QU10" s="38"/>
      <c r="QV10" s="38"/>
      <c r="QW10" s="38"/>
      <c r="QX10" s="38"/>
      <c r="QY10" s="38"/>
      <c r="QZ10" s="38"/>
      <c r="RA10" s="38"/>
      <c r="RB10" s="38"/>
      <c r="RC10" s="38"/>
      <c r="RD10" s="38"/>
      <c r="RE10" s="38"/>
      <c r="RF10" s="38"/>
      <c r="RG10" s="38"/>
      <c r="RH10" s="38"/>
      <c r="RI10" s="38"/>
      <c r="RJ10" s="38"/>
      <c r="RK10" s="38"/>
      <c r="RL10" s="38"/>
      <c r="RM10" s="38"/>
      <c r="RN10" s="38"/>
      <c r="RO10" s="38"/>
      <c r="RP10" s="38"/>
      <c r="RQ10" s="38"/>
      <c r="RR10" s="38"/>
      <c r="RS10" s="38"/>
      <c r="RT10" s="38"/>
      <c r="RU10" s="38"/>
      <c r="RV10" s="38"/>
      <c r="RW10" s="38"/>
      <c r="RX10" s="38"/>
      <c r="RY10" s="38"/>
      <c r="RZ10" s="38"/>
      <c r="SA10" s="38"/>
      <c r="SB10" s="38"/>
      <c r="SC10" s="38"/>
      <c r="SD10" s="38"/>
      <c r="SE10" s="38"/>
      <c r="SF10" s="38"/>
      <c r="SG10" s="38"/>
      <c r="SH10" s="38"/>
      <c r="SI10" s="38"/>
      <c r="SJ10" s="38"/>
      <c r="SK10" s="38"/>
      <c r="SL10" s="38"/>
      <c r="SM10" s="38"/>
      <c r="SN10" s="38"/>
      <c r="SO10" s="38"/>
      <c r="SP10" s="38"/>
      <c r="SQ10" s="38"/>
      <c r="SR10" s="38"/>
      <c r="SS10" s="38"/>
      <c r="ST10" s="38"/>
      <c r="SU10" s="38"/>
      <c r="SV10" s="38"/>
      <c r="SW10" s="38"/>
      <c r="SX10" s="38"/>
      <c r="SY10" s="38"/>
      <c r="SZ10" s="38"/>
      <c r="TA10" s="38"/>
      <c r="TB10" s="38"/>
      <c r="TC10" s="38"/>
      <c r="TD10" s="38"/>
      <c r="TE10" s="38"/>
      <c r="TF10" s="38"/>
      <c r="TG10" s="38"/>
      <c r="TH10" s="38"/>
      <c r="TI10" s="38"/>
      <c r="TJ10" s="38"/>
      <c r="TK10" s="38"/>
      <c r="TL10" s="38"/>
      <c r="TM10" s="38"/>
    </row>
    <row r="11" spans="2:533" s="39" customFormat="1" ht="131.25" x14ac:dyDescent="0.25">
      <c r="B11" s="50" t="s">
        <v>25</v>
      </c>
      <c r="C11" s="41"/>
      <c r="D11" s="51" t="s">
        <v>33</v>
      </c>
      <c r="E11" s="52"/>
      <c r="F11" s="53"/>
      <c r="G11" s="54"/>
      <c r="H11" s="46"/>
      <c r="I11" s="55"/>
      <c r="J11" s="48"/>
      <c r="K11" s="47"/>
      <c r="L11" s="49"/>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c r="FR11" s="38"/>
      <c r="FS11" s="38"/>
      <c r="FT11" s="38"/>
      <c r="FU11" s="38"/>
      <c r="FV11" s="38"/>
      <c r="FW11" s="38"/>
      <c r="FX11" s="38"/>
      <c r="FY11" s="38"/>
      <c r="FZ11" s="38"/>
      <c r="GA11" s="38"/>
      <c r="GB11" s="38"/>
      <c r="GC11" s="38"/>
      <c r="GD11" s="38"/>
      <c r="GE11" s="38"/>
      <c r="GF11" s="38"/>
      <c r="GG11" s="38"/>
      <c r="GH11" s="38"/>
      <c r="GI11" s="38"/>
      <c r="GJ11" s="38"/>
      <c r="GK11" s="38"/>
      <c r="GL11" s="38"/>
      <c r="GM11" s="38"/>
      <c r="GN11" s="38"/>
      <c r="GO11" s="38"/>
      <c r="GP11" s="38"/>
      <c r="GQ11" s="38"/>
      <c r="GR11" s="38"/>
      <c r="GS11" s="38"/>
      <c r="GT11" s="38"/>
      <c r="GU11" s="38"/>
      <c r="GV11" s="38"/>
      <c r="GW11" s="38"/>
      <c r="GX11" s="38"/>
      <c r="GY11" s="38"/>
      <c r="GZ11" s="38"/>
      <c r="HA11" s="38"/>
      <c r="HB11" s="38"/>
      <c r="HC11" s="38"/>
      <c r="HD11" s="38"/>
      <c r="HE11" s="38"/>
      <c r="HF11" s="38"/>
      <c r="HG11" s="38"/>
      <c r="HH11" s="38"/>
      <c r="HI11" s="38"/>
      <c r="HJ11" s="38"/>
      <c r="HK11" s="38"/>
      <c r="HL11" s="38"/>
      <c r="HM11" s="38"/>
      <c r="HN11" s="38"/>
      <c r="HO11" s="38"/>
      <c r="HP11" s="38"/>
      <c r="HQ11" s="38"/>
      <c r="HR11" s="38"/>
      <c r="HS11" s="38"/>
      <c r="HT11" s="38"/>
      <c r="HU11" s="38"/>
      <c r="HV11" s="38"/>
      <c r="HW11" s="38"/>
      <c r="HX11" s="38"/>
      <c r="HY11" s="38"/>
      <c r="HZ11" s="38"/>
      <c r="IA11" s="38"/>
      <c r="IB11" s="38"/>
      <c r="IC11" s="38"/>
      <c r="ID11" s="38"/>
      <c r="IE11" s="38"/>
      <c r="IF11" s="38"/>
      <c r="IG11" s="38"/>
      <c r="IH11" s="38"/>
      <c r="II11" s="38"/>
      <c r="IJ11" s="38"/>
      <c r="IK11" s="38"/>
      <c r="IL11" s="38"/>
      <c r="IM11" s="38"/>
      <c r="IN11" s="38"/>
      <c r="IO11" s="38"/>
      <c r="IP11" s="38"/>
      <c r="IQ11" s="38"/>
      <c r="IR11" s="38"/>
      <c r="IS11" s="38"/>
      <c r="IT11" s="38"/>
      <c r="IU11" s="38"/>
      <c r="IV11" s="38"/>
      <c r="IW11" s="38"/>
      <c r="IX11" s="38"/>
      <c r="IY11" s="38"/>
      <c r="IZ11" s="38"/>
      <c r="JA11" s="38"/>
      <c r="JB11" s="38"/>
      <c r="JC11" s="38"/>
      <c r="JD11" s="38"/>
      <c r="JE11" s="38"/>
      <c r="JF11" s="38"/>
      <c r="JG11" s="38"/>
      <c r="JH11" s="38"/>
      <c r="JI11" s="38"/>
      <c r="JJ11" s="38"/>
      <c r="JK11" s="38"/>
      <c r="JL11" s="38"/>
      <c r="JM11" s="38"/>
      <c r="JN11" s="38"/>
      <c r="JO11" s="38"/>
      <c r="JP11" s="38"/>
      <c r="JQ11" s="38"/>
      <c r="JR11" s="38"/>
      <c r="JS11" s="38"/>
      <c r="JT11" s="38"/>
      <c r="JU11" s="38"/>
      <c r="JV11" s="38"/>
      <c r="JW11" s="38"/>
      <c r="JX11" s="38"/>
      <c r="JY11" s="38"/>
      <c r="JZ11" s="38"/>
      <c r="KA11" s="38"/>
      <c r="KB11" s="38"/>
      <c r="KC11" s="38"/>
      <c r="KD11" s="38"/>
      <c r="KE11" s="38"/>
      <c r="KF11" s="38"/>
      <c r="KG11" s="38"/>
      <c r="KH11" s="38"/>
      <c r="KI11" s="38"/>
      <c r="KJ11" s="38"/>
      <c r="KK11" s="38"/>
      <c r="KL11" s="38"/>
      <c r="KM11" s="38"/>
      <c r="KN11" s="38"/>
      <c r="KO11" s="38"/>
      <c r="KP11" s="38"/>
      <c r="KQ11" s="38"/>
      <c r="KR11" s="38"/>
      <c r="KS11" s="38"/>
      <c r="KT11" s="38"/>
      <c r="KU11" s="38"/>
      <c r="KV11" s="38"/>
      <c r="KW11" s="38"/>
      <c r="KX11" s="38"/>
      <c r="KY11" s="38"/>
      <c r="KZ11" s="38"/>
      <c r="LA11" s="38"/>
      <c r="LB11" s="38"/>
      <c r="LC11" s="38"/>
      <c r="LD11" s="38"/>
      <c r="LE11" s="38"/>
      <c r="LF11" s="38"/>
      <c r="LG11" s="38"/>
      <c r="LH11" s="38"/>
      <c r="LI11" s="38"/>
      <c r="LJ11" s="38"/>
      <c r="LK11" s="38"/>
      <c r="LL11" s="38"/>
      <c r="LM11" s="38"/>
      <c r="LN11" s="38"/>
      <c r="LO11" s="38"/>
      <c r="LP11" s="38"/>
      <c r="LQ11" s="38"/>
      <c r="LR11" s="38"/>
      <c r="LS11" s="38"/>
      <c r="LT11" s="38"/>
      <c r="LU11" s="38"/>
      <c r="LV11" s="38"/>
      <c r="LW11" s="38"/>
      <c r="LX11" s="38"/>
      <c r="LY11" s="38"/>
      <c r="LZ11" s="38"/>
      <c r="MA11" s="38"/>
      <c r="MB11" s="38"/>
      <c r="MC11" s="38"/>
      <c r="MD11" s="38"/>
      <c r="ME11" s="38"/>
      <c r="MF11" s="38"/>
      <c r="MG11" s="38"/>
      <c r="MH11" s="38"/>
      <c r="MI11" s="38"/>
      <c r="MJ11" s="38"/>
      <c r="MK11" s="38"/>
      <c r="ML11" s="38"/>
      <c r="MM11" s="38"/>
      <c r="MN11" s="38"/>
      <c r="MO11" s="38"/>
      <c r="MP11" s="38"/>
      <c r="MQ11" s="38"/>
      <c r="MR11" s="38"/>
      <c r="MS11" s="38"/>
      <c r="MT11" s="38"/>
      <c r="MU11" s="38"/>
      <c r="MV11" s="38"/>
      <c r="MW11" s="38"/>
      <c r="MX11" s="38"/>
      <c r="MY11" s="38"/>
      <c r="MZ11" s="38"/>
      <c r="NA11" s="38"/>
      <c r="NB11" s="38"/>
      <c r="NC11" s="38"/>
      <c r="ND11" s="38"/>
      <c r="NE11" s="38"/>
      <c r="NF11" s="38"/>
      <c r="NG11" s="38"/>
      <c r="NH11" s="38"/>
      <c r="NI11" s="38"/>
      <c r="NJ11" s="38"/>
      <c r="NK11" s="38"/>
      <c r="NL11" s="38"/>
      <c r="NM11" s="38"/>
      <c r="NN11" s="38"/>
      <c r="NO11" s="38"/>
      <c r="NP11" s="38"/>
      <c r="NQ11" s="38"/>
      <c r="NR11" s="38"/>
      <c r="NS11" s="38"/>
      <c r="NT11" s="38"/>
      <c r="NU11" s="38"/>
      <c r="NV11" s="38"/>
      <c r="NW11" s="38"/>
      <c r="NX11" s="38"/>
      <c r="NY11" s="38"/>
      <c r="NZ11" s="38"/>
      <c r="OA11" s="38"/>
      <c r="OB11" s="38"/>
      <c r="OC11" s="38"/>
      <c r="OD11" s="38"/>
      <c r="OE11" s="38"/>
      <c r="OF11" s="38"/>
      <c r="OG11" s="38"/>
      <c r="OH11" s="38"/>
      <c r="OI11" s="38"/>
      <c r="OJ11" s="38"/>
      <c r="OK11" s="38"/>
      <c r="OL11" s="38"/>
      <c r="OM11" s="38"/>
      <c r="ON11" s="38"/>
      <c r="OO11" s="38"/>
      <c r="OP11" s="38"/>
      <c r="OQ11" s="38"/>
      <c r="OR11" s="38"/>
      <c r="OS11" s="38"/>
      <c r="OT11" s="38"/>
      <c r="OU11" s="38"/>
      <c r="OV11" s="38"/>
      <c r="OW11" s="38"/>
      <c r="OX11" s="38"/>
      <c r="OY11" s="38"/>
      <c r="OZ11" s="38"/>
      <c r="PA11" s="38"/>
      <c r="PB11" s="38"/>
      <c r="PC11" s="38"/>
      <c r="PD11" s="38"/>
      <c r="PE11" s="38"/>
      <c r="PF11" s="38"/>
      <c r="PG11" s="38"/>
      <c r="PH11" s="38"/>
      <c r="PI11" s="38"/>
      <c r="PJ11" s="38"/>
      <c r="PK11" s="38"/>
      <c r="PL11" s="38"/>
      <c r="PM11" s="38"/>
      <c r="PN11" s="38"/>
      <c r="PO11" s="38"/>
      <c r="PP11" s="38"/>
      <c r="PQ11" s="38"/>
      <c r="PR11" s="38"/>
      <c r="PS11" s="38"/>
      <c r="PT11" s="38"/>
      <c r="PU11" s="38"/>
      <c r="PV11" s="38"/>
      <c r="PW11" s="38"/>
      <c r="PX11" s="38"/>
      <c r="PY11" s="38"/>
      <c r="PZ11" s="38"/>
      <c r="QA11" s="38"/>
      <c r="QB11" s="38"/>
      <c r="QC11" s="38"/>
      <c r="QD11" s="38"/>
      <c r="QE11" s="38"/>
      <c r="QF11" s="38"/>
      <c r="QG11" s="38"/>
      <c r="QH11" s="38"/>
      <c r="QI11" s="38"/>
      <c r="QJ11" s="38"/>
      <c r="QK11" s="38"/>
      <c r="QL11" s="38"/>
      <c r="QM11" s="38"/>
      <c r="QN11" s="38"/>
      <c r="QO11" s="38"/>
      <c r="QP11" s="38"/>
      <c r="QQ11" s="38"/>
      <c r="QR11" s="38"/>
      <c r="QS11" s="38"/>
      <c r="QT11" s="38"/>
      <c r="QU11" s="38"/>
      <c r="QV11" s="38"/>
      <c r="QW11" s="38"/>
      <c r="QX11" s="38"/>
      <c r="QY11" s="38"/>
      <c r="QZ11" s="38"/>
      <c r="RA11" s="38"/>
      <c r="RB11" s="38"/>
      <c r="RC11" s="38"/>
      <c r="RD11" s="38"/>
      <c r="RE11" s="38"/>
      <c r="RF11" s="38"/>
      <c r="RG11" s="38"/>
      <c r="RH11" s="38"/>
      <c r="RI11" s="38"/>
      <c r="RJ11" s="38"/>
      <c r="RK11" s="38"/>
      <c r="RL11" s="38"/>
      <c r="RM11" s="38"/>
      <c r="RN11" s="38"/>
      <c r="RO11" s="38"/>
      <c r="RP11" s="38"/>
      <c r="RQ11" s="38"/>
      <c r="RR11" s="38"/>
      <c r="RS11" s="38"/>
      <c r="RT11" s="38"/>
      <c r="RU11" s="38"/>
      <c r="RV11" s="38"/>
      <c r="RW11" s="38"/>
      <c r="RX11" s="38"/>
      <c r="RY11" s="38"/>
      <c r="RZ11" s="38"/>
      <c r="SA11" s="38"/>
      <c r="SB11" s="38"/>
      <c r="SC11" s="38"/>
      <c r="SD11" s="38"/>
      <c r="SE11" s="38"/>
      <c r="SF11" s="38"/>
      <c r="SG11" s="38"/>
      <c r="SH11" s="38"/>
      <c r="SI11" s="38"/>
      <c r="SJ11" s="38"/>
      <c r="SK11" s="38"/>
      <c r="SL11" s="38"/>
      <c r="SM11" s="38"/>
      <c r="SN11" s="38"/>
      <c r="SO11" s="38"/>
      <c r="SP11" s="38"/>
      <c r="SQ11" s="38"/>
      <c r="SR11" s="38"/>
      <c r="SS11" s="38"/>
      <c r="ST11" s="38"/>
      <c r="SU11" s="38"/>
      <c r="SV11" s="38"/>
      <c r="SW11" s="38"/>
      <c r="SX11" s="38"/>
      <c r="SY11" s="38"/>
      <c r="SZ11" s="38"/>
      <c r="TA11" s="38"/>
      <c r="TB11" s="38"/>
      <c r="TC11" s="38"/>
      <c r="TD11" s="38"/>
      <c r="TE11" s="38"/>
      <c r="TF11" s="38"/>
      <c r="TG11" s="38"/>
      <c r="TH11" s="38"/>
      <c r="TI11" s="38"/>
      <c r="TJ11" s="38"/>
      <c r="TK11" s="38"/>
      <c r="TL11" s="38"/>
      <c r="TM11" s="38"/>
    </row>
    <row r="12" spans="2:533" s="39" customFormat="1" ht="18.75" x14ac:dyDescent="0.25">
      <c r="B12" s="40" t="s">
        <v>25</v>
      </c>
      <c r="C12" s="41" t="s">
        <v>34</v>
      </c>
      <c r="D12" s="42" t="s">
        <v>35</v>
      </c>
      <c r="E12" s="43" t="s">
        <v>36</v>
      </c>
      <c r="F12" s="44">
        <v>59</v>
      </c>
      <c r="G12" s="45"/>
      <c r="H12" s="46"/>
      <c r="I12" s="47">
        <f t="shared" ref="I12:I18" si="1">F12*G12</f>
        <v>0</v>
      </c>
      <c r="J12" s="48">
        <v>2004</v>
      </c>
      <c r="K12" s="47" t="s">
        <v>30</v>
      </c>
      <c r="L12" s="49"/>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c r="FU12" s="38"/>
      <c r="FV12" s="38"/>
      <c r="FW12" s="38"/>
      <c r="FX12" s="38"/>
      <c r="FY12" s="38"/>
      <c r="FZ12" s="38"/>
      <c r="GA12" s="38"/>
      <c r="GB12" s="38"/>
      <c r="GC12" s="38"/>
      <c r="GD12" s="38"/>
      <c r="GE12" s="38"/>
      <c r="GF12" s="38"/>
      <c r="GG12" s="38"/>
      <c r="GH12" s="38"/>
      <c r="GI12" s="38"/>
      <c r="GJ12" s="38"/>
      <c r="GK12" s="38"/>
      <c r="GL12" s="38"/>
      <c r="GM12" s="38"/>
      <c r="GN12" s="38"/>
      <c r="GO12" s="38"/>
      <c r="GP12" s="38"/>
      <c r="GQ12" s="38"/>
      <c r="GR12" s="38"/>
      <c r="GS12" s="38"/>
      <c r="GT12" s="38"/>
      <c r="GU12" s="38"/>
      <c r="GV12" s="38"/>
      <c r="GW12" s="38"/>
      <c r="GX12" s="38"/>
      <c r="GY12" s="38"/>
      <c r="GZ12" s="38"/>
      <c r="HA12" s="38"/>
      <c r="HB12" s="38"/>
      <c r="HC12" s="38"/>
      <c r="HD12" s="38"/>
      <c r="HE12" s="38"/>
      <c r="HF12" s="38"/>
      <c r="HG12" s="38"/>
      <c r="HH12" s="38"/>
      <c r="HI12" s="38"/>
      <c r="HJ12" s="38"/>
      <c r="HK12" s="38"/>
      <c r="HL12" s="38"/>
      <c r="HM12" s="38"/>
      <c r="HN12" s="38"/>
      <c r="HO12" s="38"/>
      <c r="HP12" s="38"/>
      <c r="HQ12" s="38"/>
      <c r="HR12" s="38"/>
      <c r="HS12" s="38"/>
      <c r="HT12" s="38"/>
      <c r="HU12" s="38"/>
      <c r="HV12" s="38"/>
      <c r="HW12" s="38"/>
      <c r="HX12" s="38"/>
      <c r="HY12" s="38"/>
      <c r="HZ12" s="38"/>
      <c r="IA12" s="38"/>
      <c r="IB12" s="38"/>
      <c r="IC12" s="38"/>
      <c r="ID12" s="38"/>
      <c r="IE12" s="38"/>
      <c r="IF12" s="38"/>
      <c r="IG12" s="38"/>
      <c r="IH12" s="38"/>
      <c r="II12" s="38"/>
      <c r="IJ12" s="38"/>
      <c r="IK12" s="38"/>
      <c r="IL12" s="38"/>
      <c r="IM12" s="38"/>
      <c r="IN12" s="38"/>
      <c r="IO12" s="38"/>
      <c r="IP12" s="38"/>
      <c r="IQ12" s="38"/>
      <c r="IR12" s="38"/>
      <c r="IS12" s="38"/>
      <c r="IT12" s="38"/>
      <c r="IU12" s="38"/>
      <c r="IV12" s="38"/>
      <c r="IW12" s="38"/>
      <c r="IX12" s="38"/>
      <c r="IY12" s="38"/>
      <c r="IZ12" s="38"/>
      <c r="JA12" s="38"/>
      <c r="JB12" s="38"/>
      <c r="JC12" s="38"/>
      <c r="JD12" s="38"/>
      <c r="JE12" s="38"/>
      <c r="JF12" s="38"/>
      <c r="JG12" s="38"/>
      <c r="JH12" s="38"/>
      <c r="JI12" s="38"/>
      <c r="JJ12" s="38"/>
      <c r="JK12" s="38"/>
      <c r="JL12" s="38"/>
      <c r="JM12" s="38"/>
      <c r="JN12" s="38"/>
      <c r="JO12" s="38"/>
      <c r="JP12" s="38"/>
      <c r="JQ12" s="38"/>
      <c r="JR12" s="38"/>
      <c r="JS12" s="38"/>
      <c r="JT12" s="38"/>
      <c r="JU12" s="38"/>
      <c r="JV12" s="38"/>
      <c r="JW12" s="38"/>
      <c r="JX12" s="38"/>
      <c r="JY12" s="38"/>
      <c r="JZ12" s="38"/>
      <c r="KA12" s="38"/>
      <c r="KB12" s="38"/>
      <c r="KC12" s="38"/>
      <c r="KD12" s="38"/>
      <c r="KE12" s="38"/>
      <c r="KF12" s="38"/>
      <c r="KG12" s="38"/>
      <c r="KH12" s="38"/>
      <c r="KI12" s="38"/>
      <c r="KJ12" s="38"/>
      <c r="KK12" s="38"/>
      <c r="KL12" s="38"/>
      <c r="KM12" s="38"/>
      <c r="KN12" s="38"/>
      <c r="KO12" s="38"/>
      <c r="KP12" s="38"/>
      <c r="KQ12" s="38"/>
      <c r="KR12" s="38"/>
      <c r="KS12" s="38"/>
      <c r="KT12" s="38"/>
      <c r="KU12" s="38"/>
      <c r="KV12" s="38"/>
      <c r="KW12" s="38"/>
      <c r="KX12" s="38"/>
      <c r="KY12" s="38"/>
      <c r="KZ12" s="38"/>
      <c r="LA12" s="38"/>
      <c r="LB12" s="38"/>
      <c r="LC12" s="38"/>
      <c r="LD12" s="38"/>
      <c r="LE12" s="38"/>
      <c r="LF12" s="38"/>
      <c r="LG12" s="38"/>
      <c r="LH12" s="38"/>
      <c r="LI12" s="38"/>
      <c r="LJ12" s="38"/>
      <c r="LK12" s="38"/>
      <c r="LL12" s="38"/>
      <c r="LM12" s="38"/>
      <c r="LN12" s="38"/>
      <c r="LO12" s="38"/>
      <c r="LP12" s="38"/>
      <c r="LQ12" s="38"/>
      <c r="LR12" s="38"/>
      <c r="LS12" s="38"/>
      <c r="LT12" s="38"/>
      <c r="LU12" s="38"/>
      <c r="LV12" s="38"/>
      <c r="LW12" s="38"/>
      <c r="LX12" s="38"/>
      <c r="LY12" s="38"/>
      <c r="LZ12" s="38"/>
      <c r="MA12" s="38"/>
      <c r="MB12" s="38"/>
      <c r="MC12" s="38"/>
      <c r="MD12" s="38"/>
      <c r="ME12" s="38"/>
      <c r="MF12" s="38"/>
      <c r="MG12" s="38"/>
      <c r="MH12" s="38"/>
      <c r="MI12" s="38"/>
      <c r="MJ12" s="38"/>
      <c r="MK12" s="38"/>
      <c r="ML12" s="38"/>
      <c r="MM12" s="38"/>
      <c r="MN12" s="38"/>
      <c r="MO12" s="38"/>
      <c r="MP12" s="38"/>
      <c r="MQ12" s="38"/>
      <c r="MR12" s="38"/>
      <c r="MS12" s="38"/>
      <c r="MT12" s="38"/>
      <c r="MU12" s="38"/>
      <c r="MV12" s="38"/>
      <c r="MW12" s="38"/>
      <c r="MX12" s="38"/>
      <c r="MY12" s="38"/>
      <c r="MZ12" s="38"/>
      <c r="NA12" s="38"/>
      <c r="NB12" s="38"/>
      <c r="NC12" s="38"/>
      <c r="ND12" s="38"/>
      <c r="NE12" s="38"/>
      <c r="NF12" s="38"/>
      <c r="NG12" s="38"/>
      <c r="NH12" s="38"/>
      <c r="NI12" s="38"/>
      <c r="NJ12" s="38"/>
      <c r="NK12" s="38"/>
      <c r="NL12" s="38"/>
      <c r="NM12" s="38"/>
      <c r="NN12" s="38"/>
      <c r="NO12" s="38"/>
      <c r="NP12" s="38"/>
      <c r="NQ12" s="38"/>
      <c r="NR12" s="38"/>
      <c r="NS12" s="38"/>
      <c r="NT12" s="38"/>
      <c r="NU12" s="38"/>
      <c r="NV12" s="38"/>
      <c r="NW12" s="38"/>
      <c r="NX12" s="38"/>
      <c r="NY12" s="38"/>
      <c r="NZ12" s="38"/>
      <c r="OA12" s="38"/>
      <c r="OB12" s="38"/>
      <c r="OC12" s="38"/>
      <c r="OD12" s="38"/>
      <c r="OE12" s="38"/>
      <c r="OF12" s="38"/>
      <c r="OG12" s="38"/>
      <c r="OH12" s="38"/>
      <c r="OI12" s="38"/>
      <c r="OJ12" s="38"/>
      <c r="OK12" s="38"/>
      <c r="OL12" s="38"/>
      <c r="OM12" s="38"/>
      <c r="ON12" s="38"/>
      <c r="OO12" s="38"/>
      <c r="OP12" s="38"/>
      <c r="OQ12" s="38"/>
      <c r="OR12" s="38"/>
      <c r="OS12" s="38"/>
      <c r="OT12" s="38"/>
      <c r="OU12" s="38"/>
      <c r="OV12" s="38"/>
      <c r="OW12" s="38"/>
      <c r="OX12" s="38"/>
      <c r="OY12" s="38"/>
      <c r="OZ12" s="38"/>
      <c r="PA12" s="38"/>
      <c r="PB12" s="38"/>
      <c r="PC12" s="38"/>
      <c r="PD12" s="38"/>
      <c r="PE12" s="38"/>
      <c r="PF12" s="38"/>
      <c r="PG12" s="38"/>
      <c r="PH12" s="38"/>
      <c r="PI12" s="38"/>
      <c r="PJ12" s="38"/>
      <c r="PK12" s="38"/>
      <c r="PL12" s="38"/>
      <c r="PM12" s="38"/>
      <c r="PN12" s="38"/>
      <c r="PO12" s="38"/>
      <c r="PP12" s="38"/>
      <c r="PQ12" s="38"/>
      <c r="PR12" s="38"/>
      <c r="PS12" s="38"/>
      <c r="PT12" s="38"/>
      <c r="PU12" s="38"/>
      <c r="PV12" s="38"/>
      <c r="PW12" s="38"/>
      <c r="PX12" s="38"/>
      <c r="PY12" s="38"/>
      <c r="PZ12" s="38"/>
      <c r="QA12" s="38"/>
      <c r="QB12" s="38"/>
      <c r="QC12" s="38"/>
      <c r="QD12" s="38"/>
      <c r="QE12" s="38"/>
      <c r="QF12" s="38"/>
      <c r="QG12" s="38"/>
      <c r="QH12" s="38"/>
      <c r="QI12" s="38"/>
      <c r="QJ12" s="38"/>
      <c r="QK12" s="38"/>
      <c r="QL12" s="38"/>
      <c r="QM12" s="38"/>
      <c r="QN12" s="38"/>
      <c r="QO12" s="38"/>
      <c r="QP12" s="38"/>
      <c r="QQ12" s="38"/>
      <c r="QR12" s="38"/>
      <c r="QS12" s="38"/>
      <c r="QT12" s="38"/>
      <c r="QU12" s="38"/>
      <c r="QV12" s="38"/>
      <c r="QW12" s="38"/>
      <c r="QX12" s="38"/>
      <c r="QY12" s="38"/>
      <c r="QZ12" s="38"/>
      <c r="RA12" s="38"/>
      <c r="RB12" s="38"/>
      <c r="RC12" s="38"/>
      <c r="RD12" s="38"/>
      <c r="RE12" s="38"/>
      <c r="RF12" s="38"/>
      <c r="RG12" s="38"/>
      <c r="RH12" s="38"/>
      <c r="RI12" s="38"/>
      <c r="RJ12" s="38"/>
      <c r="RK12" s="38"/>
      <c r="RL12" s="38"/>
      <c r="RM12" s="38"/>
      <c r="RN12" s="38"/>
      <c r="RO12" s="38"/>
      <c r="RP12" s="38"/>
      <c r="RQ12" s="38"/>
      <c r="RR12" s="38"/>
      <c r="RS12" s="38"/>
      <c r="RT12" s="38"/>
      <c r="RU12" s="38"/>
      <c r="RV12" s="38"/>
      <c r="RW12" s="38"/>
      <c r="RX12" s="38"/>
      <c r="RY12" s="38"/>
      <c r="RZ12" s="38"/>
      <c r="SA12" s="38"/>
      <c r="SB12" s="38"/>
      <c r="SC12" s="38"/>
      <c r="SD12" s="38"/>
      <c r="SE12" s="38"/>
      <c r="SF12" s="38"/>
      <c r="SG12" s="38"/>
      <c r="SH12" s="38"/>
      <c r="SI12" s="38"/>
      <c r="SJ12" s="38"/>
      <c r="SK12" s="38"/>
      <c r="SL12" s="38"/>
      <c r="SM12" s="38"/>
      <c r="SN12" s="38"/>
      <c r="SO12" s="38"/>
      <c r="SP12" s="38"/>
      <c r="SQ12" s="38"/>
      <c r="SR12" s="38"/>
      <c r="SS12" s="38"/>
      <c r="ST12" s="38"/>
      <c r="SU12" s="38"/>
      <c r="SV12" s="38"/>
      <c r="SW12" s="38"/>
      <c r="SX12" s="38"/>
      <c r="SY12" s="38"/>
      <c r="SZ12" s="38"/>
      <c r="TA12" s="38"/>
      <c r="TB12" s="38"/>
      <c r="TC12" s="38"/>
      <c r="TD12" s="38"/>
      <c r="TE12" s="38"/>
      <c r="TF12" s="38"/>
      <c r="TG12" s="38"/>
      <c r="TH12" s="38"/>
      <c r="TI12" s="38"/>
      <c r="TJ12" s="38"/>
      <c r="TK12" s="38"/>
      <c r="TL12" s="38"/>
      <c r="TM12" s="38"/>
    </row>
    <row r="13" spans="2:533" s="39" customFormat="1" ht="18.75" x14ac:dyDescent="0.25">
      <c r="B13" s="40" t="s">
        <v>25</v>
      </c>
      <c r="C13" s="41" t="s">
        <v>37</v>
      </c>
      <c r="D13" s="42" t="s">
        <v>38</v>
      </c>
      <c r="E13" s="43" t="s">
        <v>36</v>
      </c>
      <c r="F13" s="44">
        <v>8</v>
      </c>
      <c r="G13" s="45"/>
      <c r="H13" s="46"/>
      <c r="I13" s="47">
        <f t="shared" si="1"/>
        <v>0</v>
      </c>
      <c r="J13" s="48">
        <v>2004</v>
      </c>
      <c r="K13" s="47" t="s">
        <v>30</v>
      </c>
      <c r="L13" s="49"/>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c r="DD13" s="38"/>
      <c r="DE13" s="38"/>
      <c r="DF13" s="38"/>
      <c r="DG13" s="38"/>
      <c r="DH13" s="38"/>
      <c r="DI13" s="38"/>
      <c r="DJ13" s="38"/>
      <c r="DK13" s="38"/>
      <c r="DL13" s="38"/>
      <c r="DM13" s="38"/>
      <c r="DN13" s="38"/>
      <c r="DO13" s="38"/>
      <c r="DP13" s="38"/>
      <c r="DQ13" s="38"/>
      <c r="DR13" s="38"/>
      <c r="DS13" s="38"/>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c r="FR13" s="38"/>
      <c r="FS13" s="38"/>
      <c r="FT13" s="38"/>
      <c r="FU13" s="38"/>
      <c r="FV13" s="38"/>
      <c r="FW13" s="38"/>
      <c r="FX13" s="38"/>
      <c r="FY13" s="38"/>
      <c r="FZ13" s="38"/>
      <c r="GA13" s="38"/>
      <c r="GB13" s="38"/>
      <c r="GC13" s="38"/>
      <c r="GD13" s="38"/>
      <c r="GE13" s="38"/>
      <c r="GF13" s="38"/>
      <c r="GG13" s="38"/>
      <c r="GH13" s="38"/>
      <c r="GI13" s="38"/>
      <c r="GJ13" s="38"/>
      <c r="GK13" s="38"/>
      <c r="GL13" s="38"/>
      <c r="GM13" s="38"/>
      <c r="GN13" s="38"/>
      <c r="GO13" s="38"/>
      <c r="GP13" s="38"/>
      <c r="GQ13" s="38"/>
      <c r="GR13" s="38"/>
      <c r="GS13" s="38"/>
      <c r="GT13" s="38"/>
      <c r="GU13" s="38"/>
      <c r="GV13" s="38"/>
      <c r="GW13" s="38"/>
      <c r="GX13" s="38"/>
      <c r="GY13" s="38"/>
      <c r="GZ13" s="38"/>
      <c r="HA13" s="38"/>
      <c r="HB13" s="38"/>
      <c r="HC13" s="38"/>
      <c r="HD13" s="38"/>
      <c r="HE13" s="38"/>
      <c r="HF13" s="38"/>
      <c r="HG13" s="38"/>
      <c r="HH13" s="38"/>
      <c r="HI13" s="38"/>
      <c r="HJ13" s="38"/>
      <c r="HK13" s="38"/>
      <c r="HL13" s="38"/>
      <c r="HM13" s="38"/>
      <c r="HN13" s="38"/>
      <c r="HO13" s="38"/>
      <c r="HP13" s="38"/>
      <c r="HQ13" s="38"/>
      <c r="HR13" s="38"/>
      <c r="HS13" s="38"/>
      <c r="HT13" s="38"/>
      <c r="HU13" s="38"/>
      <c r="HV13" s="38"/>
      <c r="HW13" s="38"/>
      <c r="HX13" s="38"/>
      <c r="HY13" s="38"/>
      <c r="HZ13" s="38"/>
      <c r="IA13" s="38"/>
      <c r="IB13" s="38"/>
      <c r="IC13" s="38"/>
      <c r="ID13" s="38"/>
      <c r="IE13" s="38"/>
      <c r="IF13" s="38"/>
      <c r="IG13" s="38"/>
      <c r="IH13" s="38"/>
      <c r="II13" s="38"/>
      <c r="IJ13" s="38"/>
      <c r="IK13" s="38"/>
      <c r="IL13" s="38"/>
      <c r="IM13" s="38"/>
      <c r="IN13" s="38"/>
      <c r="IO13" s="38"/>
      <c r="IP13" s="38"/>
      <c r="IQ13" s="38"/>
      <c r="IR13" s="38"/>
      <c r="IS13" s="38"/>
      <c r="IT13" s="38"/>
      <c r="IU13" s="38"/>
      <c r="IV13" s="38"/>
      <c r="IW13" s="38"/>
      <c r="IX13" s="38"/>
      <c r="IY13" s="38"/>
      <c r="IZ13" s="38"/>
      <c r="JA13" s="38"/>
      <c r="JB13" s="38"/>
      <c r="JC13" s="38"/>
      <c r="JD13" s="38"/>
      <c r="JE13" s="38"/>
      <c r="JF13" s="38"/>
      <c r="JG13" s="38"/>
      <c r="JH13" s="38"/>
      <c r="JI13" s="38"/>
      <c r="JJ13" s="38"/>
      <c r="JK13" s="38"/>
      <c r="JL13" s="38"/>
      <c r="JM13" s="38"/>
      <c r="JN13" s="38"/>
      <c r="JO13" s="38"/>
      <c r="JP13" s="38"/>
      <c r="JQ13" s="38"/>
      <c r="JR13" s="38"/>
      <c r="JS13" s="38"/>
      <c r="JT13" s="38"/>
      <c r="JU13" s="38"/>
      <c r="JV13" s="38"/>
      <c r="JW13" s="38"/>
      <c r="JX13" s="38"/>
      <c r="JY13" s="38"/>
      <c r="JZ13" s="38"/>
      <c r="KA13" s="38"/>
      <c r="KB13" s="38"/>
      <c r="KC13" s="38"/>
      <c r="KD13" s="38"/>
      <c r="KE13" s="38"/>
      <c r="KF13" s="38"/>
      <c r="KG13" s="38"/>
      <c r="KH13" s="38"/>
      <c r="KI13" s="38"/>
      <c r="KJ13" s="38"/>
      <c r="KK13" s="38"/>
      <c r="KL13" s="38"/>
      <c r="KM13" s="38"/>
      <c r="KN13" s="38"/>
      <c r="KO13" s="38"/>
      <c r="KP13" s="38"/>
      <c r="KQ13" s="38"/>
      <c r="KR13" s="38"/>
      <c r="KS13" s="38"/>
      <c r="KT13" s="38"/>
      <c r="KU13" s="38"/>
      <c r="KV13" s="38"/>
      <c r="KW13" s="38"/>
      <c r="KX13" s="38"/>
      <c r="KY13" s="38"/>
      <c r="KZ13" s="38"/>
      <c r="LA13" s="38"/>
      <c r="LB13" s="38"/>
      <c r="LC13" s="38"/>
      <c r="LD13" s="38"/>
      <c r="LE13" s="38"/>
      <c r="LF13" s="38"/>
      <c r="LG13" s="38"/>
      <c r="LH13" s="38"/>
      <c r="LI13" s="38"/>
      <c r="LJ13" s="38"/>
      <c r="LK13" s="38"/>
      <c r="LL13" s="38"/>
      <c r="LM13" s="38"/>
      <c r="LN13" s="38"/>
      <c r="LO13" s="38"/>
      <c r="LP13" s="38"/>
      <c r="LQ13" s="38"/>
      <c r="LR13" s="38"/>
      <c r="LS13" s="38"/>
      <c r="LT13" s="38"/>
      <c r="LU13" s="38"/>
      <c r="LV13" s="38"/>
      <c r="LW13" s="38"/>
      <c r="LX13" s="38"/>
      <c r="LY13" s="38"/>
      <c r="LZ13" s="38"/>
      <c r="MA13" s="38"/>
      <c r="MB13" s="38"/>
      <c r="MC13" s="38"/>
      <c r="MD13" s="38"/>
      <c r="ME13" s="38"/>
      <c r="MF13" s="38"/>
      <c r="MG13" s="38"/>
      <c r="MH13" s="38"/>
      <c r="MI13" s="38"/>
      <c r="MJ13" s="38"/>
      <c r="MK13" s="38"/>
      <c r="ML13" s="38"/>
      <c r="MM13" s="38"/>
      <c r="MN13" s="38"/>
      <c r="MO13" s="38"/>
      <c r="MP13" s="38"/>
      <c r="MQ13" s="38"/>
      <c r="MR13" s="38"/>
      <c r="MS13" s="38"/>
      <c r="MT13" s="38"/>
      <c r="MU13" s="38"/>
      <c r="MV13" s="38"/>
      <c r="MW13" s="38"/>
      <c r="MX13" s="38"/>
      <c r="MY13" s="38"/>
      <c r="MZ13" s="38"/>
      <c r="NA13" s="38"/>
      <c r="NB13" s="38"/>
      <c r="NC13" s="38"/>
      <c r="ND13" s="38"/>
      <c r="NE13" s="38"/>
      <c r="NF13" s="38"/>
      <c r="NG13" s="38"/>
      <c r="NH13" s="38"/>
      <c r="NI13" s="38"/>
      <c r="NJ13" s="38"/>
      <c r="NK13" s="38"/>
      <c r="NL13" s="38"/>
      <c r="NM13" s="38"/>
      <c r="NN13" s="38"/>
      <c r="NO13" s="38"/>
      <c r="NP13" s="38"/>
      <c r="NQ13" s="38"/>
      <c r="NR13" s="38"/>
      <c r="NS13" s="38"/>
      <c r="NT13" s="38"/>
      <c r="NU13" s="38"/>
      <c r="NV13" s="38"/>
      <c r="NW13" s="38"/>
      <c r="NX13" s="38"/>
      <c r="NY13" s="38"/>
      <c r="NZ13" s="38"/>
      <c r="OA13" s="38"/>
      <c r="OB13" s="38"/>
      <c r="OC13" s="38"/>
      <c r="OD13" s="38"/>
      <c r="OE13" s="38"/>
      <c r="OF13" s="38"/>
      <c r="OG13" s="38"/>
      <c r="OH13" s="38"/>
      <c r="OI13" s="38"/>
      <c r="OJ13" s="38"/>
      <c r="OK13" s="38"/>
      <c r="OL13" s="38"/>
      <c r="OM13" s="38"/>
      <c r="ON13" s="38"/>
      <c r="OO13" s="38"/>
      <c r="OP13" s="38"/>
      <c r="OQ13" s="38"/>
      <c r="OR13" s="38"/>
      <c r="OS13" s="38"/>
      <c r="OT13" s="38"/>
      <c r="OU13" s="38"/>
      <c r="OV13" s="38"/>
      <c r="OW13" s="38"/>
      <c r="OX13" s="38"/>
      <c r="OY13" s="38"/>
      <c r="OZ13" s="38"/>
      <c r="PA13" s="38"/>
      <c r="PB13" s="38"/>
      <c r="PC13" s="38"/>
      <c r="PD13" s="38"/>
      <c r="PE13" s="38"/>
      <c r="PF13" s="38"/>
      <c r="PG13" s="38"/>
      <c r="PH13" s="38"/>
      <c r="PI13" s="38"/>
      <c r="PJ13" s="38"/>
      <c r="PK13" s="38"/>
      <c r="PL13" s="38"/>
      <c r="PM13" s="38"/>
      <c r="PN13" s="38"/>
      <c r="PO13" s="38"/>
      <c r="PP13" s="38"/>
      <c r="PQ13" s="38"/>
      <c r="PR13" s="38"/>
      <c r="PS13" s="38"/>
      <c r="PT13" s="38"/>
      <c r="PU13" s="38"/>
      <c r="PV13" s="38"/>
      <c r="PW13" s="38"/>
      <c r="PX13" s="38"/>
      <c r="PY13" s="38"/>
      <c r="PZ13" s="38"/>
      <c r="QA13" s="38"/>
      <c r="QB13" s="38"/>
      <c r="QC13" s="38"/>
      <c r="QD13" s="38"/>
      <c r="QE13" s="38"/>
      <c r="QF13" s="38"/>
      <c r="QG13" s="38"/>
      <c r="QH13" s="38"/>
      <c r="QI13" s="38"/>
      <c r="QJ13" s="38"/>
      <c r="QK13" s="38"/>
      <c r="QL13" s="38"/>
      <c r="QM13" s="38"/>
      <c r="QN13" s="38"/>
      <c r="QO13" s="38"/>
      <c r="QP13" s="38"/>
      <c r="QQ13" s="38"/>
      <c r="QR13" s="38"/>
      <c r="QS13" s="38"/>
      <c r="QT13" s="38"/>
      <c r="QU13" s="38"/>
      <c r="QV13" s="38"/>
      <c r="QW13" s="38"/>
      <c r="QX13" s="38"/>
      <c r="QY13" s="38"/>
      <c r="QZ13" s="38"/>
      <c r="RA13" s="38"/>
      <c r="RB13" s="38"/>
      <c r="RC13" s="38"/>
      <c r="RD13" s="38"/>
      <c r="RE13" s="38"/>
      <c r="RF13" s="38"/>
      <c r="RG13" s="38"/>
      <c r="RH13" s="38"/>
      <c r="RI13" s="38"/>
      <c r="RJ13" s="38"/>
      <c r="RK13" s="38"/>
      <c r="RL13" s="38"/>
      <c r="RM13" s="38"/>
      <c r="RN13" s="38"/>
      <c r="RO13" s="38"/>
      <c r="RP13" s="38"/>
      <c r="RQ13" s="38"/>
      <c r="RR13" s="38"/>
      <c r="RS13" s="38"/>
      <c r="RT13" s="38"/>
      <c r="RU13" s="38"/>
      <c r="RV13" s="38"/>
      <c r="RW13" s="38"/>
      <c r="RX13" s="38"/>
      <c r="RY13" s="38"/>
      <c r="RZ13" s="38"/>
      <c r="SA13" s="38"/>
      <c r="SB13" s="38"/>
      <c r="SC13" s="38"/>
      <c r="SD13" s="38"/>
      <c r="SE13" s="38"/>
      <c r="SF13" s="38"/>
      <c r="SG13" s="38"/>
      <c r="SH13" s="38"/>
      <c r="SI13" s="38"/>
      <c r="SJ13" s="38"/>
      <c r="SK13" s="38"/>
      <c r="SL13" s="38"/>
      <c r="SM13" s="38"/>
      <c r="SN13" s="38"/>
      <c r="SO13" s="38"/>
      <c r="SP13" s="38"/>
      <c r="SQ13" s="38"/>
      <c r="SR13" s="38"/>
      <c r="SS13" s="38"/>
      <c r="ST13" s="38"/>
      <c r="SU13" s="38"/>
      <c r="SV13" s="38"/>
      <c r="SW13" s="38"/>
      <c r="SX13" s="38"/>
      <c r="SY13" s="38"/>
      <c r="SZ13" s="38"/>
      <c r="TA13" s="38"/>
      <c r="TB13" s="38"/>
      <c r="TC13" s="38"/>
      <c r="TD13" s="38"/>
      <c r="TE13" s="38"/>
      <c r="TF13" s="38"/>
      <c r="TG13" s="38"/>
      <c r="TH13" s="38"/>
      <c r="TI13" s="38"/>
      <c r="TJ13" s="38"/>
      <c r="TK13" s="38"/>
      <c r="TL13" s="38"/>
      <c r="TM13" s="38"/>
    </row>
    <row r="14" spans="2:533" s="39" customFormat="1" ht="18.75" x14ac:dyDescent="0.25">
      <c r="B14" s="50" t="s">
        <v>25</v>
      </c>
      <c r="C14" s="41" t="s">
        <v>39</v>
      </c>
      <c r="D14" s="56" t="s">
        <v>40</v>
      </c>
      <c r="E14" s="43" t="s">
        <v>36</v>
      </c>
      <c r="F14" s="53">
        <v>63</v>
      </c>
      <c r="G14" s="45"/>
      <c r="H14" s="46"/>
      <c r="I14" s="47">
        <f t="shared" si="1"/>
        <v>0</v>
      </c>
      <c r="J14" s="48">
        <v>2002</v>
      </c>
      <c r="K14" s="47" t="s">
        <v>30</v>
      </c>
      <c r="L14" s="49"/>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c r="DC14" s="38"/>
      <c r="DD14" s="38"/>
      <c r="DE14" s="38"/>
      <c r="DF14" s="38"/>
      <c r="DG14" s="38"/>
      <c r="DH14" s="38"/>
      <c r="DI14" s="38"/>
      <c r="DJ14" s="38"/>
      <c r="DK14" s="38"/>
      <c r="DL14" s="38"/>
      <c r="DM14" s="38"/>
      <c r="DN14" s="38"/>
      <c r="DO14" s="38"/>
      <c r="DP14" s="38"/>
      <c r="DQ14" s="38"/>
      <c r="DR14" s="38"/>
      <c r="DS14" s="38"/>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c r="FR14" s="38"/>
      <c r="FS14" s="38"/>
      <c r="FT14" s="38"/>
      <c r="FU14" s="38"/>
      <c r="FV14" s="38"/>
      <c r="FW14" s="38"/>
      <c r="FX14" s="38"/>
      <c r="FY14" s="38"/>
      <c r="FZ14" s="38"/>
      <c r="GA14" s="38"/>
      <c r="GB14" s="38"/>
      <c r="GC14" s="38"/>
      <c r="GD14" s="38"/>
      <c r="GE14" s="38"/>
      <c r="GF14" s="38"/>
      <c r="GG14" s="38"/>
      <c r="GH14" s="38"/>
      <c r="GI14" s="38"/>
      <c r="GJ14" s="38"/>
      <c r="GK14" s="38"/>
      <c r="GL14" s="38"/>
      <c r="GM14" s="38"/>
      <c r="GN14" s="38"/>
      <c r="GO14" s="38"/>
      <c r="GP14" s="38"/>
      <c r="GQ14" s="38"/>
      <c r="GR14" s="38"/>
      <c r="GS14" s="38"/>
      <c r="GT14" s="38"/>
      <c r="GU14" s="38"/>
      <c r="GV14" s="38"/>
      <c r="GW14" s="38"/>
      <c r="GX14" s="38"/>
      <c r="GY14" s="38"/>
      <c r="GZ14" s="38"/>
      <c r="HA14" s="38"/>
      <c r="HB14" s="38"/>
      <c r="HC14" s="38"/>
      <c r="HD14" s="38"/>
      <c r="HE14" s="38"/>
      <c r="HF14" s="38"/>
      <c r="HG14" s="38"/>
      <c r="HH14" s="38"/>
      <c r="HI14" s="38"/>
      <c r="HJ14" s="38"/>
      <c r="HK14" s="38"/>
      <c r="HL14" s="38"/>
      <c r="HM14" s="38"/>
      <c r="HN14" s="38"/>
      <c r="HO14" s="38"/>
      <c r="HP14" s="38"/>
      <c r="HQ14" s="38"/>
      <c r="HR14" s="38"/>
      <c r="HS14" s="38"/>
      <c r="HT14" s="38"/>
      <c r="HU14" s="38"/>
      <c r="HV14" s="38"/>
      <c r="HW14" s="38"/>
      <c r="HX14" s="38"/>
      <c r="HY14" s="38"/>
      <c r="HZ14" s="38"/>
      <c r="IA14" s="38"/>
      <c r="IB14" s="38"/>
      <c r="IC14" s="38"/>
      <c r="ID14" s="38"/>
      <c r="IE14" s="38"/>
      <c r="IF14" s="38"/>
      <c r="IG14" s="38"/>
      <c r="IH14" s="38"/>
      <c r="II14" s="38"/>
      <c r="IJ14" s="38"/>
      <c r="IK14" s="38"/>
      <c r="IL14" s="38"/>
      <c r="IM14" s="38"/>
      <c r="IN14" s="38"/>
      <c r="IO14" s="38"/>
      <c r="IP14" s="38"/>
      <c r="IQ14" s="38"/>
      <c r="IR14" s="38"/>
      <c r="IS14" s="38"/>
      <c r="IT14" s="38"/>
      <c r="IU14" s="38"/>
      <c r="IV14" s="38"/>
      <c r="IW14" s="38"/>
      <c r="IX14" s="38"/>
      <c r="IY14" s="38"/>
      <c r="IZ14" s="38"/>
      <c r="JA14" s="38"/>
      <c r="JB14" s="38"/>
      <c r="JC14" s="38"/>
      <c r="JD14" s="38"/>
      <c r="JE14" s="38"/>
      <c r="JF14" s="38"/>
      <c r="JG14" s="38"/>
      <c r="JH14" s="38"/>
      <c r="JI14" s="38"/>
      <c r="JJ14" s="38"/>
      <c r="JK14" s="38"/>
      <c r="JL14" s="38"/>
      <c r="JM14" s="38"/>
      <c r="JN14" s="38"/>
      <c r="JO14" s="38"/>
      <c r="JP14" s="38"/>
      <c r="JQ14" s="38"/>
      <c r="JR14" s="38"/>
      <c r="JS14" s="38"/>
      <c r="JT14" s="38"/>
      <c r="JU14" s="38"/>
      <c r="JV14" s="38"/>
      <c r="JW14" s="38"/>
      <c r="JX14" s="38"/>
      <c r="JY14" s="38"/>
      <c r="JZ14" s="38"/>
      <c r="KA14" s="38"/>
      <c r="KB14" s="38"/>
      <c r="KC14" s="38"/>
      <c r="KD14" s="38"/>
      <c r="KE14" s="38"/>
      <c r="KF14" s="38"/>
      <c r="KG14" s="38"/>
      <c r="KH14" s="38"/>
      <c r="KI14" s="38"/>
      <c r="KJ14" s="38"/>
      <c r="KK14" s="38"/>
      <c r="KL14" s="38"/>
      <c r="KM14" s="38"/>
      <c r="KN14" s="38"/>
      <c r="KO14" s="38"/>
      <c r="KP14" s="38"/>
      <c r="KQ14" s="38"/>
      <c r="KR14" s="38"/>
      <c r="KS14" s="38"/>
      <c r="KT14" s="38"/>
      <c r="KU14" s="38"/>
      <c r="KV14" s="38"/>
      <c r="KW14" s="38"/>
      <c r="KX14" s="38"/>
      <c r="KY14" s="38"/>
      <c r="KZ14" s="38"/>
      <c r="LA14" s="38"/>
      <c r="LB14" s="38"/>
      <c r="LC14" s="38"/>
      <c r="LD14" s="38"/>
      <c r="LE14" s="38"/>
      <c r="LF14" s="38"/>
      <c r="LG14" s="38"/>
      <c r="LH14" s="38"/>
      <c r="LI14" s="38"/>
      <c r="LJ14" s="38"/>
      <c r="LK14" s="38"/>
      <c r="LL14" s="38"/>
      <c r="LM14" s="38"/>
      <c r="LN14" s="38"/>
      <c r="LO14" s="38"/>
      <c r="LP14" s="38"/>
      <c r="LQ14" s="38"/>
      <c r="LR14" s="38"/>
      <c r="LS14" s="38"/>
      <c r="LT14" s="38"/>
      <c r="LU14" s="38"/>
      <c r="LV14" s="38"/>
      <c r="LW14" s="38"/>
      <c r="LX14" s="38"/>
      <c r="LY14" s="38"/>
      <c r="LZ14" s="38"/>
      <c r="MA14" s="38"/>
      <c r="MB14" s="38"/>
      <c r="MC14" s="38"/>
      <c r="MD14" s="38"/>
      <c r="ME14" s="38"/>
      <c r="MF14" s="38"/>
      <c r="MG14" s="38"/>
      <c r="MH14" s="38"/>
      <c r="MI14" s="38"/>
      <c r="MJ14" s="38"/>
      <c r="MK14" s="38"/>
      <c r="ML14" s="38"/>
      <c r="MM14" s="38"/>
      <c r="MN14" s="38"/>
      <c r="MO14" s="38"/>
      <c r="MP14" s="38"/>
      <c r="MQ14" s="38"/>
      <c r="MR14" s="38"/>
      <c r="MS14" s="38"/>
      <c r="MT14" s="38"/>
      <c r="MU14" s="38"/>
      <c r="MV14" s="38"/>
      <c r="MW14" s="38"/>
      <c r="MX14" s="38"/>
      <c r="MY14" s="38"/>
      <c r="MZ14" s="38"/>
      <c r="NA14" s="38"/>
      <c r="NB14" s="38"/>
      <c r="NC14" s="38"/>
      <c r="ND14" s="38"/>
      <c r="NE14" s="38"/>
      <c r="NF14" s="38"/>
      <c r="NG14" s="38"/>
      <c r="NH14" s="38"/>
      <c r="NI14" s="38"/>
      <c r="NJ14" s="38"/>
      <c r="NK14" s="38"/>
      <c r="NL14" s="38"/>
      <c r="NM14" s="38"/>
      <c r="NN14" s="38"/>
      <c r="NO14" s="38"/>
      <c r="NP14" s="38"/>
      <c r="NQ14" s="38"/>
      <c r="NR14" s="38"/>
      <c r="NS14" s="38"/>
      <c r="NT14" s="38"/>
      <c r="NU14" s="38"/>
      <c r="NV14" s="38"/>
      <c r="NW14" s="38"/>
      <c r="NX14" s="38"/>
      <c r="NY14" s="38"/>
      <c r="NZ14" s="38"/>
      <c r="OA14" s="38"/>
      <c r="OB14" s="38"/>
      <c r="OC14" s="38"/>
      <c r="OD14" s="38"/>
      <c r="OE14" s="38"/>
      <c r="OF14" s="38"/>
      <c r="OG14" s="38"/>
      <c r="OH14" s="38"/>
      <c r="OI14" s="38"/>
      <c r="OJ14" s="38"/>
      <c r="OK14" s="38"/>
      <c r="OL14" s="38"/>
      <c r="OM14" s="38"/>
      <c r="ON14" s="38"/>
      <c r="OO14" s="38"/>
      <c r="OP14" s="38"/>
      <c r="OQ14" s="38"/>
      <c r="OR14" s="38"/>
      <c r="OS14" s="38"/>
      <c r="OT14" s="38"/>
      <c r="OU14" s="38"/>
      <c r="OV14" s="38"/>
      <c r="OW14" s="38"/>
      <c r="OX14" s="38"/>
      <c r="OY14" s="38"/>
      <c r="OZ14" s="38"/>
      <c r="PA14" s="38"/>
      <c r="PB14" s="38"/>
      <c r="PC14" s="38"/>
      <c r="PD14" s="38"/>
      <c r="PE14" s="38"/>
      <c r="PF14" s="38"/>
      <c r="PG14" s="38"/>
      <c r="PH14" s="38"/>
      <c r="PI14" s="38"/>
      <c r="PJ14" s="38"/>
      <c r="PK14" s="38"/>
      <c r="PL14" s="38"/>
      <c r="PM14" s="38"/>
      <c r="PN14" s="38"/>
      <c r="PO14" s="38"/>
      <c r="PP14" s="38"/>
      <c r="PQ14" s="38"/>
      <c r="PR14" s="38"/>
      <c r="PS14" s="38"/>
      <c r="PT14" s="38"/>
      <c r="PU14" s="38"/>
      <c r="PV14" s="38"/>
      <c r="PW14" s="38"/>
      <c r="PX14" s="38"/>
      <c r="PY14" s="38"/>
      <c r="PZ14" s="38"/>
      <c r="QA14" s="38"/>
      <c r="QB14" s="38"/>
      <c r="QC14" s="38"/>
      <c r="QD14" s="38"/>
      <c r="QE14" s="38"/>
      <c r="QF14" s="38"/>
      <c r="QG14" s="38"/>
      <c r="QH14" s="38"/>
      <c r="QI14" s="38"/>
      <c r="QJ14" s="38"/>
      <c r="QK14" s="38"/>
      <c r="QL14" s="38"/>
      <c r="QM14" s="38"/>
      <c r="QN14" s="38"/>
      <c r="QO14" s="38"/>
      <c r="QP14" s="38"/>
      <c r="QQ14" s="38"/>
      <c r="QR14" s="38"/>
      <c r="QS14" s="38"/>
      <c r="QT14" s="38"/>
      <c r="QU14" s="38"/>
      <c r="QV14" s="38"/>
      <c r="QW14" s="38"/>
      <c r="QX14" s="38"/>
      <c r="QY14" s="38"/>
      <c r="QZ14" s="38"/>
      <c r="RA14" s="38"/>
      <c r="RB14" s="38"/>
      <c r="RC14" s="38"/>
      <c r="RD14" s="38"/>
      <c r="RE14" s="38"/>
      <c r="RF14" s="38"/>
      <c r="RG14" s="38"/>
      <c r="RH14" s="38"/>
      <c r="RI14" s="38"/>
      <c r="RJ14" s="38"/>
      <c r="RK14" s="38"/>
      <c r="RL14" s="38"/>
      <c r="RM14" s="38"/>
      <c r="RN14" s="38"/>
      <c r="RO14" s="38"/>
      <c r="RP14" s="38"/>
      <c r="RQ14" s="38"/>
      <c r="RR14" s="38"/>
      <c r="RS14" s="38"/>
      <c r="RT14" s="38"/>
      <c r="RU14" s="38"/>
      <c r="RV14" s="38"/>
      <c r="RW14" s="38"/>
      <c r="RX14" s="38"/>
      <c r="RY14" s="38"/>
      <c r="RZ14" s="38"/>
      <c r="SA14" s="38"/>
      <c r="SB14" s="38"/>
      <c r="SC14" s="38"/>
      <c r="SD14" s="38"/>
      <c r="SE14" s="38"/>
      <c r="SF14" s="38"/>
      <c r="SG14" s="38"/>
      <c r="SH14" s="38"/>
      <c r="SI14" s="38"/>
      <c r="SJ14" s="38"/>
      <c r="SK14" s="38"/>
      <c r="SL14" s="38"/>
      <c r="SM14" s="38"/>
      <c r="SN14" s="38"/>
      <c r="SO14" s="38"/>
      <c r="SP14" s="38"/>
      <c r="SQ14" s="38"/>
      <c r="SR14" s="38"/>
      <c r="SS14" s="38"/>
      <c r="ST14" s="38"/>
      <c r="SU14" s="38"/>
      <c r="SV14" s="38"/>
      <c r="SW14" s="38"/>
      <c r="SX14" s="38"/>
      <c r="SY14" s="38"/>
      <c r="SZ14" s="38"/>
      <c r="TA14" s="38"/>
      <c r="TB14" s="38"/>
      <c r="TC14" s="38"/>
      <c r="TD14" s="38"/>
      <c r="TE14" s="38"/>
      <c r="TF14" s="38"/>
      <c r="TG14" s="38"/>
      <c r="TH14" s="38"/>
      <c r="TI14" s="38"/>
      <c r="TJ14" s="38"/>
      <c r="TK14" s="38"/>
      <c r="TL14" s="38"/>
      <c r="TM14" s="38"/>
    </row>
    <row r="15" spans="2:533" s="39" customFormat="1" ht="18.75" x14ac:dyDescent="0.25">
      <c r="B15" s="40" t="s">
        <v>25</v>
      </c>
      <c r="C15" s="41" t="s">
        <v>41</v>
      </c>
      <c r="D15" s="42" t="s">
        <v>42</v>
      </c>
      <c r="E15" s="43" t="s">
        <v>36</v>
      </c>
      <c r="F15" s="44">
        <v>6</v>
      </c>
      <c r="G15" s="45"/>
      <c r="H15" s="46"/>
      <c r="I15" s="47">
        <f t="shared" si="1"/>
        <v>0</v>
      </c>
      <c r="J15" s="48">
        <v>2002</v>
      </c>
      <c r="K15" s="47" t="s">
        <v>30</v>
      </c>
      <c r="L15" s="49"/>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c r="DD15" s="38"/>
      <c r="DE15" s="38"/>
      <c r="DF15" s="38"/>
      <c r="DG15" s="38"/>
      <c r="DH15" s="38"/>
      <c r="DI15" s="38"/>
      <c r="DJ15" s="38"/>
      <c r="DK15" s="38"/>
      <c r="DL15" s="38"/>
      <c r="DM15" s="38"/>
      <c r="DN15" s="38"/>
      <c r="DO15" s="38"/>
      <c r="DP15" s="38"/>
      <c r="DQ15" s="38"/>
      <c r="DR15" s="38"/>
      <c r="DS15" s="38"/>
      <c r="DT15" s="38"/>
      <c r="DU15" s="38"/>
      <c r="DV15" s="38"/>
      <c r="DW15" s="38"/>
      <c r="DX15" s="38"/>
      <c r="DY15" s="38"/>
      <c r="DZ15" s="38"/>
      <c r="EA15" s="38"/>
      <c r="EB15" s="38"/>
      <c r="EC15" s="38"/>
      <c r="ED15" s="38"/>
      <c r="EE15" s="38"/>
      <c r="EF15" s="38"/>
      <c r="EG15" s="38"/>
      <c r="EH15" s="38"/>
      <c r="EI15" s="38"/>
      <c r="EJ15" s="38"/>
      <c r="EK15" s="38"/>
      <c r="EL15" s="38"/>
      <c r="EM15" s="38"/>
      <c r="EN15" s="38"/>
      <c r="EO15" s="38"/>
      <c r="EP15" s="38"/>
      <c r="EQ15" s="38"/>
      <c r="ER15" s="38"/>
      <c r="ES15" s="38"/>
      <c r="ET15" s="38"/>
      <c r="EU15" s="38"/>
      <c r="EV15" s="38"/>
      <c r="EW15" s="38"/>
      <c r="EX15" s="38"/>
      <c r="EY15" s="38"/>
      <c r="EZ15" s="38"/>
      <c r="FA15" s="38"/>
      <c r="FB15" s="38"/>
      <c r="FC15" s="38"/>
      <c r="FD15" s="38"/>
      <c r="FE15" s="38"/>
      <c r="FF15" s="38"/>
      <c r="FG15" s="38"/>
      <c r="FH15" s="38"/>
      <c r="FI15" s="38"/>
      <c r="FJ15" s="38"/>
      <c r="FK15" s="38"/>
      <c r="FL15" s="38"/>
      <c r="FM15" s="38"/>
      <c r="FN15" s="38"/>
      <c r="FO15" s="38"/>
      <c r="FP15" s="38"/>
      <c r="FQ15" s="38"/>
      <c r="FR15" s="38"/>
      <c r="FS15" s="38"/>
      <c r="FT15" s="38"/>
      <c r="FU15" s="38"/>
      <c r="FV15" s="38"/>
      <c r="FW15" s="38"/>
      <c r="FX15" s="38"/>
      <c r="FY15" s="38"/>
      <c r="FZ15" s="38"/>
      <c r="GA15" s="38"/>
      <c r="GB15" s="38"/>
      <c r="GC15" s="38"/>
      <c r="GD15" s="38"/>
      <c r="GE15" s="38"/>
      <c r="GF15" s="38"/>
      <c r="GG15" s="38"/>
      <c r="GH15" s="38"/>
      <c r="GI15" s="38"/>
      <c r="GJ15" s="38"/>
      <c r="GK15" s="38"/>
      <c r="GL15" s="38"/>
      <c r="GM15" s="38"/>
      <c r="GN15" s="38"/>
      <c r="GO15" s="38"/>
      <c r="GP15" s="38"/>
      <c r="GQ15" s="38"/>
      <c r="GR15" s="38"/>
      <c r="GS15" s="38"/>
      <c r="GT15" s="38"/>
      <c r="GU15" s="38"/>
      <c r="GV15" s="38"/>
      <c r="GW15" s="38"/>
      <c r="GX15" s="38"/>
      <c r="GY15" s="38"/>
      <c r="GZ15" s="38"/>
      <c r="HA15" s="38"/>
      <c r="HB15" s="38"/>
      <c r="HC15" s="38"/>
      <c r="HD15" s="38"/>
      <c r="HE15" s="38"/>
      <c r="HF15" s="38"/>
      <c r="HG15" s="38"/>
      <c r="HH15" s="38"/>
      <c r="HI15" s="38"/>
      <c r="HJ15" s="38"/>
      <c r="HK15" s="38"/>
      <c r="HL15" s="38"/>
      <c r="HM15" s="38"/>
      <c r="HN15" s="38"/>
      <c r="HO15" s="38"/>
      <c r="HP15" s="38"/>
      <c r="HQ15" s="38"/>
      <c r="HR15" s="38"/>
      <c r="HS15" s="38"/>
      <c r="HT15" s="38"/>
      <c r="HU15" s="38"/>
      <c r="HV15" s="38"/>
      <c r="HW15" s="38"/>
      <c r="HX15" s="38"/>
      <c r="HY15" s="38"/>
      <c r="HZ15" s="38"/>
      <c r="IA15" s="38"/>
      <c r="IB15" s="38"/>
      <c r="IC15" s="38"/>
      <c r="ID15" s="38"/>
      <c r="IE15" s="38"/>
      <c r="IF15" s="38"/>
      <c r="IG15" s="38"/>
      <c r="IH15" s="38"/>
      <c r="II15" s="38"/>
      <c r="IJ15" s="38"/>
      <c r="IK15" s="38"/>
      <c r="IL15" s="38"/>
      <c r="IM15" s="38"/>
      <c r="IN15" s="38"/>
      <c r="IO15" s="38"/>
      <c r="IP15" s="38"/>
      <c r="IQ15" s="38"/>
      <c r="IR15" s="38"/>
      <c r="IS15" s="38"/>
      <c r="IT15" s="38"/>
      <c r="IU15" s="38"/>
      <c r="IV15" s="38"/>
      <c r="IW15" s="38"/>
      <c r="IX15" s="38"/>
      <c r="IY15" s="38"/>
      <c r="IZ15" s="38"/>
      <c r="JA15" s="38"/>
      <c r="JB15" s="38"/>
      <c r="JC15" s="38"/>
      <c r="JD15" s="38"/>
      <c r="JE15" s="38"/>
      <c r="JF15" s="38"/>
      <c r="JG15" s="38"/>
      <c r="JH15" s="38"/>
      <c r="JI15" s="38"/>
      <c r="JJ15" s="38"/>
      <c r="JK15" s="38"/>
      <c r="JL15" s="38"/>
      <c r="JM15" s="38"/>
      <c r="JN15" s="38"/>
      <c r="JO15" s="38"/>
      <c r="JP15" s="38"/>
      <c r="JQ15" s="38"/>
      <c r="JR15" s="38"/>
      <c r="JS15" s="38"/>
      <c r="JT15" s="38"/>
      <c r="JU15" s="38"/>
      <c r="JV15" s="38"/>
      <c r="JW15" s="38"/>
      <c r="JX15" s="38"/>
      <c r="JY15" s="38"/>
      <c r="JZ15" s="38"/>
      <c r="KA15" s="38"/>
      <c r="KB15" s="38"/>
      <c r="KC15" s="38"/>
      <c r="KD15" s="38"/>
      <c r="KE15" s="38"/>
      <c r="KF15" s="38"/>
      <c r="KG15" s="38"/>
      <c r="KH15" s="38"/>
      <c r="KI15" s="38"/>
      <c r="KJ15" s="38"/>
      <c r="KK15" s="38"/>
      <c r="KL15" s="38"/>
      <c r="KM15" s="38"/>
      <c r="KN15" s="38"/>
      <c r="KO15" s="38"/>
      <c r="KP15" s="38"/>
      <c r="KQ15" s="38"/>
      <c r="KR15" s="38"/>
      <c r="KS15" s="38"/>
      <c r="KT15" s="38"/>
      <c r="KU15" s="38"/>
      <c r="KV15" s="38"/>
      <c r="KW15" s="38"/>
      <c r="KX15" s="38"/>
      <c r="KY15" s="38"/>
      <c r="KZ15" s="38"/>
      <c r="LA15" s="38"/>
      <c r="LB15" s="38"/>
      <c r="LC15" s="38"/>
      <c r="LD15" s="38"/>
      <c r="LE15" s="38"/>
      <c r="LF15" s="38"/>
      <c r="LG15" s="38"/>
      <c r="LH15" s="38"/>
      <c r="LI15" s="38"/>
      <c r="LJ15" s="38"/>
      <c r="LK15" s="38"/>
      <c r="LL15" s="38"/>
      <c r="LM15" s="38"/>
      <c r="LN15" s="38"/>
      <c r="LO15" s="38"/>
      <c r="LP15" s="38"/>
      <c r="LQ15" s="38"/>
      <c r="LR15" s="38"/>
      <c r="LS15" s="38"/>
      <c r="LT15" s="38"/>
      <c r="LU15" s="38"/>
      <c r="LV15" s="38"/>
      <c r="LW15" s="38"/>
      <c r="LX15" s="38"/>
      <c r="LY15" s="38"/>
      <c r="LZ15" s="38"/>
      <c r="MA15" s="38"/>
      <c r="MB15" s="38"/>
      <c r="MC15" s="38"/>
      <c r="MD15" s="38"/>
      <c r="ME15" s="38"/>
      <c r="MF15" s="38"/>
      <c r="MG15" s="38"/>
      <c r="MH15" s="38"/>
      <c r="MI15" s="38"/>
      <c r="MJ15" s="38"/>
      <c r="MK15" s="38"/>
      <c r="ML15" s="38"/>
      <c r="MM15" s="38"/>
      <c r="MN15" s="38"/>
      <c r="MO15" s="38"/>
      <c r="MP15" s="38"/>
      <c r="MQ15" s="38"/>
      <c r="MR15" s="38"/>
      <c r="MS15" s="38"/>
      <c r="MT15" s="38"/>
      <c r="MU15" s="38"/>
      <c r="MV15" s="38"/>
      <c r="MW15" s="38"/>
      <c r="MX15" s="38"/>
      <c r="MY15" s="38"/>
      <c r="MZ15" s="38"/>
      <c r="NA15" s="38"/>
      <c r="NB15" s="38"/>
      <c r="NC15" s="38"/>
      <c r="ND15" s="38"/>
      <c r="NE15" s="38"/>
      <c r="NF15" s="38"/>
      <c r="NG15" s="38"/>
      <c r="NH15" s="38"/>
      <c r="NI15" s="38"/>
      <c r="NJ15" s="38"/>
      <c r="NK15" s="38"/>
      <c r="NL15" s="38"/>
      <c r="NM15" s="38"/>
      <c r="NN15" s="38"/>
      <c r="NO15" s="38"/>
      <c r="NP15" s="38"/>
      <c r="NQ15" s="38"/>
      <c r="NR15" s="38"/>
      <c r="NS15" s="38"/>
      <c r="NT15" s="38"/>
      <c r="NU15" s="38"/>
      <c r="NV15" s="38"/>
      <c r="NW15" s="38"/>
      <c r="NX15" s="38"/>
      <c r="NY15" s="38"/>
      <c r="NZ15" s="38"/>
      <c r="OA15" s="38"/>
      <c r="OB15" s="38"/>
      <c r="OC15" s="38"/>
      <c r="OD15" s="38"/>
      <c r="OE15" s="38"/>
      <c r="OF15" s="38"/>
      <c r="OG15" s="38"/>
      <c r="OH15" s="38"/>
      <c r="OI15" s="38"/>
      <c r="OJ15" s="38"/>
      <c r="OK15" s="38"/>
      <c r="OL15" s="38"/>
      <c r="OM15" s="38"/>
      <c r="ON15" s="38"/>
      <c r="OO15" s="38"/>
      <c r="OP15" s="38"/>
      <c r="OQ15" s="38"/>
      <c r="OR15" s="38"/>
      <c r="OS15" s="38"/>
      <c r="OT15" s="38"/>
      <c r="OU15" s="38"/>
      <c r="OV15" s="38"/>
      <c r="OW15" s="38"/>
      <c r="OX15" s="38"/>
      <c r="OY15" s="38"/>
      <c r="OZ15" s="38"/>
      <c r="PA15" s="38"/>
      <c r="PB15" s="38"/>
      <c r="PC15" s="38"/>
      <c r="PD15" s="38"/>
      <c r="PE15" s="38"/>
      <c r="PF15" s="38"/>
      <c r="PG15" s="38"/>
      <c r="PH15" s="38"/>
      <c r="PI15" s="38"/>
      <c r="PJ15" s="38"/>
      <c r="PK15" s="38"/>
      <c r="PL15" s="38"/>
      <c r="PM15" s="38"/>
      <c r="PN15" s="38"/>
      <c r="PO15" s="38"/>
      <c r="PP15" s="38"/>
      <c r="PQ15" s="38"/>
      <c r="PR15" s="38"/>
      <c r="PS15" s="38"/>
      <c r="PT15" s="38"/>
      <c r="PU15" s="38"/>
      <c r="PV15" s="38"/>
      <c r="PW15" s="38"/>
      <c r="PX15" s="38"/>
      <c r="PY15" s="38"/>
      <c r="PZ15" s="38"/>
      <c r="QA15" s="38"/>
      <c r="QB15" s="38"/>
      <c r="QC15" s="38"/>
      <c r="QD15" s="38"/>
      <c r="QE15" s="38"/>
      <c r="QF15" s="38"/>
      <c r="QG15" s="38"/>
      <c r="QH15" s="38"/>
      <c r="QI15" s="38"/>
      <c r="QJ15" s="38"/>
      <c r="QK15" s="38"/>
      <c r="QL15" s="38"/>
      <c r="QM15" s="38"/>
      <c r="QN15" s="38"/>
      <c r="QO15" s="38"/>
      <c r="QP15" s="38"/>
      <c r="QQ15" s="38"/>
      <c r="QR15" s="38"/>
      <c r="QS15" s="38"/>
      <c r="QT15" s="38"/>
      <c r="QU15" s="38"/>
      <c r="QV15" s="38"/>
      <c r="QW15" s="38"/>
      <c r="QX15" s="38"/>
      <c r="QY15" s="38"/>
      <c r="QZ15" s="38"/>
      <c r="RA15" s="38"/>
      <c r="RB15" s="38"/>
      <c r="RC15" s="38"/>
      <c r="RD15" s="38"/>
      <c r="RE15" s="38"/>
      <c r="RF15" s="38"/>
      <c r="RG15" s="38"/>
      <c r="RH15" s="38"/>
      <c r="RI15" s="38"/>
      <c r="RJ15" s="38"/>
      <c r="RK15" s="38"/>
      <c r="RL15" s="38"/>
      <c r="RM15" s="38"/>
      <c r="RN15" s="38"/>
      <c r="RO15" s="38"/>
      <c r="RP15" s="38"/>
      <c r="RQ15" s="38"/>
      <c r="RR15" s="38"/>
      <c r="RS15" s="38"/>
      <c r="RT15" s="38"/>
      <c r="RU15" s="38"/>
      <c r="RV15" s="38"/>
      <c r="RW15" s="38"/>
      <c r="RX15" s="38"/>
      <c r="RY15" s="38"/>
      <c r="RZ15" s="38"/>
      <c r="SA15" s="38"/>
      <c r="SB15" s="38"/>
      <c r="SC15" s="38"/>
      <c r="SD15" s="38"/>
      <c r="SE15" s="38"/>
      <c r="SF15" s="38"/>
      <c r="SG15" s="38"/>
      <c r="SH15" s="38"/>
      <c r="SI15" s="38"/>
      <c r="SJ15" s="38"/>
      <c r="SK15" s="38"/>
      <c r="SL15" s="38"/>
      <c r="SM15" s="38"/>
      <c r="SN15" s="38"/>
      <c r="SO15" s="38"/>
      <c r="SP15" s="38"/>
      <c r="SQ15" s="38"/>
      <c r="SR15" s="38"/>
      <c r="SS15" s="38"/>
      <c r="ST15" s="38"/>
      <c r="SU15" s="38"/>
      <c r="SV15" s="38"/>
      <c r="SW15" s="38"/>
      <c r="SX15" s="38"/>
      <c r="SY15" s="38"/>
      <c r="SZ15" s="38"/>
      <c r="TA15" s="38"/>
      <c r="TB15" s="38"/>
      <c r="TC15" s="38"/>
      <c r="TD15" s="38"/>
      <c r="TE15" s="38"/>
      <c r="TF15" s="38"/>
      <c r="TG15" s="38"/>
      <c r="TH15" s="38"/>
      <c r="TI15" s="38"/>
      <c r="TJ15" s="38"/>
      <c r="TK15" s="38"/>
      <c r="TL15" s="38"/>
      <c r="TM15" s="38"/>
    </row>
    <row r="16" spans="2:533" s="39" customFormat="1" ht="18.75" x14ac:dyDescent="0.25">
      <c r="B16" s="40" t="s">
        <v>25</v>
      </c>
      <c r="C16" s="41" t="s">
        <v>43</v>
      </c>
      <c r="D16" s="42" t="s">
        <v>44</v>
      </c>
      <c r="E16" s="43" t="s">
        <v>36</v>
      </c>
      <c r="F16" s="44">
        <v>11</v>
      </c>
      <c r="G16" s="45"/>
      <c r="H16" s="46"/>
      <c r="I16" s="47">
        <f t="shared" si="1"/>
        <v>0</v>
      </c>
      <c r="J16" s="48">
        <v>2002</v>
      </c>
      <c r="K16" s="47" t="s">
        <v>30</v>
      </c>
      <c r="L16" s="49"/>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8"/>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c r="FU16" s="38"/>
      <c r="FV16" s="38"/>
      <c r="FW16" s="38"/>
      <c r="FX16" s="38"/>
      <c r="FY16" s="38"/>
      <c r="FZ16" s="38"/>
      <c r="GA16" s="38"/>
      <c r="GB16" s="38"/>
      <c r="GC16" s="38"/>
      <c r="GD16" s="38"/>
      <c r="GE16" s="38"/>
      <c r="GF16" s="38"/>
      <c r="GG16" s="38"/>
      <c r="GH16" s="38"/>
      <c r="GI16" s="38"/>
      <c r="GJ16" s="38"/>
      <c r="GK16" s="38"/>
      <c r="GL16" s="38"/>
      <c r="GM16" s="38"/>
      <c r="GN16" s="38"/>
      <c r="GO16" s="38"/>
      <c r="GP16" s="38"/>
      <c r="GQ16" s="38"/>
      <c r="GR16" s="38"/>
      <c r="GS16" s="38"/>
      <c r="GT16" s="38"/>
      <c r="GU16" s="38"/>
      <c r="GV16" s="38"/>
      <c r="GW16" s="38"/>
      <c r="GX16" s="38"/>
      <c r="GY16" s="38"/>
      <c r="GZ16" s="38"/>
      <c r="HA16" s="38"/>
      <c r="HB16" s="38"/>
      <c r="HC16" s="38"/>
      <c r="HD16" s="38"/>
      <c r="HE16" s="38"/>
      <c r="HF16" s="38"/>
      <c r="HG16" s="38"/>
      <c r="HH16" s="38"/>
      <c r="HI16" s="38"/>
      <c r="HJ16" s="38"/>
      <c r="HK16" s="38"/>
      <c r="HL16" s="38"/>
      <c r="HM16" s="38"/>
      <c r="HN16" s="38"/>
      <c r="HO16" s="38"/>
      <c r="HP16" s="38"/>
      <c r="HQ16" s="38"/>
      <c r="HR16" s="38"/>
      <c r="HS16" s="38"/>
      <c r="HT16" s="38"/>
      <c r="HU16" s="38"/>
      <c r="HV16" s="38"/>
      <c r="HW16" s="38"/>
      <c r="HX16" s="38"/>
      <c r="HY16" s="38"/>
      <c r="HZ16" s="38"/>
      <c r="IA16" s="38"/>
      <c r="IB16" s="38"/>
      <c r="IC16" s="38"/>
      <c r="ID16" s="38"/>
      <c r="IE16" s="38"/>
      <c r="IF16" s="38"/>
      <c r="IG16" s="38"/>
      <c r="IH16" s="38"/>
      <c r="II16" s="38"/>
      <c r="IJ16" s="38"/>
      <c r="IK16" s="38"/>
      <c r="IL16" s="38"/>
      <c r="IM16" s="38"/>
      <c r="IN16" s="38"/>
      <c r="IO16" s="38"/>
      <c r="IP16" s="38"/>
      <c r="IQ16" s="38"/>
      <c r="IR16" s="38"/>
      <c r="IS16" s="38"/>
      <c r="IT16" s="38"/>
      <c r="IU16" s="38"/>
      <c r="IV16" s="38"/>
      <c r="IW16" s="38"/>
      <c r="IX16" s="38"/>
      <c r="IY16" s="38"/>
      <c r="IZ16" s="38"/>
      <c r="JA16" s="38"/>
      <c r="JB16" s="38"/>
      <c r="JC16" s="38"/>
      <c r="JD16" s="38"/>
      <c r="JE16" s="38"/>
      <c r="JF16" s="38"/>
      <c r="JG16" s="38"/>
      <c r="JH16" s="38"/>
      <c r="JI16" s="38"/>
      <c r="JJ16" s="38"/>
      <c r="JK16" s="38"/>
      <c r="JL16" s="38"/>
      <c r="JM16" s="38"/>
      <c r="JN16" s="38"/>
      <c r="JO16" s="38"/>
      <c r="JP16" s="38"/>
      <c r="JQ16" s="38"/>
      <c r="JR16" s="38"/>
      <c r="JS16" s="38"/>
      <c r="JT16" s="38"/>
      <c r="JU16" s="38"/>
      <c r="JV16" s="38"/>
      <c r="JW16" s="38"/>
      <c r="JX16" s="38"/>
      <c r="JY16" s="38"/>
      <c r="JZ16" s="38"/>
      <c r="KA16" s="38"/>
      <c r="KB16" s="38"/>
      <c r="KC16" s="38"/>
      <c r="KD16" s="38"/>
      <c r="KE16" s="38"/>
      <c r="KF16" s="38"/>
      <c r="KG16" s="38"/>
      <c r="KH16" s="38"/>
      <c r="KI16" s="38"/>
      <c r="KJ16" s="38"/>
      <c r="KK16" s="38"/>
      <c r="KL16" s="38"/>
      <c r="KM16" s="38"/>
      <c r="KN16" s="38"/>
      <c r="KO16" s="38"/>
      <c r="KP16" s="38"/>
      <c r="KQ16" s="38"/>
      <c r="KR16" s="38"/>
      <c r="KS16" s="38"/>
      <c r="KT16" s="38"/>
      <c r="KU16" s="38"/>
      <c r="KV16" s="38"/>
      <c r="KW16" s="38"/>
      <c r="KX16" s="38"/>
      <c r="KY16" s="38"/>
      <c r="KZ16" s="38"/>
      <c r="LA16" s="38"/>
      <c r="LB16" s="38"/>
      <c r="LC16" s="38"/>
      <c r="LD16" s="38"/>
      <c r="LE16" s="38"/>
      <c r="LF16" s="38"/>
      <c r="LG16" s="38"/>
      <c r="LH16" s="38"/>
      <c r="LI16" s="38"/>
      <c r="LJ16" s="38"/>
      <c r="LK16" s="38"/>
      <c r="LL16" s="38"/>
      <c r="LM16" s="38"/>
      <c r="LN16" s="38"/>
      <c r="LO16" s="38"/>
      <c r="LP16" s="38"/>
      <c r="LQ16" s="38"/>
      <c r="LR16" s="38"/>
      <c r="LS16" s="38"/>
      <c r="LT16" s="38"/>
      <c r="LU16" s="38"/>
      <c r="LV16" s="38"/>
      <c r="LW16" s="38"/>
      <c r="LX16" s="38"/>
      <c r="LY16" s="38"/>
      <c r="LZ16" s="38"/>
      <c r="MA16" s="38"/>
      <c r="MB16" s="38"/>
      <c r="MC16" s="38"/>
      <c r="MD16" s="38"/>
      <c r="ME16" s="38"/>
      <c r="MF16" s="38"/>
      <c r="MG16" s="38"/>
      <c r="MH16" s="38"/>
      <c r="MI16" s="38"/>
      <c r="MJ16" s="38"/>
      <c r="MK16" s="38"/>
      <c r="ML16" s="38"/>
      <c r="MM16" s="38"/>
      <c r="MN16" s="38"/>
      <c r="MO16" s="38"/>
      <c r="MP16" s="38"/>
      <c r="MQ16" s="38"/>
      <c r="MR16" s="38"/>
      <c r="MS16" s="38"/>
      <c r="MT16" s="38"/>
      <c r="MU16" s="38"/>
      <c r="MV16" s="38"/>
      <c r="MW16" s="38"/>
      <c r="MX16" s="38"/>
      <c r="MY16" s="38"/>
      <c r="MZ16" s="38"/>
      <c r="NA16" s="38"/>
      <c r="NB16" s="38"/>
      <c r="NC16" s="38"/>
      <c r="ND16" s="38"/>
      <c r="NE16" s="38"/>
      <c r="NF16" s="38"/>
      <c r="NG16" s="38"/>
      <c r="NH16" s="38"/>
      <c r="NI16" s="38"/>
      <c r="NJ16" s="38"/>
      <c r="NK16" s="38"/>
      <c r="NL16" s="38"/>
      <c r="NM16" s="38"/>
      <c r="NN16" s="38"/>
      <c r="NO16" s="38"/>
      <c r="NP16" s="38"/>
      <c r="NQ16" s="38"/>
      <c r="NR16" s="38"/>
      <c r="NS16" s="38"/>
      <c r="NT16" s="38"/>
      <c r="NU16" s="38"/>
      <c r="NV16" s="38"/>
      <c r="NW16" s="38"/>
      <c r="NX16" s="38"/>
      <c r="NY16" s="38"/>
      <c r="NZ16" s="38"/>
      <c r="OA16" s="38"/>
      <c r="OB16" s="38"/>
      <c r="OC16" s="38"/>
      <c r="OD16" s="38"/>
      <c r="OE16" s="38"/>
      <c r="OF16" s="38"/>
      <c r="OG16" s="38"/>
      <c r="OH16" s="38"/>
      <c r="OI16" s="38"/>
      <c r="OJ16" s="38"/>
      <c r="OK16" s="38"/>
      <c r="OL16" s="38"/>
      <c r="OM16" s="38"/>
      <c r="ON16" s="38"/>
      <c r="OO16" s="38"/>
      <c r="OP16" s="38"/>
      <c r="OQ16" s="38"/>
      <c r="OR16" s="38"/>
      <c r="OS16" s="38"/>
      <c r="OT16" s="38"/>
      <c r="OU16" s="38"/>
      <c r="OV16" s="38"/>
      <c r="OW16" s="38"/>
      <c r="OX16" s="38"/>
      <c r="OY16" s="38"/>
      <c r="OZ16" s="38"/>
      <c r="PA16" s="38"/>
      <c r="PB16" s="38"/>
      <c r="PC16" s="38"/>
      <c r="PD16" s="38"/>
      <c r="PE16" s="38"/>
      <c r="PF16" s="38"/>
      <c r="PG16" s="38"/>
      <c r="PH16" s="38"/>
      <c r="PI16" s="38"/>
      <c r="PJ16" s="38"/>
      <c r="PK16" s="38"/>
      <c r="PL16" s="38"/>
      <c r="PM16" s="38"/>
      <c r="PN16" s="38"/>
      <c r="PO16" s="38"/>
      <c r="PP16" s="38"/>
      <c r="PQ16" s="38"/>
      <c r="PR16" s="38"/>
      <c r="PS16" s="38"/>
      <c r="PT16" s="38"/>
      <c r="PU16" s="38"/>
      <c r="PV16" s="38"/>
      <c r="PW16" s="38"/>
      <c r="PX16" s="38"/>
      <c r="PY16" s="38"/>
      <c r="PZ16" s="38"/>
      <c r="QA16" s="38"/>
      <c r="QB16" s="38"/>
      <c r="QC16" s="38"/>
      <c r="QD16" s="38"/>
      <c r="QE16" s="38"/>
      <c r="QF16" s="38"/>
      <c r="QG16" s="38"/>
      <c r="QH16" s="38"/>
      <c r="QI16" s="38"/>
      <c r="QJ16" s="38"/>
      <c r="QK16" s="38"/>
      <c r="QL16" s="38"/>
      <c r="QM16" s="38"/>
      <c r="QN16" s="38"/>
      <c r="QO16" s="38"/>
      <c r="QP16" s="38"/>
      <c r="QQ16" s="38"/>
      <c r="QR16" s="38"/>
      <c r="QS16" s="38"/>
      <c r="QT16" s="38"/>
      <c r="QU16" s="38"/>
      <c r="QV16" s="38"/>
      <c r="QW16" s="38"/>
      <c r="QX16" s="38"/>
      <c r="QY16" s="38"/>
      <c r="QZ16" s="38"/>
      <c r="RA16" s="38"/>
      <c r="RB16" s="38"/>
      <c r="RC16" s="38"/>
      <c r="RD16" s="38"/>
      <c r="RE16" s="38"/>
      <c r="RF16" s="38"/>
      <c r="RG16" s="38"/>
      <c r="RH16" s="38"/>
      <c r="RI16" s="38"/>
      <c r="RJ16" s="38"/>
      <c r="RK16" s="38"/>
      <c r="RL16" s="38"/>
      <c r="RM16" s="38"/>
      <c r="RN16" s="38"/>
      <c r="RO16" s="38"/>
      <c r="RP16" s="38"/>
      <c r="RQ16" s="38"/>
      <c r="RR16" s="38"/>
      <c r="RS16" s="38"/>
      <c r="RT16" s="38"/>
      <c r="RU16" s="38"/>
      <c r="RV16" s="38"/>
      <c r="RW16" s="38"/>
      <c r="RX16" s="38"/>
      <c r="RY16" s="38"/>
      <c r="RZ16" s="38"/>
      <c r="SA16" s="38"/>
      <c r="SB16" s="38"/>
      <c r="SC16" s="38"/>
      <c r="SD16" s="38"/>
      <c r="SE16" s="38"/>
      <c r="SF16" s="38"/>
      <c r="SG16" s="38"/>
      <c r="SH16" s="38"/>
      <c r="SI16" s="38"/>
      <c r="SJ16" s="38"/>
      <c r="SK16" s="38"/>
      <c r="SL16" s="38"/>
      <c r="SM16" s="38"/>
      <c r="SN16" s="38"/>
      <c r="SO16" s="38"/>
      <c r="SP16" s="38"/>
      <c r="SQ16" s="38"/>
      <c r="SR16" s="38"/>
      <c r="SS16" s="38"/>
      <c r="ST16" s="38"/>
      <c r="SU16" s="38"/>
      <c r="SV16" s="38"/>
      <c r="SW16" s="38"/>
      <c r="SX16" s="38"/>
      <c r="SY16" s="38"/>
      <c r="SZ16" s="38"/>
      <c r="TA16" s="38"/>
      <c r="TB16" s="38"/>
      <c r="TC16" s="38"/>
      <c r="TD16" s="38"/>
      <c r="TE16" s="38"/>
      <c r="TF16" s="38"/>
      <c r="TG16" s="38"/>
      <c r="TH16" s="38"/>
      <c r="TI16" s="38"/>
      <c r="TJ16" s="38"/>
      <c r="TK16" s="38"/>
      <c r="TL16" s="38"/>
      <c r="TM16" s="38"/>
    </row>
    <row r="17" spans="2:533" s="39" customFormat="1" ht="131.25" x14ac:dyDescent="0.25">
      <c r="B17" s="50" t="s">
        <v>25</v>
      </c>
      <c r="C17" s="41"/>
      <c r="D17" s="57" t="s">
        <v>45</v>
      </c>
      <c r="E17" s="52"/>
      <c r="F17" s="53"/>
      <c r="G17" s="54"/>
      <c r="H17" s="46"/>
      <c r="I17" s="55"/>
      <c r="J17" s="48"/>
      <c r="K17" s="47"/>
      <c r="L17" s="49"/>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8"/>
      <c r="EM17" s="38"/>
      <c r="EN17" s="38"/>
      <c r="EO17" s="38"/>
      <c r="EP17" s="38"/>
      <c r="EQ17" s="38"/>
      <c r="ER17" s="38"/>
      <c r="ES17" s="38"/>
      <c r="ET17" s="38"/>
      <c r="EU17" s="38"/>
      <c r="EV17" s="38"/>
      <c r="EW17" s="38"/>
      <c r="EX17" s="38"/>
      <c r="EY17" s="38"/>
      <c r="EZ17" s="38"/>
      <c r="FA17" s="38"/>
      <c r="FB17" s="38"/>
      <c r="FC17" s="38"/>
      <c r="FD17" s="38"/>
      <c r="FE17" s="38"/>
      <c r="FF17" s="38"/>
      <c r="FG17" s="38"/>
      <c r="FH17" s="38"/>
      <c r="FI17" s="38"/>
      <c r="FJ17" s="38"/>
      <c r="FK17" s="38"/>
      <c r="FL17" s="38"/>
      <c r="FM17" s="38"/>
      <c r="FN17" s="38"/>
      <c r="FO17" s="38"/>
      <c r="FP17" s="38"/>
      <c r="FQ17" s="38"/>
      <c r="FR17" s="38"/>
      <c r="FS17" s="38"/>
      <c r="FT17" s="38"/>
      <c r="FU17" s="38"/>
      <c r="FV17" s="38"/>
      <c r="FW17" s="38"/>
      <c r="FX17" s="38"/>
      <c r="FY17" s="38"/>
      <c r="FZ17" s="38"/>
      <c r="GA17" s="38"/>
      <c r="GB17" s="38"/>
      <c r="GC17" s="38"/>
      <c r="GD17" s="38"/>
      <c r="GE17" s="38"/>
      <c r="GF17" s="38"/>
      <c r="GG17" s="38"/>
      <c r="GH17" s="38"/>
      <c r="GI17" s="38"/>
      <c r="GJ17" s="38"/>
      <c r="GK17" s="38"/>
      <c r="GL17" s="38"/>
      <c r="GM17" s="38"/>
      <c r="GN17" s="38"/>
      <c r="GO17" s="38"/>
      <c r="GP17" s="38"/>
      <c r="GQ17" s="38"/>
      <c r="GR17" s="38"/>
      <c r="GS17" s="38"/>
      <c r="GT17" s="38"/>
      <c r="GU17" s="38"/>
      <c r="GV17" s="38"/>
      <c r="GW17" s="38"/>
      <c r="GX17" s="38"/>
      <c r="GY17" s="38"/>
      <c r="GZ17" s="38"/>
      <c r="HA17" s="38"/>
      <c r="HB17" s="38"/>
      <c r="HC17" s="38"/>
      <c r="HD17" s="38"/>
      <c r="HE17" s="38"/>
      <c r="HF17" s="38"/>
      <c r="HG17" s="38"/>
      <c r="HH17" s="38"/>
      <c r="HI17" s="38"/>
      <c r="HJ17" s="38"/>
      <c r="HK17" s="38"/>
      <c r="HL17" s="38"/>
      <c r="HM17" s="38"/>
      <c r="HN17" s="38"/>
      <c r="HO17" s="38"/>
      <c r="HP17" s="38"/>
      <c r="HQ17" s="38"/>
      <c r="HR17" s="38"/>
      <c r="HS17" s="38"/>
      <c r="HT17" s="38"/>
      <c r="HU17" s="38"/>
      <c r="HV17" s="38"/>
      <c r="HW17" s="38"/>
      <c r="HX17" s="38"/>
      <c r="HY17" s="38"/>
      <c r="HZ17" s="38"/>
      <c r="IA17" s="38"/>
      <c r="IB17" s="38"/>
      <c r="IC17" s="38"/>
      <c r="ID17" s="38"/>
      <c r="IE17" s="38"/>
      <c r="IF17" s="38"/>
      <c r="IG17" s="38"/>
      <c r="IH17" s="38"/>
      <c r="II17" s="38"/>
      <c r="IJ17" s="38"/>
      <c r="IK17" s="38"/>
      <c r="IL17" s="38"/>
      <c r="IM17" s="38"/>
      <c r="IN17" s="38"/>
      <c r="IO17" s="38"/>
      <c r="IP17" s="38"/>
      <c r="IQ17" s="38"/>
      <c r="IR17" s="38"/>
      <c r="IS17" s="38"/>
      <c r="IT17" s="38"/>
      <c r="IU17" s="38"/>
      <c r="IV17" s="38"/>
      <c r="IW17" s="38"/>
      <c r="IX17" s="38"/>
      <c r="IY17" s="38"/>
      <c r="IZ17" s="38"/>
      <c r="JA17" s="38"/>
      <c r="JB17" s="38"/>
      <c r="JC17" s="38"/>
      <c r="JD17" s="38"/>
      <c r="JE17" s="38"/>
      <c r="JF17" s="38"/>
      <c r="JG17" s="38"/>
      <c r="JH17" s="38"/>
      <c r="JI17" s="38"/>
      <c r="JJ17" s="38"/>
      <c r="JK17" s="38"/>
      <c r="JL17" s="38"/>
      <c r="JM17" s="38"/>
      <c r="JN17" s="38"/>
      <c r="JO17" s="38"/>
      <c r="JP17" s="38"/>
      <c r="JQ17" s="38"/>
      <c r="JR17" s="38"/>
      <c r="JS17" s="38"/>
      <c r="JT17" s="38"/>
      <c r="JU17" s="38"/>
      <c r="JV17" s="38"/>
      <c r="JW17" s="38"/>
      <c r="JX17" s="38"/>
      <c r="JY17" s="38"/>
      <c r="JZ17" s="38"/>
      <c r="KA17" s="38"/>
      <c r="KB17" s="38"/>
      <c r="KC17" s="38"/>
      <c r="KD17" s="38"/>
      <c r="KE17" s="38"/>
      <c r="KF17" s="38"/>
      <c r="KG17" s="38"/>
      <c r="KH17" s="38"/>
      <c r="KI17" s="38"/>
      <c r="KJ17" s="38"/>
      <c r="KK17" s="38"/>
      <c r="KL17" s="38"/>
      <c r="KM17" s="38"/>
      <c r="KN17" s="38"/>
      <c r="KO17" s="38"/>
      <c r="KP17" s="38"/>
      <c r="KQ17" s="38"/>
      <c r="KR17" s="38"/>
      <c r="KS17" s="38"/>
      <c r="KT17" s="38"/>
      <c r="KU17" s="38"/>
      <c r="KV17" s="38"/>
      <c r="KW17" s="38"/>
      <c r="KX17" s="38"/>
      <c r="KY17" s="38"/>
      <c r="KZ17" s="38"/>
      <c r="LA17" s="38"/>
      <c r="LB17" s="38"/>
      <c r="LC17" s="38"/>
      <c r="LD17" s="38"/>
      <c r="LE17" s="38"/>
      <c r="LF17" s="38"/>
      <c r="LG17" s="38"/>
      <c r="LH17" s="38"/>
      <c r="LI17" s="38"/>
      <c r="LJ17" s="38"/>
      <c r="LK17" s="38"/>
      <c r="LL17" s="38"/>
      <c r="LM17" s="38"/>
      <c r="LN17" s="38"/>
      <c r="LO17" s="38"/>
      <c r="LP17" s="38"/>
      <c r="LQ17" s="38"/>
      <c r="LR17" s="38"/>
      <c r="LS17" s="38"/>
      <c r="LT17" s="38"/>
      <c r="LU17" s="38"/>
      <c r="LV17" s="38"/>
      <c r="LW17" s="38"/>
      <c r="LX17" s="38"/>
      <c r="LY17" s="38"/>
      <c r="LZ17" s="38"/>
      <c r="MA17" s="38"/>
      <c r="MB17" s="38"/>
      <c r="MC17" s="38"/>
      <c r="MD17" s="38"/>
      <c r="ME17" s="38"/>
      <c r="MF17" s="38"/>
      <c r="MG17" s="38"/>
      <c r="MH17" s="38"/>
      <c r="MI17" s="38"/>
      <c r="MJ17" s="38"/>
      <c r="MK17" s="38"/>
      <c r="ML17" s="38"/>
      <c r="MM17" s="38"/>
      <c r="MN17" s="38"/>
      <c r="MO17" s="38"/>
      <c r="MP17" s="38"/>
      <c r="MQ17" s="38"/>
      <c r="MR17" s="38"/>
      <c r="MS17" s="38"/>
      <c r="MT17" s="38"/>
      <c r="MU17" s="38"/>
      <c r="MV17" s="38"/>
      <c r="MW17" s="38"/>
      <c r="MX17" s="38"/>
      <c r="MY17" s="38"/>
      <c r="MZ17" s="38"/>
      <c r="NA17" s="38"/>
      <c r="NB17" s="38"/>
      <c r="NC17" s="38"/>
      <c r="ND17" s="38"/>
      <c r="NE17" s="38"/>
      <c r="NF17" s="38"/>
      <c r="NG17" s="38"/>
      <c r="NH17" s="38"/>
      <c r="NI17" s="38"/>
      <c r="NJ17" s="38"/>
      <c r="NK17" s="38"/>
      <c r="NL17" s="38"/>
      <c r="NM17" s="38"/>
      <c r="NN17" s="38"/>
      <c r="NO17" s="38"/>
      <c r="NP17" s="38"/>
      <c r="NQ17" s="38"/>
      <c r="NR17" s="38"/>
      <c r="NS17" s="38"/>
      <c r="NT17" s="38"/>
      <c r="NU17" s="38"/>
      <c r="NV17" s="38"/>
      <c r="NW17" s="38"/>
      <c r="NX17" s="38"/>
      <c r="NY17" s="38"/>
      <c r="NZ17" s="38"/>
      <c r="OA17" s="38"/>
      <c r="OB17" s="38"/>
      <c r="OC17" s="38"/>
      <c r="OD17" s="38"/>
      <c r="OE17" s="38"/>
      <c r="OF17" s="38"/>
      <c r="OG17" s="38"/>
      <c r="OH17" s="38"/>
      <c r="OI17" s="38"/>
      <c r="OJ17" s="38"/>
      <c r="OK17" s="38"/>
      <c r="OL17" s="38"/>
      <c r="OM17" s="38"/>
      <c r="ON17" s="38"/>
      <c r="OO17" s="38"/>
      <c r="OP17" s="38"/>
      <c r="OQ17" s="38"/>
      <c r="OR17" s="38"/>
      <c r="OS17" s="38"/>
      <c r="OT17" s="38"/>
      <c r="OU17" s="38"/>
      <c r="OV17" s="38"/>
      <c r="OW17" s="38"/>
      <c r="OX17" s="38"/>
      <c r="OY17" s="38"/>
      <c r="OZ17" s="38"/>
      <c r="PA17" s="38"/>
      <c r="PB17" s="38"/>
      <c r="PC17" s="38"/>
      <c r="PD17" s="38"/>
      <c r="PE17" s="38"/>
      <c r="PF17" s="38"/>
      <c r="PG17" s="38"/>
      <c r="PH17" s="38"/>
      <c r="PI17" s="38"/>
      <c r="PJ17" s="38"/>
      <c r="PK17" s="38"/>
      <c r="PL17" s="38"/>
      <c r="PM17" s="38"/>
      <c r="PN17" s="38"/>
      <c r="PO17" s="38"/>
      <c r="PP17" s="38"/>
      <c r="PQ17" s="38"/>
      <c r="PR17" s="38"/>
      <c r="PS17" s="38"/>
      <c r="PT17" s="38"/>
      <c r="PU17" s="38"/>
      <c r="PV17" s="38"/>
      <c r="PW17" s="38"/>
      <c r="PX17" s="38"/>
      <c r="PY17" s="38"/>
      <c r="PZ17" s="38"/>
      <c r="QA17" s="38"/>
      <c r="QB17" s="38"/>
      <c r="QC17" s="38"/>
      <c r="QD17" s="38"/>
      <c r="QE17" s="38"/>
      <c r="QF17" s="38"/>
      <c r="QG17" s="38"/>
      <c r="QH17" s="38"/>
      <c r="QI17" s="38"/>
      <c r="QJ17" s="38"/>
      <c r="QK17" s="38"/>
      <c r="QL17" s="38"/>
      <c r="QM17" s="38"/>
      <c r="QN17" s="38"/>
      <c r="QO17" s="38"/>
      <c r="QP17" s="38"/>
      <c r="QQ17" s="38"/>
      <c r="QR17" s="38"/>
      <c r="QS17" s="38"/>
      <c r="QT17" s="38"/>
      <c r="QU17" s="38"/>
      <c r="QV17" s="38"/>
      <c r="QW17" s="38"/>
      <c r="QX17" s="38"/>
      <c r="QY17" s="38"/>
      <c r="QZ17" s="38"/>
      <c r="RA17" s="38"/>
      <c r="RB17" s="38"/>
      <c r="RC17" s="38"/>
      <c r="RD17" s="38"/>
      <c r="RE17" s="38"/>
      <c r="RF17" s="38"/>
      <c r="RG17" s="38"/>
      <c r="RH17" s="38"/>
      <c r="RI17" s="38"/>
      <c r="RJ17" s="38"/>
      <c r="RK17" s="38"/>
      <c r="RL17" s="38"/>
      <c r="RM17" s="38"/>
      <c r="RN17" s="38"/>
      <c r="RO17" s="38"/>
      <c r="RP17" s="38"/>
      <c r="RQ17" s="38"/>
      <c r="RR17" s="38"/>
      <c r="RS17" s="38"/>
      <c r="RT17" s="38"/>
      <c r="RU17" s="38"/>
      <c r="RV17" s="38"/>
      <c r="RW17" s="38"/>
      <c r="RX17" s="38"/>
      <c r="RY17" s="38"/>
      <c r="RZ17" s="38"/>
      <c r="SA17" s="38"/>
      <c r="SB17" s="38"/>
      <c r="SC17" s="38"/>
      <c r="SD17" s="38"/>
      <c r="SE17" s="38"/>
      <c r="SF17" s="38"/>
      <c r="SG17" s="38"/>
      <c r="SH17" s="38"/>
      <c r="SI17" s="38"/>
      <c r="SJ17" s="38"/>
      <c r="SK17" s="38"/>
      <c r="SL17" s="38"/>
      <c r="SM17" s="38"/>
      <c r="SN17" s="38"/>
      <c r="SO17" s="38"/>
      <c r="SP17" s="38"/>
      <c r="SQ17" s="38"/>
      <c r="SR17" s="38"/>
      <c r="SS17" s="38"/>
      <c r="ST17" s="38"/>
      <c r="SU17" s="38"/>
      <c r="SV17" s="38"/>
      <c r="SW17" s="38"/>
      <c r="SX17" s="38"/>
      <c r="SY17" s="38"/>
      <c r="SZ17" s="38"/>
      <c r="TA17" s="38"/>
      <c r="TB17" s="38"/>
      <c r="TC17" s="38"/>
      <c r="TD17" s="38"/>
      <c r="TE17" s="38"/>
      <c r="TF17" s="38"/>
      <c r="TG17" s="38"/>
      <c r="TH17" s="38"/>
      <c r="TI17" s="38"/>
      <c r="TJ17" s="38"/>
      <c r="TK17" s="38"/>
      <c r="TL17" s="38"/>
      <c r="TM17" s="38"/>
    </row>
    <row r="18" spans="2:533" s="39" customFormat="1" ht="37.5" x14ac:dyDescent="0.25">
      <c r="B18" s="50" t="s">
        <v>25</v>
      </c>
      <c r="C18" s="41" t="s">
        <v>46</v>
      </c>
      <c r="D18" s="56" t="s">
        <v>47</v>
      </c>
      <c r="E18" s="43" t="s">
        <v>36</v>
      </c>
      <c r="F18" s="53">
        <v>124</v>
      </c>
      <c r="G18" s="45"/>
      <c r="H18" s="46"/>
      <c r="I18" s="47">
        <f t="shared" si="1"/>
        <v>0</v>
      </c>
      <c r="J18" s="48">
        <v>2002</v>
      </c>
      <c r="K18" s="47" t="s">
        <v>30</v>
      </c>
      <c r="L18" s="49"/>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c r="FU18" s="38"/>
      <c r="FV18" s="38"/>
      <c r="FW18" s="38"/>
      <c r="FX18" s="38"/>
      <c r="FY18" s="38"/>
      <c r="FZ18" s="38"/>
      <c r="GA18" s="38"/>
      <c r="GB18" s="38"/>
      <c r="GC18" s="38"/>
      <c r="GD18" s="38"/>
      <c r="GE18" s="38"/>
      <c r="GF18" s="38"/>
      <c r="GG18" s="38"/>
      <c r="GH18" s="38"/>
      <c r="GI18" s="38"/>
      <c r="GJ18" s="38"/>
      <c r="GK18" s="38"/>
      <c r="GL18" s="38"/>
      <c r="GM18" s="38"/>
      <c r="GN18" s="38"/>
      <c r="GO18" s="38"/>
      <c r="GP18" s="38"/>
      <c r="GQ18" s="38"/>
      <c r="GR18" s="38"/>
      <c r="GS18" s="38"/>
      <c r="GT18" s="38"/>
      <c r="GU18" s="38"/>
      <c r="GV18" s="38"/>
      <c r="GW18" s="38"/>
      <c r="GX18" s="38"/>
      <c r="GY18" s="38"/>
      <c r="GZ18" s="38"/>
      <c r="HA18" s="38"/>
      <c r="HB18" s="38"/>
      <c r="HC18" s="38"/>
      <c r="HD18" s="38"/>
      <c r="HE18" s="38"/>
      <c r="HF18" s="38"/>
      <c r="HG18" s="38"/>
      <c r="HH18" s="38"/>
      <c r="HI18" s="38"/>
      <c r="HJ18" s="38"/>
      <c r="HK18" s="38"/>
      <c r="HL18" s="38"/>
      <c r="HM18" s="38"/>
      <c r="HN18" s="38"/>
      <c r="HO18" s="38"/>
      <c r="HP18" s="38"/>
      <c r="HQ18" s="38"/>
      <c r="HR18" s="38"/>
      <c r="HS18" s="38"/>
      <c r="HT18" s="38"/>
      <c r="HU18" s="38"/>
      <c r="HV18" s="38"/>
      <c r="HW18" s="38"/>
      <c r="HX18" s="38"/>
      <c r="HY18" s="38"/>
      <c r="HZ18" s="38"/>
      <c r="IA18" s="38"/>
      <c r="IB18" s="38"/>
      <c r="IC18" s="38"/>
      <c r="ID18" s="38"/>
      <c r="IE18" s="38"/>
      <c r="IF18" s="38"/>
      <c r="IG18" s="38"/>
      <c r="IH18" s="38"/>
      <c r="II18" s="38"/>
      <c r="IJ18" s="38"/>
      <c r="IK18" s="38"/>
      <c r="IL18" s="38"/>
      <c r="IM18" s="38"/>
      <c r="IN18" s="38"/>
      <c r="IO18" s="38"/>
      <c r="IP18" s="38"/>
      <c r="IQ18" s="38"/>
      <c r="IR18" s="38"/>
      <c r="IS18" s="38"/>
      <c r="IT18" s="38"/>
      <c r="IU18" s="38"/>
      <c r="IV18" s="38"/>
      <c r="IW18" s="38"/>
      <c r="IX18" s="38"/>
      <c r="IY18" s="38"/>
      <c r="IZ18" s="38"/>
      <c r="JA18" s="38"/>
      <c r="JB18" s="38"/>
      <c r="JC18" s="38"/>
      <c r="JD18" s="38"/>
      <c r="JE18" s="38"/>
      <c r="JF18" s="38"/>
      <c r="JG18" s="38"/>
      <c r="JH18" s="38"/>
      <c r="JI18" s="38"/>
      <c r="JJ18" s="38"/>
      <c r="JK18" s="38"/>
      <c r="JL18" s="38"/>
      <c r="JM18" s="38"/>
      <c r="JN18" s="38"/>
      <c r="JO18" s="38"/>
      <c r="JP18" s="38"/>
      <c r="JQ18" s="38"/>
      <c r="JR18" s="38"/>
      <c r="JS18" s="38"/>
      <c r="JT18" s="38"/>
      <c r="JU18" s="38"/>
      <c r="JV18" s="38"/>
      <c r="JW18" s="38"/>
      <c r="JX18" s="38"/>
      <c r="JY18" s="38"/>
      <c r="JZ18" s="38"/>
      <c r="KA18" s="38"/>
      <c r="KB18" s="38"/>
      <c r="KC18" s="38"/>
      <c r="KD18" s="38"/>
      <c r="KE18" s="38"/>
      <c r="KF18" s="38"/>
      <c r="KG18" s="38"/>
      <c r="KH18" s="38"/>
      <c r="KI18" s="38"/>
      <c r="KJ18" s="38"/>
      <c r="KK18" s="38"/>
      <c r="KL18" s="38"/>
      <c r="KM18" s="38"/>
      <c r="KN18" s="38"/>
      <c r="KO18" s="38"/>
      <c r="KP18" s="38"/>
      <c r="KQ18" s="38"/>
      <c r="KR18" s="38"/>
      <c r="KS18" s="38"/>
      <c r="KT18" s="38"/>
      <c r="KU18" s="38"/>
      <c r="KV18" s="38"/>
      <c r="KW18" s="38"/>
      <c r="KX18" s="38"/>
      <c r="KY18" s="38"/>
      <c r="KZ18" s="38"/>
      <c r="LA18" s="38"/>
      <c r="LB18" s="38"/>
      <c r="LC18" s="38"/>
      <c r="LD18" s="38"/>
      <c r="LE18" s="38"/>
      <c r="LF18" s="38"/>
      <c r="LG18" s="38"/>
      <c r="LH18" s="38"/>
      <c r="LI18" s="38"/>
      <c r="LJ18" s="38"/>
      <c r="LK18" s="38"/>
      <c r="LL18" s="38"/>
      <c r="LM18" s="38"/>
      <c r="LN18" s="38"/>
      <c r="LO18" s="38"/>
      <c r="LP18" s="38"/>
      <c r="LQ18" s="38"/>
      <c r="LR18" s="38"/>
      <c r="LS18" s="38"/>
      <c r="LT18" s="38"/>
      <c r="LU18" s="38"/>
      <c r="LV18" s="38"/>
      <c r="LW18" s="38"/>
      <c r="LX18" s="38"/>
      <c r="LY18" s="38"/>
      <c r="LZ18" s="38"/>
      <c r="MA18" s="38"/>
      <c r="MB18" s="38"/>
      <c r="MC18" s="38"/>
      <c r="MD18" s="38"/>
      <c r="ME18" s="38"/>
      <c r="MF18" s="38"/>
      <c r="MG18" s="38"/>
      <c r="MH18" s="38"/>
      <c r="MI18" s="38"/>
      <c r="MJ18" s="38"/>
      <c r="MK18" s="38"/>
      <c r="ML18" s="38"/>
      <c r="MM18" s="38"/>
      <c r="MN18" s="38"/>
      <c r="MO18" s="38"/>
      <c r="MP18" s="38"/>
      <c r="MQ18" s="38"/>
      <c r="MR18" s="38"/>
      <c r="MS18" s="38"/>
      <c r="MT18" s="38"/>
      <c r="MU18" s="38"/>
      <c r="MV18" s="38"/>
      <c r="MW18" s="38"/>
      <c r="MX18" s="38"/>
      <c r="MY18" s="38"/>
      <c r="MZ18" s="38"/>
      <c r="NA18" s="38"/>
      <c r="NB18" s="38"/>
      <c r="NC18" s="38"/>
      <c r="ND18" s="38"/>
      <c r="NE18" s="38"/>
      <c r="NF18" s="38"/>
      <c r="NG18" s="38"/>
      <c r="NH18" s="38"/>
      <c r="NI18" s="38"/>
      <c r="NJ18" s="38"/>
      <c r="NK18" s="38"/>
      <c r="NL18" s="38"/>
      <c r="NM18" s="38"/>
      <c r="NN18" s="38"/>
      <c r="NO18" s="38"/>
      <c r="NP18" s="38"/>
      <c r="NQ18" s="38"/>
      <c r="NR18" s="38"/>
      <c r="NS18" s="38"/>
      <c r="NT18" s="38"/>
      <c r="NU18" s="38"/>
      <c r="NV18" s="38"/>
      <c r="NW18" s="38"/>
      <c r="NX18" s="38"/>
      <c r="NY18" s="38"/>
      <c r="NZ18" s="38"/>
      <c r="OA18" s="38"/>
      <c r="OB18" s="38"/>
      <c r="OC18" s="38"/>
      <c r="OD18" s="38"/>
      <c r="OE18" s="38"/>
      <c r="OF18" s="38"/>
      <c r="OG18" s="38"/>
      <c r="OH18" s="38"/>
      <c r="OI18" s="38"/>
      <c r="OJ18" s="38"/>
      <c r="OK18" s="38"/>
      <c r="OL18" s="38"/>
      <c r="OM18" s="38"/>
      <c r="ON18" s="38"/>
      <c r="OO18" s="38"/>
      <c r="OP18" s="38"/>
      <c r="OQ18" s="38"/>
      <c r="OR18" s="38"/>
      <c r="OS18" s="38"/>
      <c r="OT18" s="38"/>
      <c r="OU18" s="38"/>
      <c r="OV18" s="38"/>
      <c r="OW18" s="38"/>
      <c r="OX18" s="38"/>
      <c r="OY18" s="38"/>
      <c r="OZ18" s="38"/>
      <c r="PA18" s="38"/>
      <c r="PB18" s="38"/>
      <c r="PC18" s="38"/>
      <c r="PD18" s="38"/>
      <c r="PE18" s="38"/>
      <c r="PF18" s="38"/>
      <c r="PG18" s="38"/>
      <c r="PH18" s="38"/>
      <c r="PI18" s="38"/>
      <c r="PJ18" s="38"/>
      <c r="PK18" s="38"/>
      <c r="PL18" s="38"/>
      <c r="PM18" s="38"/>
      <c r="PN18" s="38"/>
      <c r="PO18" s="38"/>
      <c r="PP18" s="38"/>
      <c r="PQ18" s="38"/>
      <c r="PR18" s="38"/>
      <c r="PS18" s="38"/>
      <c r="PT18" s="38"/>
      <c r="PU18" s="38"/>
      <c r="PV18" s="38"/>
      <c r="PW18" s="38"/>
      <c r="PX18" s="38"/>
      <c r="PY18" s="38"/>
      <c r="PZ18" s="38"/>
      <c r="QA18" s="38"/>
      <c r="QB18" s="38"/>
      <c r="QC18" s="38"/>
      <c r="QD18" s="38"/>
      <c r="QE18" s="38"/>
      <c r="QF18" s="38"/>
      <c r="QG18" s="38"/>
      <c r="QH18" s="38"/>
      <c r="QI18" s="38"/>
      <c r="QJ18" s="38"/>
      <c r="QK18" s="38"/>
      <c r="QL18" s="38"/>
      <c r="QM18" s="38"/>
      <c r="QN18" s="38"/>
      <c r="QO18" s="38"/>
      <c r="QP18" s="38"/>
      <c r="QQ18" s="38"/>
      <c r="QR18" s="38"/>
      <c r="QS18" s="38"/>
      <c r="QT18" s="38"/>
      <c r="QU18" s="38"/>
      <c r="QV18" s="38"/>
      <c r="QW18" s="38"/>
      <c r="QX18" s="38"/>
      <c r="QY18" s="38"/>
      <c r="QZ18" s="38"/>
      <c r="RA18" s="38"/>
      <c r="RB18" s="38"/>
      <c r="RC18" s="38"/>
      <c r="RD18" s="38"/>
      <c r="RE18" s="38"/>
      <c r="RF18" s="38"/>
      <c r="RG18" s="38"/>
      <c r="RH18" s="38"/>
      <c r="RI18" s="38"/>
      <c r="RJ18" s="38"/>
      <c r="RK18" s="38"/>
      <c r="RL18" s="38"/>
      <c r="RM18" s="38"/>
      <c r="RN18" s="38"/>
      <c r="RO18" s="38"/>
      <c r="RP18" s="38"/>
      <c r="RQ18" s="38"/>
      <c r="RR18" s="38"/>
      <c r="RS18" s="38"/>
      <c r="RT18" s="38"/>
      <c r="RU18" s="38"/>
      <c r="RV18" s="38"/>
      <c r="RW18" s="38"/>
      <c r="RX18" s="38"/>
      <c r="RY18" s="38"/>
      <c r="RZ18" s="38"/>
      <c r="SA18" s="38"/>
      <c r="SB18" s="38"/>
      <c r="SC18" s="38"/>
      <c r="SD18" s="38"/>
      <c r="SE18" s="38"/>
      <c r="SF18" s="38"/>
      <c r="SG18" s="38"/>
      <c r="SH18" s="38"/>
      <c r="SI18" s="38"/>
      <c r="SJ18" s="38"/>
      <c r="SK18" s="38"/>
      <c r="SL18" s="38"/>
      <c r="SM18" s="38"/>
      <c r="SN18" s="38"/>
      <c r="SO18" s="38"/>
      <c r="SP18" s="38"/>
      <c r="SQ18" s="38"/>
      <c r="SR18" s="38"/>
      <c r="SS18" s="38"/>
      <c r="ST18" s="38"/>
      <c r="SU18" s="38"/>
      <c r="SV18" s="38"/>
      <c r="SW18" s="38"/>
      <c r="SX18" s="38"/>
      <c r="SY18" s="38"/>
      <c r="SZ18" s="38"/>
      <c r="TA18" s="38"/>
      <c r="TB18" s="38"/>
      <c r="TC18" s="38"/>
      <c r="TD18" s="38"/>
      <c r="TE18" s="38"/>
      <c r="TF18" s="38"/>
      <c r="TG18" s="38"/>
      <c r="TH18" s="38"/>
      <c r="TI18" s="38"/>
      <c r="TJ18" s="38"/>
      <c r="TK18" s="38"/>
      <c r="TL18" s="38"/>
      <c r="TM18" s="38"/>
    </row>
    <row r="19" spans="2:533" s="39" customFormat="1" ht="131.25" x14ac:dyDescent="0.25">
      <c r="B19" s="50" t="s">
        <v>25</v>
      </c>
      <c r="C19" s="41"/>
      <c r="D19" s="51" t="s">
        <v>48</v>
      </c>
      <c r="E19" s="52"/>
      <c r="F19" s="53"/>
      <c r="G19" s="54"/>
      <c r="H19" s="46"/>
      <c r="I19" s="55"/>
      <c r="J19" s="48"/>
      <c r="K19" s="47"/>
      <c r="L19" s="49"/>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c r="EJ19" s="38"/>
      <c r="EK19" s="38"/>
      <c r="EL19" s="38"/>
      <c r="EM19" s="38"/>
      <c r="EN19" s="38"/>
      <c r="EO19" s="38"/>
      <c r="EP19" s="38"/>
      <c r="EQ19" s="38"/>
      <c r="ER19" s="38"/>
      <c r="ES19" s="38"/>
      <c r="ET19" s="38"/>
      <c r="EU19" s="38"/>
      <c r="EV19" s="38"/>
      <c r="EW19" s="38"/>
      <c r="EX19" s="38"/>
      <c r="EY19" s="38"/>
      <c r="EZ19" s="38"/>
      <c r="FA19" s="38"/>
      <c r="FB19" s="38"/>
      <c r="FC19" s="38"/>
      <c r="FD19" s="38"/>
      <c r="FE19" s="38"/>
      <c r="FF19" s="38"/>
      <c r="FG19" s="38"/>
      <c r="FH19" s="38"/>
      <c r="FI19" s="38"/>
      <c r="FJ19" s="38"/>
      <c r="FK19" s="38"/>
      <c r="FL19" s="38"/>
      <c r="FM19" s="38"/>
      <c r="FN19" s="38"/>
      <c r="FO19" s="38"/>
      <c r="FP19" s="38"/>
      <c r="FQ19" s="38"/>
      <c r="FR19" s="38"/>
      <c r="FS19" s="38"/>
      <c r="FT19" s="38"/>
      <c r="FU19" s="38"/>
      <c r="FV19" s="38"/>
      <c r="FW19" s="38"/>
      <c r="FX19" s="38"/>
      <c r="FY19" s="38"/>
      <c r="FZ19" s="38"/>
      <c r="GA19" s="38"/>
      <c r="GB19" s="38"/>
      <c r="GC19" s="38"/>
      <c r="GD19" s="38"/>
      <c r="GE19" s="38"/>
      <c r="GF19" s="38"/>
      <c r="GG19" s="38"/>
      <c r="GH19" s="38"/>
      <c r="GI19" s="38"/>
      <c r="GJ19" s="38"/>
      <c r="GK19" s="38"/>
      <c r="GL19" s="38"/>
      <c r="GM19" s="38"/>
      <c r="GN19" s="38"/>
      <c r="GO19" s="38"/>
      <c r="GP19" s="38"/>
      <c r="GQ19" s="38"/>
      <c r="GR19" s="38"/>
      <c r="GS19" s="38"/>
      <c r="GT19" s="38"/>
      <c r="GU19" s="38"/>
      <c r="GV19" s="38"/>
      <c r="GW19" s="38"/>
      <c r="GX19" s="38"/>
      <c r="GY19" s="38"/>
      <c r="GZ19" s="38"/>
      <c r="HA19" s="38"/>
      <c r="HB19" s="38"/>
      <c r="HC19" s="38"/>
      <c r="HD19" s="38"/>
      <c r="HE19" s="38"/>
      <c r="HF19" s="38"/>
      <c r="HG19" s="38"/>
      <c r="HH19" s="38"/>
      <c r="HI19" s="38"/>
      <c r="HJ19" s="38"/>
      <c r="HK19" s="38"/>
      <c r="HL19" s="38"/>
      <c r="HM19" s="38"/>
      <c r="HN19" s="38"/>
      <c r="HO19" s="38"/>
      <c r="HP19" s="38"/>
      <c r="HQ19" s="38"/>
      <c r="HR19" s="38"/>
      <c r="HS19" s="38"/>
      <c r="HT19" s="38"/>
      <c r="HU19" s="38"/>
      <c r="HV19" s="38"/>
      <c r="HW19" s="38"/>
      <c r="HX19" s="38"/>
      <c r="HY19" s="38"/>
      <c r="HZ19" s="38"/>
      <c r="IA19" s="38"/>
      <c r="IB19" s="38"/>
      <c r="IC19" s="38"/>
      <c r="ID19" s="38"/>
      <c r="IE19" s="38"/>
      <c r="IF19" s="38"/>
      <c r="IG19" s="38"/>
      <c r="IH19" s="38"/>
      <c r="II19" s="38"/>
      <c r="IJ19" s="38"/>
      <c r="IK19" s="38"/>
      <c r="IL19" s="38"/>
      <c r="IM19" s="38"/>
      <c r="IN19" s="38"/>
      <c r="IO19" s="38"/>
      <c r="IP19" s="38"/>
      <c r="IQ19" s="38"/>
      <c r="IR19" s="38"/>
      <c r="IS19" s="38"/>
      <c r="IT19" s="38"/>
      <c r="IU19" s="38"/>
      <c r="IV19" s="38"/>
      <c r="IW19" s="38"/>
      <c r="IX19" s="38"/>
      <c r="IY19" s="38"/>
      <c r="IZ19" s="38"/>
      <c r="JA19" s="38"/>
      <c r="JB19" s="38"/>
      <c r="JC19" s="38"/>
      <c r="JD19" s="38"/>
      <c r="JE19" s="38"/>
      <c r="JF19" s="38"/>
      <c r="JG19" s="38"/>
      <c r="JH19" s="38"/>
      <c r="JI19" s="38"/>
      <c r="JJ19" s="38"/>
      <c r="JK19" s="38"/>
      <c r="JL19" s="38"/>
      <c r="JM19" s="38"/>
      <c r="JN19" s="38"/>
      <c r="JO19" s="38"/>
      <c r="JP19" s="38"/>
      <c r="JQ19" s="38"/>
      <c r="JR19" s="38"/>
      <c r="JS19" s="38"/>
      <c r="JT19" s="38"/>
      <c r="JU19" s="38"/>
      <c r="JV19" s="38"/>
      <c r="JW19" s="38"/>
      <c r="JX19" s="38"/>
      <c r="JY19" s="38"/>
      <c r="JZ19" s="38"/>
      <c r="KA19" s="38"/>
      <c r="KB19" s="38"/>
      <c r="KC19" s="38"/>
      <c r="KD19" s="38"/>
      <c r="KE19" s="38"/>
      <c r="KF19" s="38"/>
      <c r="KG19" s="38"/>
      <c r="KH19" s="38"/>
      <c r="KI19" s="38"/>
      <c r="KJ19" s="38"/>
      <c r="KK19" s="38"/>
      <c r="KL19" s="38"/>
      <c r="KM19" s="38"/>
      <c r="KN19" s="38"/>
      <c r="KO19" s="38"/>
      <c r="KP19" s="38"/>
      <c r="KQ19" s="38"/>
      <c r="KR19" s="38"/>
      <c r="KS19" s="38"/>
      <c r="KT19" s="38"/>
      <c r="KU19" s="38"/>
      <c r="KV19" s="38"/>
      <c r="KW19" s="38"/>
      <c r="KX19" s="38"/>
      <c r="KY19" s="38"/>
      <c r="KZ19" s="38"/>
      <c r="LA19" s="38"/>
      <c r="LB19" s="38"/>
      <c r="LC19" s="38"/>
      <c r="LD19" s="38"/>
      <c r="LE19" s="38"/>
      <c r="LF19" s="38"/>
      <c r="LG19" s="38"/>
      <c r="LH19" s="38"/>
      <c r="LI19" s="38"/>
      <c r="LJ19" s="38"/>
      <c r="LK19" s="38"/>
      <c r="LL19" s="38"/>
      <c r="LM19" s="38"/>
      <c r="LN19" s="38"/>
      <c r="LO19" s="38"/>
      <c r="LP19" s="38"/>
      <c r="LQ19" s="38"/>
      <c r="LR19" s="38"/>
      <c r="LS19" s="38"/>
      <c r="LT19" s="38"/>
      <c r="LU19" s="38"/>
      <c r="LV19" s="38"/>
      <c r="LW19" s="38"/>
      <c r="LX19" s="38"/>
      <c r="LY19" s="38"/>
      <c r="LZ19" s="38"/>
      <c r="MA19" s="38"/>
      <c r="MB19" s="38"/>
      <c r="MC19" s="38"/>
      <c r="MD19" s="38"/>
      <c r="ME19" s="38"/>
      <c r="MF19" s="38"/>
      <c r="MG19" s="38"/>
      <c r="MH19" s="38"/>
      <c r="MI19" s="38"/>
      <c r="MJ19" s="38"/>
      <c r="MK19" s="38"/>
      <c r="ML19" s="38"/>
      <c r="MM19" s="38"/>
      <c r="MN19" s="38"/>
      <c r="MO19" s="38"/>
      <c r="MP19" s="38"/>
      <c r="MQ19" s="38"/>
      <c r="MR19" s="38"/>
      <c r="MS19" s="38"/>
      <c r="MT19" s="38"/>
      <c r="MU19" s="38"/>
      <c r="MV19" s="38"/>
      <c r="MW19" s="38"/>
      <c r="MX19" s="38"/>
      <c r="MY19" s="38"/>
      <c r="MZ19" s="38"/>
      <c r="NA19" s="38"/>
      <c r="NB19" s="38"/>
      <c r="NC19" s="38"/>
      <c r="ND19" s="38"/>
      <c r="NE19" s="38"/>
      <c r="NF19" s="38"/>
      <c r="NG19" s="38"/>
      <c r="NH19" s="38"/>
      <c r="NI19" s="38"/>
      <c r="NJ19" s="38"/>
      <c r="NK19" s="38"/>
      <c r="NL19" s="38"/>
      <c r="NM19" s="38"/>
      <c r="NN19" s="38"/>
      <c r="NO19" s="38"/>
      <c r="NP19" s="38"/>
      <c r="NQ19" s="38"/>
      <c r="NR19" s="38"/>
      <c r="NS19" s="38"/>
      <c r="NT19" s="38"/>
      <c r="NU19" s="38"/>
      <c r="NV19" s="38"/>
      <c r="NW19" s="38"/>
      <c r="NX19" s="38"/>
      <c r="NY19" s="38"/>
      <c r="NZ19" s="38"/>
      <c r="OA19" s="38"/>
      <c r="OB19" s="38"/>
      <c r="OC19" s="38"/>
      <c r="OD19" s="38"/>
      <c r="OE19" s="38"/>
      <c r="OF19" s="38"/>
      <c r="OG19" s="38"/>
      <c r="OH19" s="38"/>
      <c r="OI19" s="38"/>
      <c r="OJ19" s="38"/>
      <c r="OK19" s="38"/>
      <c r="OL19" s="38"/>
      <c r="OM19" s="38"/>
      <c r="ON19" s="38"/>
      <c r="OO19" s="38"/>
      <c r="OP19" s="38"/>
      <c r="OQ19" s="38"/>
      <c r="OR19" s="38"/>
      <c r="OS19" s="38"/>
      <c r="OT19" s="38"/>
      <c r="OU19" s="38"/>
      <c r="OV19" s="38"/>
      <c r="OW19" s="38"/>
      <c r="OX19" s="38"/>
      <c r="OY19" s="38"/>
      <c r="OZ19" s="38"/>
      <c r="PA19" s="38"/>
      <c r="PB19" s="38"/>
      <c r="PC19" s="38"/>
      <c r="PD19" s="38"/>
      <c r="PE19" s="38"/>
      <c r="PF19" s="38"/>
      <c r="PG19" s="38"/>
      <c r="PH19" s="38"/>
      <c r="PI19" s="38"/>
      <c r="PJ19" s="38"/>
      <c r="PK19" s="38"/>
      <c r="PL19" s="38"/>
      <c r="PM19" s="38"/>
      <c r="PN19" s="38"/>
      <c r="PO19" s="38"/>
      <c r="PP19" s="38"/>
      <c r="PQ19" s="38"/>
      <c r="PR19" s="38"/>
      <c r="PS19" s="38"/>
      <c r="PT19" s="38"/>
      <c r="PU19" s="38"/>
      <c r="PV19" s="38"/>
      <c r="PW19" s="38"/>
      <c r="PX19" s="38"/>
      <c r="PY19" s="38"/>
      <c r="PZ19" s="38"/>
      <c r="QA19" s="38"/>
      <c r="QB19" s="38"/>
      <c r="QC19" s="38"/>
      <c r="QD19" s="38"/>
      <c r="QE19" s="38"/>
      <c r="QF19" s="38"/>
      <c r="QG19" s="38"/>
      <c r="QH19" s="38"/>
      <c r="QI19" s="38"/>
      <c r="QJ19" s="38"/>
      <c r="QK19" s="38"/>
      <c r="QL19" s="38"/>
      <c r="QM19" s="38"/>
      <c r="QN19" s="38"/>
      <c r="QO19" s="38"/>
      <c r="QP19" s="38"/>
      <c r="QQ19" s="38"/>
      <c r="QR19" s="38"/>
      <c r="QS19" s="38"/>
      <c r="QT19" s="38"/>
      <c r="QU19" s="38"/>
      <c r="QV19" s="38"/>
      <c r="QW19" s="38"/>
      <c r="QX19" s="38"/>
      <c r="QY19" s="38"/>
      <c r="QZ19" s="38"/>
      <c r="RA19" s="38"/>
      <c r="RB19" s="38"/>
      <c r="RC19" s="38"/>
      <c r="RD19" s="38"/>
      <c r="RE19" s="38"/>
      <c r="RF19" s="38"/>
      <c r="RG19" s="38"/>
      <c r="RH19" s="38"/>
      <c r="RI19" s="38"/>
      <c r="RJ19" s="38"/>
      <c r="RK19" s="38"/>
      <c r="RL19" s="38"/>
      <c r="RM19" s="38"/>
      <c r="RN19" s="38"/>
      <c r="RO19" s="38"/>
      <c r="RP19" s="38"/>
      <c r="RQ19" s="38"/>
      <c r="RR19" s="38"/>
      <c r="RS19" s="38"/>
      <c r="RT19" s="38"/>
      <c r="RU19" s="38"/>
      <c r="RV19" s="38"/>
      <c r="RW19" s="38"/>
      <c r="RX19" s="38"/>
      <c r="RY19" s="38"/>
      <c r="RZ19" s="38"/>
      <c r="SA19" s="38"/>
      <c r="SB19" s="38"/>
      <c r="SC19" s="38"/>
      <c r="SD19" s="38"/>
      <c r="SE19" s="38"/>
      <c r="SF19" s="38"/>
      <c r="SG19" s="38"/>
      <c r="SH19" s="38"/>
      <c r="SI19" s="38"/>
      <c r="SJ19" s="38"/>
      <c r="SK19" s="38"/>
      <c r="SL19" s="38"/>
      <c r="SM19" s="38"/>
      <c r="SN19" s="38"/>
      <c r="SO19" s="38"/>
      <c r="SP19" s="38"/>
      <c r="SQ19" s="38"/>
      <c r="SR19" s="38"/>
      <c r="SS19" s="38"/>
      <c r="ST19" s="38"/>
      <c r="SU19" s="38"/>
      <c r="SV19" s="38"/>
      <c r="SW19" s="38"/>
      <c r="SX19" s="38"/>
      <c r="SY19" s="38"/>
      <c r="SZ19" s="38"/>
      <c r="TA19" s="38"/>
      <c r="TB19" s="38"/>
      <c r="TC19" s="38"/>
      <c r="TD19" s="38"/>
      <c r="TE19" s="38"/>
      <c r="TF19" s="38"/>
      <c r="TG19" s="38"/>
      <c r="TH19" s="38"/>
      <c r="TI19" s="38"/>
      <c r="TJ19" s="38"/>
      <c r="TK19" s="38"/>
      <c r="TL19" s="38"/>
      <c r="TM19" s="38"/>
    </row>
    <row r="20" spans="2:533" s="39" customFormat="1" ht="18.75" x14ac:dyDescent="0.25">
      <c r="B20" s="50" t="s">
        <v>25</v>
      </c>
      <c r="C20" s="41" t="s">
        <v>49</v>
      </c>
      <c r="D20" s="56" t="s">
        <v>50</v>
      </c>
      <c r="E20" s="43" t="s">
        <v>36</v>
      </c>
      <c r="F20" s="53">
        <v>30</v>
      </c>
      <c r="G20" s="45"/>
      <c r="H20" s="46"/>
      <c r="I20" s="47">
        <f t="shared" ref="I20:I45" si="2">F20*G20</f>
        <v>0</v>
      </c>
      <c r="J20" s="48">
        <v>2002</v>
      </c>
      <c r="K20" s="47" t="s">
        <v>30</v>
      </c>
      <c r="L20" s="49"/>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c r="FU20" s="38"/>
      <c r="FV20" s="38"/>
      <c r="FW20" s="38"/>
      <c r="FX20" s="38"/>
      <c r="FY20" s="38"/>
      <c r="FZ20" s="38"/>
      <c r="GA20" s="38"/>
      <c r="GB20" s="38"/>
      <c r="GC20" s="38"/>
      <c r="GD20" s="38"/>
      <c r="GE20" s="38"/>
      <c r="GF20" s="38"/>
      <c r="GG20" s="38"/>
      <c r="GH20" s="38"/>
      <c r="GI20" s="38"/>
      <c r="GJ20" s="38"/>
      <c r="GK20" s="38"/>
      <c r="GL20" s="38"/>
      <c r="GM20" s="38"/>
      <c r="GN20" s="38"/>
      <c r="GO20" s="38"/>
      <c r="GP20" s="38"/>
      <c r="GQ20" s="38"/>
      <c r="GR20" s="38"/>
      <c r="GS20" s="38"/>
      <c r="GT20" s="38"/>
      <c r="GU20" s="38"/>
      <c r="GV20" s="38"/>
      <c r="GW20" s="38"/>
      <c r="GX20" s="38"/>
      <c r="GY20" s="38"/>
      <c r="GZ20" s="38"/>
      <c r="HA20" s="38"/>
      <c r="HB20" s="38"/>
      <c r="HC20" s="38"/>
      <c r="HD20" s="38"/>
      <c r="HE20" s="38"/>
      <c r="HF20" s="38"/>
      <c r="HG20" s="38"/>
      <c r="HH20" s="38"/>
      <c r="HI20" s="38"/>
      <c r="HJ20" s="38"/>
      <c r="HK20" s="38"/>
      <c r="HL20" s="38"/>
      <c r="HM20" s="38"/>
      <c r="HN20" s="38"/>
      <c r="HO20" s="38"/>
      <c r="HP20" s="38"/>
      <c r="HQ20" s="38"/>
      <c r="HR20" s="38"/>
      <c r="HS20" s="38"/>
      <c r="HT20" s="38"/>
      <c r="HU20" s="38"/>
      <c r="HV20" s="38"/>
      <c r="HW20" s="38"/>
      <c r="HX20" s="38"/>
      <c r="HY20" s="38"/>
      <c r="HZ20" s="38"/>
      <c r="IA20" s="38"/>
      <c r="IB20" s="38"/>
      <c r="IC20" s="38"/>
      <c r="ID20" s="38"/>
      <c r="IE20" s="38"/>
      <c r="IF20" s="38"/>
      <c r="IG20" s="38"/>
      <c r="IH20" s="38"/>
      <c r="II20" s="38"/>
      <c r="IJ20" s="38"/>
      <c r="IK20" s="38"/>
      <c r="IL20" s="38"/>
      <c r="IM20" s="38"/>
      <c r="IN20" s="38"/>
      <c r="IO20" s="38"/>
      <c r="IP20" s="38"/>
      <c r="IQ20" s="38"/>
      <c r="IR20" s="38"/>
      <c r="IS20" s="38"/>
      <c r="IT20" s="38"/>
      <c r="IU20" s="38"/>
      <c r="IV20" s="38"/>
      <c r="IW20" s="38"/>
      <c r="IX20" s="38"/>
      <c r="IY20" s="38"/>
      <c r="IZ20" s="38"/>
      <c r="JA20" s="38"/>
      <c r="JB20" s="38"/>
      <c r="JC20" s="38"/>
      <c r="JD20" s="38"/>
      <c r="JE20" s="38"/>
      <c r="JF20" s="38"/>
      <c r="JG20" s="38"/>
      <c r="JH20" s="38"/>
      <c r="JI20" s="38"/>
      <c r="JJ20" s="38"/>
      <c r="JK20" s="38"/>
      <c r="JL20" s="38"/>
      <c r="JM20" s="38"/>
      <c r="JN20" s="38"/>
      <c r="JO20" s="38"/>
      <c r="JP20" s="38"/>
      <c r="JQ20" s="38"/>
      <c r="JR20" s="38"/>
      <c r="JS20" s="38"/>
      <c r="JT20" s="38"/>
      <c r="JU20" s="38"/>
      <c r="JV20" s="38"/>
      <c r="JW20" s="38"/>
      <c r="JX20" s="38"/>
      <c r="JY20" s="38"/>
      <c r="JZ20" s="38"/>
      <c r="KA20" s="38"/>
      <c r="KB20" s="38"/>
      <c r="KC20" s="38"/>
      <c r="KD20" s="38"/>
      <c r="KE20" s="38"/>
      <c r="KF20" s="38"/>
      <c r="KG20" s="38"/>
      <c r="KH20" s="38"/>
      <c r="KI20" s="38"/>
      <c r="KJ20" s="38"/>
      <c r="KK20" s="38"/>
      <c r="KL20" s="38"/>
      <c r="KM20" s="38"/>
      <c r="KN20" s="38"/>
      <c r="KO20" s="38"/>
      <c r="KP20" s="38"/>
      <c r="KQ20" s="38"/>
      <c r="KR20" s="38"/>
      <c r="KS20" s="38"/>
      <c r="KT20" s="38"/>
      <c r="KU20" s="38"/>
      <c r="KV20" s="38"/>
      <c r="KW20" s="38"/>
      <c r="KX20" s="38"/>
      <c r="KY20" s="38"/>
      <c r="KZ20" s="38"/>
      <c r="LA20" s="38"/>
      <c r="LB20" s="38"/>
      <c r="LC20" s="38"/>
      <c r="LD20" s="38"/>
      <c r="LE20" s="38"/>
      <c r="LF20" s="38"/>
      <c r="LG20" s="38"/>
      <c r="LH20" s="38"/>
      <c r="LI20" s="38"/>
      <c r="LJ20" s="38"/>
      <c r="LK20" s="38"/>
      <c r="LL20" s="38"/>
      <c r="LM20" s="38"/>
      <c r="LN20" s="38"/>
      <c r="LO20" s="38"/>
      <c r="LP20" s="38"/>
      <c r="LQ20" s="38"/>
      <c r="LR20" s="38"/>
      <c r="LS20" s="38"/>
      <c r="LT20" s="38"/>
      <c r="LU20" s="38"/>
      <c r="LV20" s="38"/>
      <c r="LW20" s="38"/>
      <c r="LX20" s="38"/>
      <c r="LY20" s="38"/>
      <c r="LZ20" s="38"/>
      <c r="MA20" s="38"/>
      <c r="MB20" s="38"/>
      <c r="MC20" s="38"/>
      <c r="MD20" s="38"/>
      <c r="ME20" s="38"/>
      <c r="MF20" s="38"/>
      <c r="MG20" s="38"/>
      <c r="MH20" s="38"/>
      <c r="MI20" s="38"/>
      <c r="MJ20" s="38"/>
      <c r="MK20" s="38"/>
      <c r="ML20" s="38"/>
      <c r="MM20" s="38"/>
      <c r="MN20" s="38"/>
      <c r="MO20" s="38"/>
      <c r="MP20" s="38"/>
      <c r="MQ20" s="38"/>
      <c r="MR20" s="38"/>
      <c r="MS20" s="38"/>
      <c r="MT20" s="38"/>
      <c r="MU20" s="38"/>
      <c r="MV20" s="38"/>
      <c r="MW20" s="38"/>
      <c r="MX20" s="38"/>
      <c r="MY20" s="38"/>
      <c r="MZ20" s="38"/>
      <c r="NA20" s="38"/>
      <c r="NB20" s="38"/>
      <c r="NC20" s="38"/>
      <c r="ND20" s="38"/>
      <c r="NE20" s="38"/>
      <c r="NF20" s="38"/>
      <c r="NG20" s="38"/>
      <c r="NH20" s="38"/>
      <c r="NI20" s="38"/>
      <c r="NJ20" s="38"/>
      <c r="NK20" s="38"/>
      <c r="NL20" s="38"/>
      <c r="NM20" s="38"/>
      <c r="NN20" s="38"/>
      <c r="NO20" s="38"/>
      <c r="NP20" s="38"/>
      <c r="NQ20" s="38"/>
      <c r="NR20" s="38"/>
      <c r="NS20" s="38"/>
      <c r="NT20" s="38"/>
      <c r="NU20" s="38"/>
      <c r="NV20" s="38"/>
      <c r="NW20" s="38"/>
      <c r="NX20" s="38"/>
      <c r="NY20" s="38"/>
      <c r="NZ20" s="38"/>
      <c r="OA20" s="38"/>
      <c r="OB20" s="38"/>
      <c r="OC20" s="38"/>
      <c r="OD20" s="38"/>
      <c r="OE20" s="38"/>
      <c r="OF20" s="38"/>
      <c r="OG20" s="38"/>
      <c r="OH20" s="38"/>
      <c r="OI20" s="38"/>
      <c r="OJ20" s="38"/>
      <c r="OK20" s="38"/>
      <c r="OL20" s="38"/>
      <c r="OM20" s="38"/>
      <c r="ON20" s="38"/>
      <c r="OO20" s="38"/>
      <c r="OP20" s="38"/>
      <c r="OQ20" s="38"/>
      <c r="OR20" s="38"/>
      <c r="OS20" s="38"/>
      <c r="OT20" s="38"/>
      <c r="OU20" s="38"/>
      <c r="OV20" s="38"/>
      <c r="OW20" s="38"/>
      <c r="OX20" s="38"/>
      <c r="OY20" s="38"/>
      <c r="OZ20" s="38"/>
      <c r="PA20" s="38"/>
      <c r="PB20" s="38"/>
      <c r="PC20" s="38"/>
      <c r="PD20" s="38"/>
      <c r="PE20" s="38"/>
      <c r="PF20" s="38"/>
      <c r="PG20" s="38"/>
      <c r="PH20" s="38"/>
      <c r="PI20" s="38"/>
      <c r="PJ20" s="38"/>
      <c r="PK20" s="38"/>
      <c r="PL20" s="38"/>
      <c r="PM20" s="38"/>
      <c r="PN20" s="38"/>
      <c r="PO20" s="38"/>
      <c r="PP20" s="38"/>
      <c r="PQ20" s="38"/>
      <c r="PR20" s="38"/>
      <c r="PS20" s="38"/>
      <c r="PT20" s="38"/>
      <c r="PU20" s="38"/>
      <c r="PV20" s="38"/>
      <c r="PW20" s="38"/>
      <c r="PX20" s="38"/>
      <c r="PY20" s="38"/>
      <c r="PZ20" s="38"/>
      <c r="QA20" s="38"/>
      <c r="QB20" s="38"/>
      <c r="QC20" s="38"/>
      <c r="QD20" s="38"/>
      <c r="QE20" s="38"/>
      <c r="QF20" s="38"/>
      <c r="QG20" s="38"/>
      <c r="QH20" s="38"/>
      <c r="QI20" s="38"/>
      <c r="QJ20" s="38"/>
      <c r="QK20" s="38"/>
      <c r="QL20" s="38"/>
      <c r="QM20" s="38"/>
      <c r="QN20" s="38"/>
      <c r="QO20" s="38"/>
      <c r="QP20" s="38"/>
      <c r="QQ20" s="38"/>
      <c r="QR20" s="38"/>
      <c r="QS20" s="38"/>
      <c r="QT20" s="38"/>
      <c r="QU20" s="38"/>
      <c r="QV20" s="38"/>
      <c r="QW20" s="38"/>
      <c r="QX20" s="38"/>
      <c r="QY20" s="38"/>
      <c r="QZ20" s="38"/>
      <c r="RA20" s="38"/>
      <c r="RB20" s="38"/>
      <c r="RC20" s="38"/>
      <c r="RD20" s="38"/>
      <c r="RE20" s="38"/>
      <c r="RF20" s="38"/>
      <c r="RG20" s="38"/>
      <c r="RH20" s="38"/>
      <c r="RI20" s="38"/>
      <c r="RJ20" s="38"/>
      <c r="RK20" s="38"/>
      <c r="RL20" s="38"/>
      <c r="RM20" s="38"/>
      <c r="RN20" s="38"/>
      <c r="RO20" s="38"/>
      <c r="RP20" s="38"/>
      <c r="RQ20" s="38"/>
      <c r="RR20" s="38"/>
      <c r="RS20" s="38"/>
      <c r="RT20" s="38"/>
      <c r="RU20" s="38"/>
      <c r="RV20" s="38"/>
      <c r="RW20" s="38"/>
      <c r="RX20" s="38"/>
      <c r="RY20" s="38"/>
      <c r="RZ20" s="38"/>
      <c r="SA20" s="38"/>
      <c r="SB20" s="38"/>
      <c r="SC20" s="38"/>
      <c r="SD20" s="38"/>
      <c r="SE20" s="38"/>
      <c r="SF20" s="38"/>
      <c r="SG20" s="38"/>
      <c r="SH20" s="38"/>
      <c r="SI20" s="38"/>
      <c r="SJ20" s="38"/>
      <c r="SK20" s="38"/>
      <c r="SL20" s="38"/>
      <c r="SM20" s="38"/>
      <c r="SN20" s="38"/>
      <c r="SO20" s="38"/>
      <c r="SP20" s="38"/>
      <c r="SQ20" s="38"/>
      <c r="SR20" s="38"/>
      <c r="SS20" s="38"/>
      <c r="ST20" s="38"/>
      <c r="SU20" s="38"/>
      <c r="SV20" s="38"/>
      <c r="SW20" s="38"/>
      <c r="SX20" s="38"/>
      <c r="SY20" s="38"/>
      <c r="SZ20" s="38"/>
      <c r="TA20" s="38"/>
      <c r="TB20" s="38"/>
      <c r="TC20" s="38"/>
      <c r="TD20" s="38"/>
      <c r="TE20" s="38"/>
      <c r="TF20" s="38"/>
      <c r="TG20" s="38"/>
      <c r="TH20" s="38"/>
      <c r="TI20" s="38"/>
      <c r="TJ20" s="38"/>
      <c r="TK20" s="38"/>
      <c r="TL20" s="38"/>
      <c r="TM20" s="38"/>
    </row>
    <row r="21" spans="2:533" s="39" customFormat="1" ht="18.75" x14ac:dyDescent="0.25">
      <c r="B21" s="50" t="s">
        <v>25</v>
      </c>
      <c r="C21" s="41" t="s">
        <v>51</v>
      </c>
      <c r="D21" s="56" t="s">
        <v>52</v>
      </c>
      <c r="E21" s="43" t="s">
        <v>36</v>
      </c>
      <c r="F21" s="53">
        <v>75</v>
      </c>
      <c r="G21" s="45"/>
      <c r="H21" s="46"/>
      <c r="I21" s="47">
        <f t="shared" si="2"/>
        <v>0</v>
      </c>
      <c r="J21" s="48">
        <v>2002</v>
      </c>
      <c r="K21" s="47" t="s">
        <v>30</v>
      </c>
      <c r="L21" s="49"/>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c r="EW21" s="38"/>
      <c r="EX21" s="38"/>
      <c r="EY21" s="38"/>
      <c r="EZ21" s="38"/>
      <c r="FA21" s="38"/>
      <c r="FB21" s="38"/>
      <c r="FC21" s="38"/>
      <c r="FD21" s="38"/>
      <c r="FE21" s="38"/>
      <c r="FF21" s="38"/>
      <c r="FG21" s="38"/>
      <c r="FH21" s="38"/>
      <c r="FI21" s="38"/>
      <c r="FJ21" s="38"/>
      <c r="FK21" s="38"/>
      <c r="FL21" s="38"/>
      <c r="FM21" s="38"/>
      <c r="FN21" s="38"/>
      <c r="FO21" s="38"/>
      <c r="FP21" s="38"/>
      <c r="FQ21" s="38"/>
      <c r="FR21" s="38"/>
      <c r="FS21" s="38"/>
      <c r="FT21" s="38"/>
      <c r="FU21" s="38"/>
      <c r="FV21" s="38"/>
      <c r="FW21" s="38"/>
      <c r="FX21" s="38"/>
      <c r="FY21" s="38"/>
      <c r="FZ21" s="38"/>
      <c r="GA21" s="38"/>
      <c r="GB21" s="38"/>
      <c r="GC21" s="38"/>
      <c r="GD21" s="38"/>
      <c r="GE21" s="38"/>
      <c r="GF21" s="38"/>
      <c r="GG21" s="38"/>
      <c r="GH21" s="38"/>
      <c r="GI21" s="38"/>
      <c r="GJ21" s="38"/>
      <c r="GK21" s="38"/>
      <c r="GL21" s="38"/>
      <c r="GM21" s="38"/>
      <c r="GN21" s="38"/>
      <c r="GO21" s="38"/>
      <c r="GP21" s="38"/>
      <c r="GQ21" s="38"/>
      <c r="GR21" s="38"/>
      <c r="GS21" s="38"/>
      <c r="GT21" s="38"/>
      <c r="GU21" s="38"/>
      <c r="GV21" s="38"/>
      <c r="GW21" s="38"/>
      <c r="GX21" s="38"/>
      <c r="GY21" s="38"/>
      <c r="GZ21" s="38"/>
      <c r="HA21" s="38"/>
      <c r="HB21" s="38"/>
      <c r="HC21" s="38"/>
      <c r="HD21" s="38"/>
      <c r="HE21" s="38"/>
      <c r="HF21" s="38"/>
      <c r="HG21" s="38"/>
      <c r="HH21" s="38"/>
      <c r="HI21" s="38"/>
      <c r="HJ21" s="38"/>
      <c r="HK21" s="38"/>
      <c r="HL21" s="38"/>
      <c r="HM21" s="38"/>
      <c r="HN21" s="38"/>
      <c r="HO21" s="38"/>
      <c r="HP21" s="38"/>
      <c r="HQ21" s="38"/>
      <c r="HR21" s="38"/>
      <c r="HS21" s="38"/>
      <c r="HT21" s="38"/>
      <c r="HU21" s="38"/>
      <c r="HV21" s="38"/>
      <c r="HW21" s="38"/>
      <c r="HX21" s="38"/>
      <c r="HY21" s="38"/>
      <c r="HZ21" s="38"/>
      <c r="IA21" s="38"/>
      <c r="IB21" s="38"/>
      <c r="IC21" s="38"/>
      <c r="ID21" s="38"/>
      <c r="IE21" s="38"/>
      <c r="IF21" s="38"/>
      <c r="IG21" s="38"/>
      <c r="IH21" s="38"/>
      <c r="II21" s="38"/>
      <c r="IJ21" s="38"/>
      <c r="IK21" s="38"/>
      <c r="IL21" s="38"/>
      <c r="IM21" s="38"/>
      <c r="IN21" s="38"/>
      <c r="IO21" s="38"/>
      <c r="IP21" s="38"/>
      <c r="IQ21" s="38"/>
      <c r="IR21" s="38"/>
      <c r="IS21" s="38"/>
      <c r="IT21" s="38"/>
      <c r="IU21" s="38"/>
      <c r="IV21" s="38"/>
      <c r="IW21" s="38"/>
      <c r="IX21" s="38"/>
      <c r="IY21" s="38"/>
      <c r="IZ21" s="38"/>
      <c r="JA21" s="38"/>
      <c r="JB21" s="38"/>
      <c r="JC21" s="38"/>
      <c r="JD21" s="38"/>
      <c r="JE21" s="38"/>
      <c r="JF21" s="38"/>
      <c r="JG21" s="38"/>
      <c r="JH21" s="38"/>
      <c r="JI21" s="38"/>
      <c r="JJ21" s="38"/>
      <c r="JK21" s="38"/>
      <c r="JL21" s="38"/>
      <c r="JM21" s="38"/>
      <c r="JN21" s="38"/>
      <c r="JO21" s="38"/>
      <c r="JP21" s="38"/>
      <c r="JQ21" s="38"/>
      <c r="JR21" s="38"/>
      <c r="JS21" s="38"/>
      <c r="JT21" s="38"/>
      <c r="JU21" s="38"/>
      <c r="JV21" s="38"/>
      <c r="JW21" s="38"/>
      <c r="JX21" s="38"/>
      <c r="JY21" s="38"/>
      <c r="JZ21" s="38"/>
      <c r="KA21" s="38"/>
      <c r="KB21" s="38"/>
      <c r="KC21" s="38"/>
      <c r="KD21" s="38"/>
      <c r="KE21" s="38"/>
      <c r="KF21" s="38"/>
      <c r="KG21" s="38"/>
      <c r="KH21" s="38"/>
      <c r="KI21" s="38"/>
      <c r="KJ21" s="38"/>
      <c r="KK21" s="38"/>
      <c r="KL21" s="38"/>
      <c r="KM21" s="38"/>
      <c r="KN21" s="38"/>
      <c r="KO21" s="38"/>
      <c r="KP21" s="38"/>
      <c r="KQ21" s="38"/>
      <c r="KR21" s="38"/>
      <c r="KS21" s="38"/>
      <c r="KT21" s="38"/>
      <c r="KU21" s="38"/>
      <c r="KV21" s="38"/>
      <c r="KW21" s="38"/>
      <c r="KX21" s="38"/>
      <c r="KY21" s="38"/>
      <c r="KZ21" s="38"/>
      <c r="LA21" s="38"/>
      <c r="LB21" s="38"/>
      <c r="LC21" s="38"/>
      <c r="LD21" s="38"/>
      <c r="LE21" s="38"/>
      <c r="LF21" s="38"/>
      <c r="LG21" s="38"/>
      <c r="LH21" s="38"/>
      <c r="LI21" s="38"/>
      <c r="LJ21" s="38"/>
      <c r="LK21" s="38"/>
      <c r="LL21" s="38"/>
      <c r="LM21" s="38"/>
      <c r="LN21" s="38"/>
      <c r="LO21" s="38"/>
      <c r="LP21" s="38"/>
      <c r="LQ21" s="38"/>
      <c r="LR21" s="38"/>
      <c r="LS21" s="38"/>
      <c r="LT21" s="38"/>
      <c r="LU21" s="38"/>
      <c r="LV21" s="38"/>
      <c r="LW21" s="38"/>
      <c r="LX21" s="38"/>
      <c r="LY21" s="38"/>
      <c r="LZ21" s="38"/>
      <c r="MA21" s="38"/>
      <c r="MB21" s="38"/>
      <c r="MC21" s="38"/>
      <c r="MD21" s="38"/>
      <c r="ME21" s="38"/>
      <c r="MF21" s="38"/>
      <c r="MG21" s="38"/>
      <c r="MH21" s="38"/>
      <c r="MI21" s="38"/>
      <c r="MJ21" s="38"/>
      <c r="MK21" s="38"/>
      <c r="ML21" s="38"/>
      <c r="MM21" s="38"/>
      <c r="MN21" s="38"/>
      <c r="MO21" s="38"/>
      <c r="MP21" s="38"/>
      <c r="MQ21" s="38"/>
      <c r="MR21" s="38"/>
      <c r="MS21" s="38"/>
      <c r="MT21" s="38"/>
      <c r="MU21" s="38"/>
      <c r="MV21" s="38"/>
      <c r="MW21" s="38"/>
      <c r="MX21" s="38"/>
      <c r="MY21" s="38"/>
      <c r="MZ21" s="38"/>
      <c r="NA21" s="38"/>
      <c r="NB21" s="38"/>
      <c r="NC21" s="38"/>
      <c r="ND21" s="38"/>
      <c r="NE21" s="38"/>
      <c r="NF21" s="38"/>
      <c r="NG21" s="38"/>
      <c r="NH21" s="38"/>
      <c r="NI21" s="38"/>
      <c r="NJ21" s="38"/>
      <c r="NK21" s="38"/>
      <c r="NL21" s="38"/>
      <c r="NM21" s="38"/>
      <c r="NN21" s="38"/>
      <c r="NO21" s="38"/>
      <c r="NP21" s="38"/>
      <c r="NQ21" s="38"/>
      <c r="NR21" s="38"/>
      <c r="NS21" s="38"/>
      <c r="NT21" s="38"/>
      <c r="NU21" s="38"/>
      <c r="NV21" s="38"/>
      <c r="NW21" s="38"/>
      <c r="NX21" s="38"/>
      <c r="NY21" s="38"/>
      <c r="NZ21" s="38"/>
      <c r="OA21" s="38"/>
      <c r="OB21" s="38"/>
      <c r="OC21" s="38"/>
      <c r="OD21" s="38"/>
      <c r="OE21" s="38"/>
      <c r="OF21" s="38"/>
      <c r="OG21" s="38"/>
      <c r="OH21" s="38"/>
      <c r="OI21" s="38"/>
      <c r="OJ21" s="38"/>
      <c r="OK21" s="38"/>
      <c r="OL21" s="38"/>
      <c r="OM21" s="38"/>
      <c r="ON21" s="38"/>
      <c r="OO21" s="38"/>
      <c r="OP21" s="38"/>
      <c r="OQ21" s="38"/>
      <c r="OR21" s="38"/>
      <c r="OS21" s="38"/>
      <c r="OT21" s="38"/>
      <c r="OU21" s="38"/>
      <c r="OV21" s="38"/>
      <c r="OW21" s="38"/>
      <c r="OX21" s="38"/>
      <c r="OY21" s="38"/>
      <c r="OZ21" s="38"/>
      <c r="PA21" s="38"/>
      <c r="PB21" s="38"/>
      <c r="PC21" s="38"/>
      <c r="PD21" s="38"/>
      <c r="PE21" s="38"/>
      <c r="PF21" s="38"/>
      <c r="PG21" s="38"/>
      <c r="PH21" s="38"/>
      <c r="PI21" s="38"/>
      <c r="PJ21" s="38"/>
      <c r="PK21" s="38"/>
      <c r="PL21" s="38"/>
      <c r="PM21" s="38"/>
      <c r="PN21" s="38"/>
      <c r="PO21" s="38"/>
      <c r="PP21" s="38"/>
      <c r="PQ21" s="38"/>
      <c r="PR21" s="38"/>
      <c r="PS21" s="38"/>
      <c r="PT21" s="38"/>
      <c r="PU21" s="38"/>
      <c r="PV21" s="38"/>
      <c r="PW21" s="38"/>
      <c r="PX21" s="38"/>
      <c r="PY21" s="38"/>
      <c r="PZ21" s="38"/>
      <c r="QA21" s="38"/>
      <c r="QB21" s="38"/>
      <c r="QC21" s="38"/>
      <c r="QD21" s="38"/>
      <c r="QE21" s="38"/>
      <c r="QF21" s="38"/>
      <c r="QG21" s="38"/>
      <c r="QH21" s="38"/>
      <c r="QI21" s="38"/>
      <c r="QJ21" s="38"/>
      <c r="QK21" s="38"/>
      <c r="QL21" s="38"/>
      <c r="QM21" s="38"/>
      <c r="QN21" s="38"/>
      <c r="QO21" s="38"/>
      <c r="QP21" s="38"/>
      <c r="QQ21" s="38"/>
      <c r="QR21" s="38"/>
      <c r="QS21" s="38"/>
      <c r="QT21" s="38"/>
      <c r="QU21" s="38"/>
      <c r="QV21" s="38"/>
      <c r="QW21" s="38"/>
      <c r="QX21" s="38"/>
      <c r="QY21" s="38"/>
      <c r="QZ21" s="38"/>
      <c r="RA21" s="38"/>
      <c r="RB21" s="38"/>
      <c r="RC21" s="38"/>
      <c r="RD21" s="38"/>
      <c r="RE21" s="38"/>
      <c r="RF21" s="38"/>
      <c r="RG21" s="38"/>
      <c r="RH21" s="38"/>
      <c r="RI21" s="38"/>
      <c r="RJ21" s="38"/>
      <c r="RK21" s="38"/>
      <c r="RL21" s="38"/>
      <c r="RM21" s="38"/>
      <c r="RN21" s="38"/>
      <c r="RO21" s="38"/>
      <c r="RP21" s="38"/>
      <c r="RQ21" s="38"/>
      <c r="RR21" s="38"/>
      <c r="RS21" s="38"/>
      <c r="RT21" s="38"/>
      <c r="RU21" s="38"/>
      <c r="RV21" s="38"/>
      <c r="RW21" s="38"/>
      <c r="RX21" s="38"/>
      <c r="RY21" s="38"/>
      <c r="RZ21" s="38"/>
      <c r="SA21" s="38"/>
      <c r="SB21" s="38"/>
      <c r="SC21" s="38"/>
      <c r="SD21" s="38"/>
      <c r="SE21" s="38"/>
      <c r="SF21" s="38"/>
      <c r="SG21" s="38"/>
      <c r="SH21" s="38"/>
      <c r="SI21" s="38"/>
      <c r="SJ21" s="38"/>
      <c r="SK21" s="38"/>
      <c r="SL21" s="38"/>
      <c r="SM21" s="38"/>
      <c r="SN21" s="38"/>
      <c r="SO21" s="38"/>
      <c r="SP21" s="38"/>
      <c r="SQ21" s="38"/>
      <c r="SR21" s="38"/>
      <c r="SS21" s="38"/>
      <c r="ST21" s="38"/>
      <c r="SU21" s="38"/>
      <c r="SV21" s="38"/>
      <c r="SW21" s="38"/>
      <c r="SX21" s="38"/>
      <c r="SY21" s="38"/>
      <c r="SZ21" s="38"/>
      <c r="TA21" s="38"/>
      <c r="TB21" s="38"/>
      <c r="TC21" s="38"/>
      <c r="TD21" s="38"/>
      <c r="TE21" s="38"/>
      <c r="TF21" s="38"/>
      <c r="TG21" s="38"/>
      <c r="TH21" s="38"/>
      <c r="TI21" s="38"/>
      <c r="TJ21" s="38"/>
      <c r="TK21" s="38"/>
      <c r="TL21" s="38"/>
      <c r="TM21" s="38"/>
    </row>
    <row r="22" spans="2:533" s="39" customFormat="1" ht="18.75" x14ac:dyDescent="0.25">
      <c r="B22" s="50" t="s">
        <v>25</v>
      </c>
      <c r="C22" s="41" t="s">
        <v>53</v>
      </c>
      <c r="D22" s="56" t="s">
        <v>54</v>
      </c>
      <c r="E22" s="43" t="s">
        <v>36</v>
      </c>
      <c r="F22" s="53">
        <v>65</v>
      </c>
      <c r="G22" s="45"/>
      <c r="H22" s="46"/>
      <c r="I22" s="47">
        <f t="shared" si="2"/>
        <v>0</v>
      </c>
      <c r="J22" s="48">
        <v>2002</v>
      </c>
      <c r="K22" s="47" t="s">
        <v>30</v>
      </c>
      <c r="L22" s="49"/>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c r="FR22" s="38"/>
      <c r="FS22" s="38"/>
      <c r="FT22" s="38"/>
      <c r="FU22" s="38"/>
      <c r="FV22" s="38"/>
      <c r="FW22" s="38"/>
      <c r="FX22" s="38"/>
      <c r="FY22" s="38"/>
      <c r="FZ22" s="38"/>
      <c r="GA22" s="38"/>
      <c r="GB22" s="38"/>
      <c r="GC22" s="38"/>
      <c r="GD22" s="38"/>
      <c r="GE22" s="38"/>
      <c r="GF22" s="38"/>
      <c r="GG22" s="38"/>
      <c r="GH22" s="38"/>
      <c r="GI22" s="38"/>
      <c r="GJ22" s="38"/>
      <c r="GK22" s="38"/>
      <c r="GL22" s="38"/>
      <c r="GM22" s="38"/>
      <c r="GN22" s="38"/>
      <c r="GO22" s="38"/>
      <c r="GP22" s="38"/>
      <c r="GQ22" s="38"/>
      <c r="GR22" s="38"/>
      <c r="GS22" s="38"/>
      <c r="GT22" s="38"/>
      <c r="GU22" s="38"/>
      <c r="GV22" s="38"/>
      <c r="GW22" s="38"/>
      <c r="GX22" s="38"/>
      <c r="GY22" s="38"/>
      <c r="GZ22" s="38"/>
      <c r="HA22" s="38"/>
      <c r="HB22" s="38"/>
      <c r="HC22" s="38"/>
      <c r="HD22" s="38"/>
      <c r="HE22" s="38"/>
      <c r="HF22" s="38"/>
      <c r="HG22" s="38"/>
      <c r="HH22" s="38"/>
      <c r="HI22" s="38"/>
      <c r="HJ22" s="38"/>
      <c r="HK22" s="38"/>
      <c r="HL22" s="38"/>
      <c r="HM22" s="38"/>
      <c r="HN22" s="38"/>
      <c r="HO22" s="38"/>
      <c r="HP22" s="38"/>
      <c r="HQ22" s="38"/>
      <c r="HR22" s="38"/>
      <c r="HS22" s="38"/>
      <c r="HT22" s="38"/>
      <c r="HU22" s="38"/>
      <c r="HV22" s="38"/>
      <c r="HW22" s="38"/>
      <c r="HX22" s="38"/>
      <c r="HY22" s="38"/>
      <c r="HZ22" s="38"/>
      <c r="IA22" s="38"/>
      <c r="IB22" s="38"/>
      <c r="IC22" s="38"/>
      <c r="ID22" s="38"/>
      <c r="IE22" s="38"/>
      <c r="IF22" s="38"/>
      <c r="IG22" s="38"/>
      <c r="IH22" s="38"/>
      <c r="II22" s="38"/>
      <c r="IJ22" s="38"/>
      <c r="IK22" s="38"/>
      <c r="IL22" s="38"/>
      <c r="IM22" s="38"/>
      <c r="IN22" s="38"/>
      <c r="IO22" s="38"/>
      <c r="IP22" s="38"/>
      <c r="IQ22" s="38"/>
      <c r="IR22" s="38"/>
      <c r="IS22" s="38"/>
      <c r="IT22" s="38"/>
      <c r="IU22" s="38"/>
      <c r="IV22" s="38"/>
      <c r="IW22" s="38"/>
      <c r="IX22" s="38"/>
      <c r="IY22" s="38"/>
      <c r="IZ22" s="38"/>
      <c r="JA22" s="38"/>
      <c r="JB22" s="38"/>
      <c r="JC22" s="38"/>
      <c r="JD22" s="38"/>
      <c r="JE22" s="38"/>
      <c r="JF22" s="38"/>
      <c r="JG22" s="38"/>
      <c r="JH22" s="38"/>
      <c r="JI22" s="38"/>
      <c r="JJ22" s="38"/>
      <c r="JK22" s="38"/>
      <c r="JL22" s="38"/>
      <c r="JM22" s="38"/>
      <c r="JN22" s="38"/>
      <c r="JO22" s="38"/>
      <c r="JP22" s="38"/>
      <c r="JQ22" s="38"/>
      <c r="JR22" s="38"/>
      <c r="JS22" s="38"/>
      <c r="JT22" s="38"/>
      <c r="JU22" s="38"/>
      <c r="JV22" s="38"/>
      <c r="JW22" s="38"/>
      <c r="JX22" s="38"/>
      <c r="JY22" s="38"/>
      <c r="JZ22" s="38"/>
      <c r="KA22" s="38"/>
      <c r="KB22" s="38"/>
      <c r="KC22" s="38"/>
      <c r="KD22" s="38"/>
      <c r="KE22" s="38"/>
      <c r="KF22" s="38"/>
      <c r="KG22" s="38"/>
      <c r="KH22" s="38"/>
      <c r="KI22" s="38"/>
      <c r="KJ22" s="38"/>
      <c r="KK22" s="38"/>
      <c r="KL22" s="38"/>
      <c r="KM22" s="38"/>
      <c r="KN22" s="38"/>
      <c r="KO22" s="38"/>
      <c r="KP22" s="38"/>
      <c r="KQ22" s="38"/>
      <c r="KR22" s="38"/>
      <c r="KS22" s="38"/>
      <c r="KT22" s="38"/>
      <c r="KU22" s="38"/>
      <c r="KV22" s="38"/>
      <c r="KW22" s="38"/>
      <c r="KX22" s="38"/>
      <c r="KY22" s="38"/>
      <c r="KZ22" s="38"/>
      <c r="LA22" s="38"/>
      <c r="LB22" s="38"/>
      <c r="LC22" s="38"/>
      <c r="LD22" s="38"/>
      <c r="LE22" s="38"/>
      <c r="LF22" s="38"/>
      <c r="LG22" s="38"/>
      <c r="LH22" s="38"/>
      <c r="LI22" s="38"/>
      <c r="LJ22" s="38"/>
      <c r="LK22" s="38"/>
      <c r="LL22" s="38"/>
      <c r="LM22" s="38"/>
      <c r="LN22" s="38"/>
      <c r="LO22" s="38"/>
      <c r="LP22" s="38"/>
      <c r="LQ22" s="38"/>
      <c r="LR22" s="38"/>
      <c r="LS22" s="38"/>
      <c r="LT22" s="38"/>
      <c r="LU22" s="38"/>
      <c r="LV22" s="38"/>
      <c r="LW22" s="38"/>
      <c r="LX22" s="38"/>
      <c r="LY22" s="38"/>
      <c r="LZ22" s="38"/>
      <c r="MA22" s="38"/>
      <c r="MB22" s="38"/>
      <c r="MC22" s="38"/>
      <c r="MD22" s="38"/>
      <c r="ME22" s="38"/>
      <c r="MF22" s="38"/>
      <c r="MG22" s="38"/>
      <c r="MH22" s="38"/>
      <c r="MI22" s="38"/>
      <c r="MJ22" s="38"/>
      <c r="MK22" s="38"/>
      <c r="ML22" s="38"/>
      <c r="MM22" s="38"/>
      <c r="MN22" s="38"/>
      <c r="MO22" s="38"/>
      <c r="MP22" s="38"/>
      <c r="MQ22" s="38"/>
      <c r="MR22" s="38"/>
      <c r="MS22" s="38"/>
      <c r="MT22" s="38"/>
      <c r="MU22" s="38"/>
      <c r="MV22" s="38"/>
      <c r="MW22" s="38"/>
      <c r="MX22" s="38"/>
      <c r="MY22" s="38"/>
      <c r="MZ22" s="38"/>
      <c r="NA22" s="38"/>
      <c r="NB22" s="38"/>
      <c r="NC22" s="38"/>
      <c r="ND22" s="38"/>
      <c r="NE22" s="38"/>
      <c r="NF22" s="38"/>
      <c r="NG22" s="38"/>
      <c r="NH22" s="38"/>
      <c r="NI22" s="38"/>
      <c r="NJ22" s="38"/>
      <c r="NK22" s="38"/>
      <c r="NL22" s="38"/>
      <c r="NM22" s="38"/>
      <c r="NN22" s="38"/>
      <c r="NO22" s="38"/>
      <c r="NP22" s="38"/>
      <c r="NQ22" s="38"/>
      <c r="NR22" s="38"/>
      <c r="NS22" s="38"/>
      <c r="NT22" s="38"/>
      <c r="NU22" s="38"/>
      <c r="NV22" s="38"/>
      <c r="NW22" s="38"/>
      <c r="NX22" s="38"/>
      <c r="NY22" s="38"/>
      <c r="NZ22" s="38"/>
      <c r="OA22" s="38"/>
      <c r="OB22" s="38"/>
      <c r="OC22" s="38"/>
      <c r="OD22" s="38"/>
      <c r="OE22" s="38"/>
      <c r="OF22" s="38"/>
      <c r="OG22" s="38"/>
      <c r="OH22" s="38"/>
      <c r="OI22" s="38"/>
      <c r="OJ22" s="38"/>
      <c r="OK22" s="38"/>
      <c r="OL22" s="38"/>
      <c r="OM22" s="38"/>
      <c r="ON22" s="38"/>
      <c r="OO22" s="38"/>
      <c r="OP22" s="38"/>
      <c r="OQ22" s="38"/>
      <c r="OR22" s="38"/>
      <c r="OS22" s="38"/>
      <c r="OT22" s="38"/>
      <c r="OU22" s="38"/>
      <c r="OV22" s="38"/>
      <c r="OW22" s="38"/>
      <c r="OX22" s="38"/>
      <c r="OY22" s="38"/>
      <c r="OZ22" s="38"/>
      <c r="PA22" s="38"/>
      <c r="PB22" s="38"/>
      <c r="PC22" s="38"/>
      <c r="PD22" s="38"/>
      <c r="PE22" s="38"/>
      <c r="PF22" s="38"/>
      <c r="PG22" s="38"/>
      <c r="PH22" s="38"/>
      <c r="PI22" s="38"/>
      <c r="PJ22" s="38"/>
      <c r="PK22" s="38"/>
      <c r="PL22" s="38"/>
      <c r="PM22" s="38"/>
      <c r="PN22" s="38"/>
      <c r="PO22" s="38"/>
      <c r="PP22" s="38"/>
      <c r="PQ22" s="38"/>
      <c r="PR22" s="38"/>
      <c r="PS22" s="38"/>
      <c r="PT22" s="38"/>
      <c r="PU22" s="38"/>
      <c r="PV22" s="38"/>
      <c r="PW22" s="38"/>
      <c r="PX22" s="38"/>
      <c r="PY22" s="38"/>
      <c r="PZ22" s="38"/>
      <c r="QA22" s="38"/>
      <c r="QB22" s="38"/>
      <c r="QC22" s="38"/>
      <c r="QD22" s="38"/>
      <c r="QE22" s="38"/>
      <c r="QF22" s="38"/>
      <c r="QG22" s="38"/>
      <c r="QH22" s="38"/>
      <c r="QI22" s="38"/>
      <c r="QJ22" s="38"/>
      <c r="QK22" s="38"/>
      <c r="QL22" s="38"/>
      <c r="QM22" s="38"/>
      <c r="QN22" s="38"/>
      <c r="QO22" s="38"/>
      <c r="QP22" s="38"/>
      <c r="QQ22" s="38"/>
      <c r="QR22" s="38"/>
      <c r="QS22" s="38"/>
      <c r="QT22" s="38"/>
      <c r="QU22" s="38"/>
      <c r="QV22" s="38"/>
      <c r="QW22" s="38"/>
      <c r="QX22" s="38"/>
      <c r="QY22" s="38"/>
      <c r="QZ22" s="38"/>
      <c r="RA22" s="38"/>
      <c r="RB22" s="38"/>
      <c r="RC22" s="38"/>
      <c r="RD22" s="38"/>
      <c r="RE22" s="38"/>
      <c r="RF22" s="38"/>
      <c r="RG22" s="38"/>
      <c r="RH22" s="38"/>
      <c r="RI22" s="38"/>
      <c r="RJ22" s="38"/>
      <c r="RK22" s="38"/>
      <c r="RL22" s="38"/>
      <c r="RM22" s="38"/>
      <c r="RN22" s="38"/>
      <c r="RO22" s="38"/>
      <c r="RP22" s="38"/>
      <c r="RQ22" s="38"/>
      <c r="RR22" s="38"/>
      <c r="RS22" s="38"/>
      <c r="RT22" s="38"/>
      <c r="RU22" s="38"/>
      <c r="RV22" s="38"/>
      <c r="RW22" s="38"/>
      <c r="RX22" s="38"/>
      <c r="RY22" s="38"/>
      <c r="RZ22" s="38"/>
      <c r="SA22" s="38"/>
      <c r="SB22" s="38"/>
      <c r="SC22" s="38"/>
      <c r="SD22" s="38"/>
      <c r="SE22" s="38"/>
      <c r="SF22" s="38"/>
      <c r="SG22" s="38"/>
      <c r="SH22" s="38"/>
      <c r="SI22" s="38"/>
      <c r="SJ22" s="38"/>
      <c r="SK22" s="38"/>
      <c r="SL22" s="38"/>
      <c r="SM22" s="38"/>
      <c r="SN22" s="38"/>
      <c r="SO22" s="38"/>
      <c r="SP22" s="38"/>
      <c r="SQ22" s="38"/>
      <c r="SR22" s="38"/>
      <c r="SS22" s="38"/>
      <c r="ST22" s="38"/>
      <c r="SU22" s="38"/>
      <c r="SV22" s="38"/>
      <c r="SW22" s="38"/>
      <c r="SX22" s="38"/>
      <c r="SY22" s="38"/>
      <c r="SZ22" s="38"/>
      <c r="TA22" s="38"/>
      <c r="TB22" s="38"/>
      <c r="TC22" s="38"/>
      <c r="TD22" s="38"/>
      <c r="TE22" s="38"/>
      <c r="TF22" s="38"/>
      <c r="TG22" s="38"/>
      <c r="TH22" s="38"/>
      <c r="TI22" s="38"/>
      <c r="TJ22" s="38"/>
      <c r="TK22" s="38"/>
      <c r="TL22" s="38"/>
      <c r="TM22" s="38"/>
    </row>
    <row r="23" spans="2:533" s="39" customFormat="1" ht="18.75" x14ac:dyDescent="0.25">
      <c r="B23" s="50" t="s">
        <v>25</v>
      </c>
      <c r="C23" s="41" t="s">
        <v>55</v>
      </c>
      <c r="D23" s="42" t="s">
        <v>56</v>
      </c>
      <c r="E23" s="43" t="s">
        <v>36</v>
      </c>
      <c r="F23" s="53">
        <v>1</v>
      </c>
      <c r="G23" s="45"/>
      <c r="H23" s="46"/>
      <c r="I23" s="47">
        <f t="shared" si="2"/>
        <v>0</v>
      </c>
      <c r="J23" s="48">
        <v>2002</v>
      </c>
      <c r="K23" s="47" t="s">
        <v>30</v>
      </c>
      <c r="L23" s="49"/>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c r="FU23" s="38"/>
      <c r="FV23" s="38"/>
      <c r="FW23" s="38"/>
      <c r="FX23" s="38"/>
      <c r="FY23" s="38"/>
      <c r="FZ23" s="38"/>
      <c r="GA23" s="38"/>
      <c r="GB23" s="38"/>
      <c r="GC23" s="38"/>
      <c r="GD23" s="38"/>
      <c r="GE23" s="38"/>
      <c r="GF23" s="38"/>
      <c r="GG23" s="38"/>
      <c r="GH23" s="38"/>
      <c r="GI23" s="38"/>
      <c r="GJ23" s="38"/>
      <c r="GK23" s="38"/>
      <c r="GL23" s="38"/>
      <c r="GM23" s="38"/>
      <c r="GN23" s="38"/>
      <c r="GO23" s="38"/>
      <c r="GP23" s="38"/>
      <c r="GQ23" s="38"/>
      <c r="GR23" s="38"/>
      <c r="GS23" s="38"/>
      <c r="GT23" s="38"/>
      <c r="GU23" s="38"/>
      <c r="GV23" s="38"/>
      <c r="GW23" s="38"/>
      <c r="GX23" s="38"/>
      <c r="GY23" s="38"/>
      <c r="GZ23" s="38"/>
      <c r="HA23" s="38"/>
      <c r="HB23" s="38"/>
      <c r="HC23" s="38"/>
      <c r="HD23" s="38"/>
      <c r="HE23" s="38"/>
      <c r="HF23" s="38"/>
      <c r="HG23" s="38"/>
      <c r="HH23" s="38"/>
      <c r="HI23" s="38"/>
      <c r="HJ23" s="38"/>
      <c r="HK23" s="38"/>
      <c r="HL23" s="38"/>
      <c r="HM23" s="38"/>
      <c r="HN23" s="38"/>
      <c r="HO23" s="38"/>
      <c r="HP23" s="38"/>
      <c r="HQ23" s="38"/>
      <c r="HR23" s="38"/>
      <c r="HS23" s="38"/>
      <c r="HT23" s="38"/>
      <c r="HU23" s="38"/>
      <c r="HV23" s="38"/>
      <c r="HW23" s="38"/>
      <c r="HX23" s="38"/>
      <c r="HY23" s="38"/>
      <c r="HZ23" s="38"/>
      <c r="IA23" s="38"/>
      <c r="IB23" s="38"/>
      <c r="IC23" s="38"/>
      <c r="ID23" s="38"/>
      <c r="IE23" s="38"/>
      <c r="IF23" s="38"/>
      <c r="IG23" s="38"/>
      <c r="IH23" s="38"/>
      <c r="II23" s="38"/>
      <c r="IJ23" s="38"/>
      <c r="IK23" s="38"/>
      <c r="IL23" s="38"/>
      <c r="IM23" s="38"/>
      <c r="IN23" s="38"/>
      <c r="IO23" s="38"/>
      <c r="IP23" s="38"/>
      <c r="IQ23" s="38"/>
      <c r="IR23" s="38"/>
      <c r="IS23" s="38"/>
      <c r="IT23" s="38"/>
      <c r="IU23" s="38"/>
      <c r="IV23" s="38"/>
      <c r="IW23" s="38"/>
      <c r="IX23" s="38"/>
      <c r="IY23" s="38"/>
      <c r="IZ23" s="38"/>
      <c r="JA23" s="38"/>
      <c r="JB23" s="38"/>
      <c r="JC23" s="38"/>
      <c r="JD23" s="38"/>
      <c r="JE23" s="38"/>
      <c r="JF23" s="38"/>
      <c r="JG23" s="38"/>
      <c r="JH23" s="38"/>
      <c r="JI23" s="38"/>
      <c r="JJ23" s="38"/>
      <c r="JK23" s="38"/>
      <c r="JL23" s="38"/>
      <c r="JM23" s="38"/>
      <c r="JN23" s="38"/>
      <c r="JO23" s="38"/>
      <c r="JP23" s="38"/>
      <c r="JQ23" s="38"/>
      <c r="JR23" s="38"/>
      <c r="JS23" s="38"/>
      <c r="JT23" s="38"/>
      <c r="JU23" s="38"/>
      <c r="JV23" s="38"/>
      <c r="JW23" s="38"/>
      <c r="JX23" s="38"/>
      <c r="JY23" s="38"/>
      <c r="JZ23" s="38"/>
      <c r="KA23" s="38"/>
      <c r="KB23" s="38"/>
      <c r="KC23" s="38"/>
      <c r="KD23" s="38"/>
      <c r="KE23" s="38"/>
      <c r="KF23" s="38"/>
      <c r="KG23" s="38"/>
      <c r="KH23" s="38"/>
      <c r="KI23" s="38"/>
      <c r="KJ23" s="38"/>
      <c r="KK23" s="38"/>
      <c r="KL23" s="38"/>
      <c r="KM23" s="38"/>
      <c r="KN23" s="38"/>
      <c r="KO23" s="38"/>
      <c r="KP23" s="38"/>
      <c r="KQ23" s="38"/>
      <c r="KR23" s="38"/>
      <c r="KS23" s="38"/>
      <c r="KT23" s="38"/>
      <c r="KU23" s="38"/>
      <c r="KV23" s="38"/>
      <c r="KW23" s="38"/>
      <c r="KX23" s="38"/>
      <c r="KY23" s="38"/>
      <c r="KZ23" s="38"/>
      <c r="LA23" s="38"/>
      <c r="LB23" s="38"/>
      <c r="LC23" s="38"/>
      <c r="LD23" s="38"/>
      <c r="LE23" s="38"/>
      <c r="LF23" s="38"/>
      <c r="LG23" s="38"/>
      <c r="LH23" s="38"/>
      <c r="LI23" s="38"/>
      <c r="LJ23" s="38"/>
      <c r="LK23" s="38"/>
      <c r="LL23" s="38"/>
      <c r="LM23" s="38"/>
      <c r="LN23" s="38"/>
      <c r="LO23" s="38"/>
      <c r="LP23" s="38"/>
      <c r="LQ23" s="38"/>
      <c r="LR23" s="38"/>
      <c r="LS23" s="38"/>
      <c r="LT23" s="38"/>
      <c r="LU23" s="38"/>
      <c r="LV23" s="38"/>
      <c r="LW23" s="38"/>
      <c r="LX23" s="38"/>
      <c r="LY23" s="38"/>
      <c r="LZ23" s="38"/>
      <c r="MA23" s="38"/>
      <c r="MB23" s="38"/>
      <c r="MC23" s="38"/>
      <c r="MD23" s="38"/>
      <c r="ME23" s="38"/>
      <c r="MF23" s="38"/>
      <c r="MG23" s="38"/>
      <c r="MH23" s="38"/>
      <c r="MI23" s="38"/>
      <c r="MJ23" s="38"/>
      <c r="MK23" s="38"/>
      <c r="ML23" s="38"/>
      <c r="MM23" s="38"/>
      <c r="MN23" s="38"/>
      <c r="MO23" s="38"/>
      <c r="MP23" s="38"/>
      <c r="MQ23" s="38"/>
      <c r="MR23" s="38"/>
      <c r="MS23" s="38"/>
      <c r="MT23" s="38"/>
      <c r="MU23" s="38"/>
      <c r="MV23" s="38"/>
      <c r="MW23" s="38"/>
      <c r="MX23" s="38"/>
      <c r="MY23" s="38"/>
      <c r="MZ23" s="38"/>
      <c r="NA23" s="38"/>
      <c r="NB23" s="38"/>
      <c r="NC23" s="38"/>
      <c r="ND23" s="38"/>
      <c r="NE23" s="38"/>
      <c r="NF23" s="38"/>
      <c r="NG23" s="38"/>
      <c r="NH23" s="38"/>
      <c r="NI23" s="38"/>
      <c r="NJ23" s="38"/>
      <c r="NK23" s="38"/>
      <c r="NL23" s="38"/>
      <c r="NM23" s="38"/>
      <c r="NN23" s="38"/>
      <c r="NO23" s="38"/>
      <c r="NP23" s="38"/>
      <c r="NQ23" s="38"/>
      <c r="NR23" s="38"/>
      <c r="NS23" s="38"/>
      <c r="NT23" s="38"/>
      <c r="NU23" s="38"/>
      <c r="NV23" s="38"/>
      <c r="NW23" s="38"/>
      <c r="NX23" s="38"/>
      <c r="NY23" s="38"/>
      <c r="NZ23" s="38"/>
      <c r="OA23" s="38"/>
      <c r="OB23" s="38"/>
      <c r="OC23" s="38"/>
      <c r="OD23" s="38"/>
      <c r="OE23" s="38"/>
      <c r="OF23" s="38"/>
      <c r="OG23" s="38"/>
      <c r="OH23" s="38"/>
      <c r="OI23" s="38"/>
      <c r="OJ23" s="38"/>
      <c r="OK23" s="38"/>
      <c r="OL23" s="38"/>
      <c r="OM23" s="38"/>
      <c r="ON23" s="38"/>
      <c r="OO23" s="38"/>
      <c r="OP23" s="38"/>
      <c r="OQ23" s="38"/>
      <c r="OR23" s="38"/>
      <c r="OS23" s="38"/>
      <c r="OT23" s="38"/>
      <c r="OU23" s="38"/>
      <c r="OV23" s="38"/>
      <c r="OW23" s="38"/>
      <c r="OX23" s="38"/>
      <c r="OY23" s="38"/>
      <c r="OZ23" s="38"/>
      <c r="PA23" s="38"/>
      <c r="PB23" s="38"/>
      <c r="PC23" s="38"/>
      <c r="PD23" s="38"/>
      <c r="PE23" s="38"/>
      <c r="PF23" s="38"/>
      <c r="PG23" s="38"/>
      <c r="PH23" s="38"/>
      <c r="PI23" s="38"/>
      <c r="PJ23" s="38"/>
      <c r="PK23" s="38"/>
      <c r="PL23" s="38"/>
      <c r="PM23" s="38"/>
      <c r="PN23" s="38"/>
      <c r="PO23" s="38"/>
      <c r="PP23" s="38"/>
      <c r="PQ23" s="38"/>
      <c r="PR23" s="38"/>
      <c r="PS23" s="38"/>
      <c r="PT23" s="38"/>
      <c r="PU23" s="38"/>
      <c r="PV23" s="38"/>
      <c r="PW23" s="38"/>
      <c r="PX23" s="38"/>
      <c r="PY23" s="38"/>
      <c r="PZ23" s="38"/>
      <c r="QA23" s="38"/>
      <c r="QB23" s="38"/>
      <c r="QC23" s="38"/>
      <c r="QD23" s="38"/>
      <c r="QE23" s="38"/>
      <c r="QF23" s="38"/>
      <c r="QG23" s="38"/>
      <c r="QH23" s="38"/>
      <c r="QI23" s="38"/>
      <c r="QJ23" s="38"/>
      <c r="QK23" s="38"/>
      <c r="QL23" s="38"/>
      <c r="QM23" s="38"/>
      <c r="QN23" s="38"/>
      <c r="QO23" s="38"/>
      <c r="QP23" s="38"/>
      <c r="QQ23" s="38"/>
      <c r="QR23" s="38"/>
      <c r="QS23" s="38"/>
      <c r="QT23" s="38"/>
      <c r="QU23" s="38"/>
      <c r="QV23" s="38"/>
      <c r="QW23" s="38"/>
      <c r="QX23" s="38"/>
      <c r="QY23" s="38"/>
      <c r="QZ23" s="38"/>
      <c r="RA23" s="38"/>
      <c r="RB23" s="38"/>
      <c r="RC23" s="38"/>
      <c r="RD23" s="38"/>
      <c r="RE23" s="38"/>
      <c r="RF23" s="38"/>
      <c r="RG23" s="38"/>
      <c r="RH23" s="38"/>
      <c r="RI23" s="38"/>
      <c r="RJ23" s="38"/>
      <c r="RK23" s="38"/>
      <c r="RL23" s="38"/>
      <c r="RM23" s="38"/>
      <c r="RN23" s="38"/>
      <c r="RO23" s="38"/>
      <c r="RP23" s="38"/>
      <c r="RQ23" s="38"/>
      <c r="RR23" s="38"/>
      <c r="RS23" s="38"/>
      <c r="RT23" s="38"/>
      <c r="RU23" s="38"/>
      <c r="RV23" s="38"/>
      <c r="RW23" s="38"/>
      <c r="RX23" s="38"/>
      <c r="RY23" s="38"/>
      <c r="RZ23" s="38"/>
      <c r="SA23" s="38"/>
      <c r="SB23" s="38"/>
      <c r="SC23" s="38"/>
      <c r="SD23" s="38"/>
      <c r="SE23" s="38"/>
      <c r="SF23" s="38"/>
      <c r="SG23" s="38"/>
      <c r="SH23" s="38"/>
      <c r="SI23" s="38"/>
      <c r="SJ23" s="38"/>
      <c r="SK23" s="38"/>
      <c r="SL23" s="38"/>
      <c r="SM23" s="38"/>
      <c r="SN23" s="38"/>
      <c r="SO23" s="38"/>
      <c r="SP23" s="38"/>
      <c r="SQ23" s="38"/>
      <c r="SR23" s="38"/>
      <c r="SS23" s="38"/>
      <c r="ST23" s="38"/>
      <c r="SU23" s="38"/>
      <c r="SV23" s="38"/>
      <c r="SW23" s="38"/>
      <c r="SX23" s="38"/>
      <c r="SY23" s="38"/>
      <c r="SZ23" s="38"/>
      <c r="TA23" s="38"/>
      <c r="TB23" s="38"/>
      <c r="TC23" s="38"/>
      <c r="TD23" s="38"/>
      <c r="TE23" s="38"/>
      <c r="TF23" s="38"/>
      <c r="TG23" s="38"/>
      <c r="TH23" s="38"/>
      <c r="TI23" s="38"/>
      <c r="TJ23" s="38"/>
      <c r="TK23" s="38"/>
      <c r="TL23" s="38"/>
      <c r="TM23" s="38"/>
    </row>
    <row r="24" spans="2:533" s="39" customFormat="1" ht="112.5" x14ac:dyDescent="0.25">
      <c r="B24" s="50" t="s">
        <v>25</v>
      </c>
      <c r="C24" s="41"/>
      <c r="D24" s="51" t="s">
        <v>57</v>
      </c>
      <c r="E24" s="52"/>
      <c r="F24" s="53"/>
      <c r="G24" s="54"/>
      <c r="H24" s="46"/>
      <c r="I24" s="55"/>
      <c r="J24" s="48"/>
      <c r="K24" s="47"/>
      <c r="L24" s="49"/>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c r="FU24" s="38"/>
      <c r="FV24" s="38"/>
      <c r="FW24" s="38"/>
      <c r="FX24" s="38"/>
      <c r="FY24" s="38"/>
      <c r="FZ24" s="38"/>
      <c r="GA24" s="38"/>
      <c r="GB24" s="38"/>
      <c r="GC24" s="38"/>
      <c r="GD24" s="38"/>
      <c r="GE24" s="38"/>
      <c r="GF24" s="38"/>
      <c r="GG24" s="38"/>
      <c r="GH24" s="38"/>
      <c r="GI24" s="38"/>
      <c r="GJ24" s="38"/>
      <c r="GK24" s="38"/>
      <c r="GL24" s="38"/>
      <c r="GM24" s="38"/>
      <c r="GN24" s="38"/>
      <c r="GO24" s="38"/>
      <c r="GP24" s="38"/>
      <c r="GQ24" s="38"/>
      <c r="GR24" s="38"/>
      <c r="GS24" s="38"/>
      <c r="GT24" s="38"/>
      <c r="GU24" s="38"/>
      <c r="GV24" s="38"/>
      <c r="GW24" s="38"/>
      <c r="GX24" s="38"/>
      <c r="GY24" s="38"/>
      <c r="GZ24" s="38"/>
      <c r="HA24" s="38"/>
      <c r="HB24" s="38"/>
      <c r="HC24" s="38"/>
      <c r="HD24" s="38"/>
      <c r="HE24" s="38"/>
      <c r="HF24" s="38"/>
      <c r="HG24" s="38"/>
      <c r="HH24" s="38"/>
      <c r="HI24" s="38"/>
      <c r="HJ24" s="38"/>
      <c r="HK24" s="38"/>
      <c r="HL24" s="38"/>
      <c r="HM24" s="38"/>
      <c r="HN24" s="38"/>
      <c r="HO24" s="38"/>
      <c r="HP24" s="38"/>
      <c r="HQ24" s="38"/>
      <c r="HR24" s="38"/>
      <c r="HS24" s="38"/>
      <c r="HT24" s="38"/>
      <c r="HU24" s="38"/>
      <c r="HV24" s="38"/>
      <c r="HW24" s="38"/>
      <c r="HX24" s="38"/>
      <c r="HY24" s="38"/>
      <c r="HZ24" s="38"/>
      <c r="IA24" s="38"/>
      <c r="IB24" s="38"/>
      <c r="IC24" s="38"/>
      <c r="ID24" s="38"/>
      <c r="IE24" s="38"/>
      <c r="IF24" s="38"/>
      <c r="IG24" s="38"/>
      <c r="IH24" s="38"/>
      <c r="II24" s="38"/>
      <c r="IJ24" s="38"/>
      <c r="IK24" s="38"/>
      <c r="IL24" s="38"/>
      <c r="IM24" s="38"/>
      <c r="IN24" s="38"/>
      <c r="IO24" s="38"/>
      <c r="IP24" s="38"/>
      <c r="IQ24" s="38"/>
      <c r="IR24" s="38"/>
      <c r="IS24" s="38"/>
      <c r="IT24" s="38"/>
      <c r="IU24" s="38"/>
      <c r="IV24" s="38"/>
      <c r="IW24" s="38"/>
      <c r="IX24" s="38"/>
      <c r="IY24" s="38"/>
      <c r="IZ24" s="38"/>
      <c r="JA24" s="38"/>
      <c r="JB24" s="38"/>
      <c r="JC24" s="38"/>
      <c r="JD24" s="38"/>
      <c r="JE24" s="38"/>
      <c r="JF24" s="38"/>
      <c r="JG24" s="38"/>
      <c r="JH24" s="38"/>
      <c r="JI24" s="38"/>
      <c r="JJ24" s="38"/>
      <c r="JK24" s="38"/>
      <c r="JL24" s="38"/>
      <c r="JM24" s="38"/>
      <c r="JN24" s="38"/>
      <c r="JO24" s="38"/>
      <c r="JP24" s="38"/>
      <c r="JQ24" s="38"/>
      <c r="JR24" s="38"/>
      <c r="JS24" s="38"/>
      <c r="JT24" s="38"/>
      <c r="JU24" s="38"/>
      <c r="JV24" s="38"/>
      <c r="JW24" s="38"/>
      <c r="JX24" s="38"/>
      <c r="JY24" s="38"/>
      <c r="JZ24" s="38"/>
      <c r="KA24" s="38"/>
      <c r="KB24" s="38"/>
      <c r="KC24" s="38"/>
      <c r="KD24" s="38"/>
      <c r="KE24" s="38"/>
      <c r="KF24" s="38"/>
      <c r="KG24" s="38"/>
      <c r="KH24" s="38"/>
      <c r="KI24" s="38"/>
      <c r="KJ24" s="38"/>
      <c r="KK24" s="38"/>
      <c r="KL24" s="38"/>
      <c r="KM24" s="38"/>
      <c r="KN24" s="38"/>
      <c r="KO24" s="38"/>
      <c r="KP24" s="38"/>
      <c r="KQ24" s="38"/>
      <c r="KR24" s="38"/>
      <c r="KS24" s="38"/>
      <c r="KT24" s="38"/>
      <c r="KU24" s="38"/>
      <c r="KV24" s="38"/>
      <c r="KW24" s="38"/>
      <c r="KX24" s="38"/>
      <c r="KY24" s="38"/>
      <c r="KZ24" s="38"/>
      <c r="LA24" s="38"/>
      <c r="LB24" s="38"/>
      <c r="LC24" s="38"/>
      <c r="LD24" s="38"/>
      <c r="LE24" s="38"/>
      <c r="LF24" s="38"/>
      <c r="LG24" s="38"/>
      <c r="LH24" s="38"/>
      <c r="LI24" s="38"/>
      <c r="LJ24" s="38"/>
      <c r="LK24" s="38"/>
      <c r="LL24" s="38"/>
      <c r="LM24" s="38"/>
      <c r="LN24" s="38"/>
      <c r="LO24" s="38"/>
      <c r="LP24" s="38"/>
      <c r="LQ24" s="38"/>
      <c r="LR24" s="38"/>
      <c r="LS24" s="38"/>
      <c r="LT24" s="38"/>
      <c r="LU24" s="38"/>
      <c r="LV24" s="38"/>
      <c r="LW24" s="38"/>
      <c r="LX24" s="38"/>
      <c r="LY24" s="38"/>
      <c r="LZ24" s="38"/>
      <c r="MA24" s="38"/>
      <c r="MB24" s="38"/>
      <c r="MC24" s="38"/>
      <c r="MD24" s="38"/>
      <c r="ME24" s="38"/>
      <c r="MF24" s="38"/>
      <c r="MG24" s="38"/>
      <c r="MH24" s="38"/>
      <c r="MI24" s="38"/>
      <c r="MJ24" s="38"/>
      <c r="MK24" s="38"/>
      <c r="ML24" s="38"/>
      <c r="MM24" s="38"/>
      <c r="MN24" s="38"/>
      <c r="MO24" s="38"/>
      <c r="MP24" s="38"/>
      <c r="MQ24" s="38"/>
      <c r="MR24" s="38"/>
      <c r="MS24" s="38"/>
      <c r="MT24" s="38"/>
      <c r="MU24" s="38"/>
      <c r="MV24" s="38"/>
      <c r="MW24" s="38"/>
      <c r="MX24" s="38"/>
      <c r="MY24" s="38"/>
      <c r="MZ24" s="38"/>
      <c r="NA24" s="38"/>
      <c r="NB24" s="38"/>
      <c r="NC24" s="38"/>
      <c r="ND24" s="38"/>
      <c r="NE24" s="38"/>
      <c r="NF24" s="38"/>
      <c r="NG24" s="38"/>
      <c r="NH24" s="38"/>
      <c r="NI24" s="38"/>
      <c r="NJ24" s="38"/>
      <c r="NK24" s="38"/>
      <c r="NL24" s="38"/>
      <c r="NM24" s="38"/>
      <c r="NN24" s="38"/>
      <c r="NO24" s="38"/>
      <c r="NP24" s="38"/>
      <c r="NQ24" s="38"/>
      <c r="NR24" s="38"/>
      <c r="NS24" s="38"/>
      <c r="NT24" s="38"/>
      <c r="NU24" s="38"/>
      <c r="NV24" s="38"/>
      <c r="NW24" s="38"/>
      <c r="NX24" s="38"/>
      <c r="NY24" s="38"/>
      <c r="NZ24" s="38"/>
      <c r="OA24" s="38"/>
      <c r="OB24" s="38"/>
      <c r="OC24" s="38"/>
      <c r="OD24" s="38"/>
      <c r="OE24" s="38"/>
      <c r="OF24" s="38"/>
      <c r="OG24" s="38"/>
      <c r="OH24" s="38"/>
      <c r="OI24" s="38"/>
      <c r="OJ24" s="38"/>
      <c r="OK24" s="38"/>
      <c r="OL24" s="38"/>
      <c r="OM24" s="38"/>
      <c r="ON24" s="38"/>
      <c r="OO24" s="38"/>
      <c r="OP24" s="38"/>
      <c r="OQ24" s="38"/>
      <c r="OR24" s="38"/>
      <c r="OS24" s="38"/>
      <c r="OT24" s="38"/>
      <c r="OU24" s="38"/>
      <c r="OV24" s="38"/>
      <c r="OW24" s="38"/>
      <c r="OX24" s="38"/>
      <c r="OY24" s="38"/>
      <c r="OZ24" s="38"/>
      <c r="PA24" s="38"/>
      <c r="PB24" s="38"/>
      <c r="PC24" s="38"/>
      <c r="PD24" s="38"/>
      <c r="PE24" s="38"/>
      <c r="PF24" s="38"/>
      <c r="PG24" s="38"/>
      <c r="PH24" s="38"/>
      <c r="PI24" s="38"/>
      <c r="PJ24" s="38"/>
      <c r="PK24" s="38"/>
      <c r="PL24" s="38"/>
      <c r="PM24" s="38"/>
      <c r="PN24" s="38"/>
      <c r="PO24" s="38"/>
      <c r="PP24" s="38"/>
      <c r="PQ24" s="38"/>
      <c r="PR24" s="38"/>
      <c r="PS24" s="38"/>
      <c r="PT24" s="38"/>
      <c r="PU24" s="38"/>
      <c r="PV24" s="38"/>
      <c r="PW24" s="38"/>
      <c r="PX24" s="38"/>
      <c r="PY24" s="38"/>
      <c r="PZ24" s="38"/>
      <c r="QA24" s="38"/>
      <c r="QB24" s="38"/>
      <c r="QC24" s="38"/>
      <c r="QD24" s="38"/>
      <c r="QE24" s="38"/>
      <c r="QF24" s="38"/>
      <c r="QG24" s="38"/>
      <c r="QH24" s="38"/>
      <c r="QI24" s="38"/>
      <c r="QJ24" s="38"/>
      <c r="QK24" s="38"/>
      <c r="QL24" s="38"/>
      <c r="QM24" s="38"/>
      <c r="QN24" s="38"/>
      <c r="QO24" s="38"/>
      <c r="QP24" s="38"/>
      <c r="QQ24" s="38"/>
      <c r="QR24" s="38"/>
      <c r="QS24" s="38"/>
      <c r="QT24" s="38"/>
      <c r="QU24" s="38"/>
      <c r="QV24" s="38"/>
      <c r="QW24" s="38"/>
      <c r="QX24" s="38"/>
      <c r="QY24" s="38"/>
      <c r="QZ24" s="38"/>
      <c r="RA24" s="38"/>
      <c r="RB24" s="38"/>
      <c r="RC24" s="38"/>
      <c r="RD24" s="38"/>
      <c r="RE24" s="38"/>
      <c r="RF24" s="38"/>
      <c r="RG24" s="38"/>
      <c r="RH24" s="38"/>
      <c r="RI24" s="38"/>
      <c r="RJ24" s="38"/>
      <c r="RK24" s="38"/>
      <c r="RL24" s="38"/>
      <c r="RM24" s="38"/>
      <c r="RN24" s="38"/>
      <c r="RO24" s="38"/>
      <c r="RP24" s="38"/>
      <c r="RQ24" s="38"/>
      <c r="RR24" s="38"/>
      <c r="RS24" s="38"/>
      <c r="RT24" s="38"/>
      <c r="RU24" s="38"/>
      <c r="RV24" s="38"/>
      <c r="RW24" s="38"/>
      <c r="RX24" s="38"/>
      <c r="RY24" s="38"/>
      <c r="RZ24" s="38"/>
      <c r="SA24" s="38"/>
      <c r="SB24" s="38"/>
      <c r="SC24" s="38"/>
      <c r="SD24" s="38"/>
      <c r="SE24" s="38"/>
      <c r="SF24" s="38"/>
      <c r="SG24" s="38"/>
      <c r="SH24" s="38"/>
      <c r="SI24" s="38"/>
      <c r="SJ24" s="38"/>
      <c r="SK24" s="38"/>
      <c r="SL24" s="38"/>
      <c r="SM24" s="38"/>
      <c r="SN24" s="38"/>
      <c r="SO24" s="38"/>
      <c r="SP24" s="38"/>
      <c r="SQ24" s="38"/>
      <c r="SR24" s="38"/>
      <c r="SS24" s="38"/>
      <c r="ST24" s="38"/>
      <c r="SU24" s="38"/>
      <c r="SV24" s="38"/>
      <c r="SW24" s="38"/>
      <c r="SX24" s="38"/>
      <c r="SY24" s="38"/>
      <c r="SZ24" s="38"/>
      <c r="TA24" s="38"/>
      <c r="TB24" s="38"/>
      <c r="TC24" s="38"/>
      <c r="TD24" s="38"/>
      <c r="TE24" s="38"/>
      <c r="TF24" s="38"/>
      <c r="TG24" s="38"/>
      <c r="TH24" s="38"/>
      <c r="TI24" s="38"/>
      <c r="TJ24" s="38"/>
      <c r="TK24" s="38"/>
      <c r="TL24" s="38"/>
      <c r="TM24" s="38"/>
    </row>
    <row r="25" spans="2:533" ht="37.5" x14ac:dyDescent="0.25">
      <c r="B25" s="40" t="s">
        <v>25</v>
      </c>
      <c r="C25" s="41" t="s">
        <v>58</v>
      </c>
      <c r="D25" s="42" t="s">
        <v>59</v>
      </c>
      <c r="E25" s="43" t="s">
        <v>60</v>
      </c>
      <c r="F25" s="44">
        <v>495</v>
      </c>
      <c r="G25" s="58"/>
      <c r="H25" s="59"/>
      <c r="I25" s="60">
        <f t="shared" ref="I25" si="3">F25*G25</f>
        <v>0</v>
      </c>
      <c r="J25" s="61">
        <v>2002</v>
      </c>
      <c r="K25" s="60" t="s">
        <v>30</v>
      </c>
      <c r="L25" s="62"/>
      <c r="M25" s="27"/>
    </row>
    <row r="26" spans="2:533" s="39" customFormat="1" ht="37.5" x14ac:dyDescent="0.25">
      <c r="B26" s="50" t="s">
        <v>25</v>
      </c>
      <c r="C26" s="41" t="s">
        <v>61</v>
      </c>
      <c r="D26" s="56" t="s">
        <v>62</v>
      </c>
      <c r="E26" s="43" t="s">
        <v>60</v>
      </c>
      <c r="F26" s="53">
        <v>263</v>
      </c>
      <c r="G26" s="45"/>
      <c r="H26" s="46"/>
      <c r="I26" s="47">
        <f t="shared" si="2"/>
        <v>0</v>
      </c>
      <c r="J26" s="48">
        <v>2002</v>
      </c>
      <c r="K26" s="47" t="s">
        <v>30</v>
      </c>
      <c r="L26" s="49"/>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c r="DC26" s="38"/>
      <c r="DD26" s="38"/>
      <c r="DE26" s="38"/>
      <c r="DF26" s="38"/>
      <c r="DG26" s="38"/>
      <c r="DH26" s="38"/>
      <c r="DI26" s="38"/>
      <c r="DJ26" s="38"/>
      <c r="DK26" s="38"/>
      <c r="DL26" s="38"/>
      <c r="DM26" s="38"/>
      <c r="DN26" s="38"/>
      <c r="DO26" s="38"/>
      <c r="DP26" s="38"/>
      <c r="DQ26" s="38"/>
      <c r="DR26" s="38"/>
      <c r="DS26" s="38"/>
      <c r="DT26" s="38"/>
      <c r="DU26" s="38"/>
      <c r="DV26" s="38"/>
      <c r="DW26" s="38"/>
      <c r="DX26" s="38"/>
      <c r="DY26" s="38"/>
      <c r="DZ26" s="38"/>
      <c r="EA26" s="38"/>
      <c r="EB26" s="38"/>
      <c r="EC26" s="38"/>
      <c r="ED26" s="38"/>
      <c r="EE26" s="38"/>
      <c r="EF26" s="38"/>
      <c r="EG26" s="38"/>
      <c r="EH26" s="38"/>
      <c r="EI26" s="38"/>
      <c r="EJ26" s="38"/>
      <c r="EK26" s="38"/>
      <c r="EL26" s="38"/>
      <c r="EM26" s="38"/>
      <c r="EN26" s="38"/>
      <c r="EO26" s="38"/>
      <c r="EP26" s="38"/>
      <c r="EQ26" s="38"/>
      <c r="ER26" s="38"/>
      <c r="ES26" s="38"/>
      <c r="ET26" s="38"/>
      <c r="EU26" s="38"/>
      <c r="EV26" s="38"/>
      <c r="EW26" s="38"/>
      <c r="EX26" s="38"/>
      <c r="EY26" s="38"/>
      <c r="EZ26" s="38"/>
      <c r="FA26" s="38"/>
      <c r="FB26" s="38"/>
      <c r="FC26" s="38"/>
      <c r="FD26" s="38"/>
      <c r="FE26" s="38"/>
      <c r="FF26" s="38"/>
      <c r="FG26" s="38"/>
      <c r="FH26" s="38"/>
      <c r="FI26" s="38"/>
      <c r="FJ26" s="38"/>
      <c r="FK26" s="38"/>
      <c r="FL26" s="38"/>
      <c r="FM26" s="38"/>
      <c r="FN26" s="38"/>
      <c r="FO26" s="38"/>
      <c r="FP26" s="38"/>
      <c r="FQ26" s="38"/>
      <c r="FR26" s="38"/>
      <c r="FS26" s="38"/>
      <c r="FT26" s="38"/>
      <c r="FU26" s="38"/>
      <c r="FV26" s="38"/>
      <c r="FW26" s="38"/>
      <c r="FX26" s="38"/>
      <c r="FY26" s="38"/>
      <c r="FZ26" s="38"/>
      <c r="GA26" s="38"/>
      <c r="GB26" s="38"/>
      <c r="GC26" s="38"/>
      <c r="GD26" s="38"/>
      <c r="GE26" s="38"/>
      <c r="GF26" s="38"/>
      <c r="GG26" s="38"/>
      <c r="GH26" s="38"/>
      <c r="GI26" s="38"/>
      <c r="GJ26" s="38"/>
      <c r="GK26" s="38"/>
      <c r="GL26" s="38"/>
      <c r="GM26" s="38"/>
      <c r="GN26" s="38"/>
      <c r="GO26" s="38"/>
      <c r="GP26" s="38"/>
      <c r="GQ26" s="38"/>
      <c r="GR26" s="38"/>
      <c r="GS26" s="38"/>
      <c r="GT26" s="38"/>
      <c r="GU26" s="38"/>
      <c r="GV26" s="38"/>
      <c r="GW26" s="38"/>
      <c r="GX26" s="38"/>
      <c r="GY26" s="38"/>
      <c r="GZ26" s="38"/>
      <c r="HA26" s="38"/>
      <c r="HB26" s="38"/>
      <c r="HC26" s="38"/>
      <c r="HD26" s="38"/>
      <c r="HE26" s="38"/>
      <c r="HF26" s="38"/>
      <c r="HG26" s="38"/>
      <c r="HH26" s="38"/>
      <c r="HI26" s="38"/>
      <c r="HJ26" s="38"/>
      <c r="HK26" s="38"/>
      <c r="HL26" s="38"/>
      <c r="HM26" s="38"/>
      <c r="HN26" s="38"/>
      <c r="HO26" s="38"/>
      <c r="HP26" s="38"/>
      <c r="HQ26" s="38"/>
      <c r="HR26" s="38"/>
      <c r="HS26" s="38"/>
      <c r="HT26" s="38"/>
      <c r="HU26" s="38"/>
      <c r="HV26" s="38"/>
      <c r="HW26" s="38"/>
      <c r="HX26" s="38"/>
      <c r="HY26" s="38"/>
      <c r="HZ26" s="38"/>
      <c r="IA26" s="38"/>
      <c r="IB26" s="38"/>
      <c r="IC26" s="38"/>
      <c r="ID26" s="38"/>
      <c r="IE26" s="38"/>
      <c r="IF26" s="38"/>
      <c r="IG26" s="38"/>
      <c r="IH26" s="38"/>
      <c r="II26" s="38"/>
      <c r="IJ26" s="38"/>
      <c r="IK26" s="38"/>
      <c r="IL26" s="38"/>
      <c r="IM26" s="38"/>
      <c r="IN26" s="38"/>
      <c r="IO26" s="38"/>
      <c r="IP26" s="38"/>
      <c r="IQ26" s="38"/>
      <c r="IR26" s="38"/>
      <c r="IS26" s="38"/>
      <c r="IT26" s="38"/>
      <c r="IU26" s="38"/>
      <c r="IV26" s="38"/>
      <c r="IW26" s="38"/>
      <c r="IX26" s="38"/>
      <c r="IY26" s="38"/>
      <c r="IZ26" s="38"/>
      <c r="JA26" s="38"/>
      <c r="JB26" s="38"/>
      <c r="JC26" s="38"/>
      <c r="JD26" s="38"/>
      <c r="JE26" s="38"/>
      <c r="JF26" s="38"/>
      <c r="JG26" s="38"/>
      <c r="JH26" s="38"/>
      <c r="JI26" s="38"/>
      <c r="JJ26" s="38"/>
      <c r="JK26" s="38"/>
      <c r="JL26" s="38"/>
      <c r="JM26" s="38"/>
      <c r="JN26" s="38"/>
      <c r="JO26" s="38"/>
      <c r="JP26" s="38"/>
      <c r="JQ26" s="38"/>
      <c r="JR26" s="38"/>
      <c r="JS26" s="38"/>
      <c r="JT26" s="38"/>
      <c r="JU26" s="38"/>
      <c r="JV26" s="38"/>
      <c r="JW26" s="38"/>
      <c r="JX26" s="38"/>
      <c r="JY26" s="38"/>
      <c r="JZ26" s="38"/>
      <c r="KA26" s="38"/>
      <c r="KB26" s="38"/>
      <c r="KC26" s="38"/>
      <c r="KD26" s="38"/>
      <c r="KE26" s="38"/>
      <c r="KF26" s="38"/>
      <c r="KG26" s="38"/>
      <c r="KH26" s="38"/>
      <c r="KI26" s="38"/>
      <c r="KJ26" s="38"/>
      <c r="KK26" s="38"/>
      <c r="KL26" s="38"/>
      <c r="KM26" s="38"/>
      <c r="KN26" s="38"/>
      <c r="KO26" s="38"/>
      <c r="KP26" s="38"/>
      <c r="KQ26" s="38"/>
      <c r="KR26" s="38"/>
      <c r="KS26" s="38"/>
      <c r="KT26" s="38"/>
      <c r="KU26" s="38"/>
      <c r="KV26" s="38"/>
      <c r="KW26" s="38"/>
      <c r="KX26" s="38"/>
      <c r="KY26" s="38"/>
      <c r="KZ26" s="38"/>
      <c r="LA26" s="38"/>
      <c r="LB26" s="38"/>
      <c r="LC26" s="38"/>
      <c r="LD26" s="38"/>
      <c r="LE26" s="38"/>
      <c r="LF26" s="38"/>
      <c r="LG26" s="38"/>
      <c r="LH26" s="38"/>
      <c r="LI26" s="38"/>
      <c r="LJ26" s="38"/>
      <c r="LK26" s="38"/>
      <c r="LL26" s="38"/>
      <c r="LM26" s="38"/>
      <c r="LN26" s="38"/>
      <c r="LO26" s="38"/>
      <c r="LP26" s="38"/>
      <c r="LQ26" s="38"/>
      <c r="LR26" s="38"/>
      <c r="LS26" s="38"/>
      <c r="LT26" s="38"/>
      <c r="LU26" s="38"/>
      <c r="LV26" s="38"/>
      <c r="LW26" s="38"/>
      <c r="LX26" s="38"/>
      <c r="LY26" s="38"/>
      <c r="LZ26" s="38"/>
      <c r="MA26" s="38"/>
      <c r="MB26" s="38"/>
      <c r="MC26" s="38"/>
      <c r="MD26" s="38"/>
      <c r="ME26" s="38"/>
      <c r="MF26" s="38"/>
      <c r="MG26" s="38"/>
      <c r="MH26" s="38"/>
      <c r="MI26" s="38"/>
      <c r="MJ26" s="38"/>
      <c r="MK26" s="38"/>
      <c r="ML26" s="38"/>
      <c r="MM26" s="38"/>
      <c r="MN26" s="38"/>
      <c r="MO26" s="38"/>
      <c r="MP26" s="38"/>
      <c r="MQ26" s="38"/>
      <c r="MR26" s="38"/>
      <c r="MS26" s="38"/>
      <c r="MT26" s="38"/>
      <c r="MU26" s="38"/>
      <c r="MV26" s="38"/>
      <c r="MW26" s="38"/>
      <c r="MX26" s="38"/>
      <c r="MY26" s="38"/>
      <c r="MZ26" s="38"/>
      <c r="NA26" s="38"/>
      <c r="NB26" s="38"/>
      <c r="NC26" s="38"/>
      <c r="ND26" s="38"/>
      <c r="NE26" s="38"/>
      <c r="NF26" s="38"/>
      <c r="NG26" s="38"/>
      <c r="NH26" s="38"/>
      <c r="NI26" s="38"/>
      <c r="NJ26" s="38"/>
      <c r="NK26" s="38"/>
      <c r="NL26" s="38"/>
      <c r="NM26" s="38"/>
      <c r="NN26" s="38"/>
      <c r="NO26" s="38"/>
      <c r="NP26" s="38"/>
      <c r="NQ26" s="38"/>
      <c r="NR26" s="38"/>
      <c r="NS26" s="38"/>
      <c r="NT26" s="38"/>
      <c r="NU26" s="38"/>
      <c r="NV26" s="38"/>
      <c r="NW26" s="38"/>
      <c r="NX26" s="38"/>
      <c r="NY26" s="38"/>
      <c r="NZ26" s="38"/>
      <c r="OA26" s="38"/>
      <c r="OB26" s="38"/>
      <c r="OC26" s="38"/>
      <c r="OD26" s="38"/>
      <c r="OE26" s="38"/>
      <c r="OF26" s="38"/>
      <c r="OG26" s="38"/>
      <c r="OH26" s="38"/>
      <c r="OI26" s="38"/>
      <c r="OJ26" s="38"/>
      <c r="OK26" s="38"/>
      <c r="OL26" s="38"/>
      <c r="OM26" s="38"/>
      <c r="ON26" s="38"/>
      <c r="OO26" s="38"/>
      <c r="OP26" s="38"/>
      <c r="OQ26" s="38"/>
      <c r="OR26" s="38"/>
      <c r="OS26" s="38"/>
      <c r="OT26" s="38"/>
      <c r="OU26" s="38"/>
      <c r="OV26" s="38"/>
      <c r="OW26" s="38"/>
      <c r="OX26" s="38"/>
      <c r="OY26" s="38"/>
      <c r="OZ26" s="38"/>
      <c r="PA26" s="38"/>
      <c r="PB26" s="38"/>
      <c r="PC26" s="38"/>
      <c r="PD26" s="38"/>
      <c r="PE26" s="38"/>
      <c r="PF26" s="38"/>
      <c r="PG26" s="38"/>
      <c r="PH26" s="38"/>
      <c r="PI26" s="38"/>
      <c r="PJ26" s="38"/>
      <c r="PK26" s="38"/>
      <c r="PL26" s="38"/>
      <c r="PM26" s="38"/>
      <c r="PN26" s="38"/>
      <c r="PO26" s="38"/>
      <c r="PP26" s="38"/>
      <c r="PQ26" s="38"/>
      <c r="PR26" s="38"/>
      <c r="PS26" s="38"/>
      <c r="PT26" s="38"/>
      <c r="PU26" s="38"/>
      <c r="PV26" s="38"/>
      <c r="PW26" s="38"/>
      <c r="PX26" s="38"/>
      <c r="PY26" s="38"/>
      <c r="PZ26" s="38"/>
      <c r="QA26" s="38"/>
      <c r="QB26" s="38"/>
      <c r="QC26" s="38"/>
      <c r="QD26" s="38"/>
      <c r="QE26" s="38"/>
      <c r="QF26" s="38"/>
      <c r="QG26" s="38"/>
      <c r="QH26" s="38"/>
      <c r="QI26" s="38"/>
      <c r="QJ26" s="38"/>
      <c r="QK26" s="38"/>
      <c r="QL26" s="38"/>
      <c r="QM26" s="38"/>
      <c r="QN26" s="38"/>
      <c r="QO26" s="38"/>
      <c r="QP26" s="38"/>
      <c r="QQ26" s="38"/>
      <c r="QR26" s="38"/>
      <c r="QS26" s="38"/>
      <c r="QT26" s="38"/>
      <c r="QU26" s="38"/>
      <c r="QV26" s="38"/>
      <c r="QW26" s="38"/>
      <c r="QX26" s="38"/>
      <c r="QY26" s="38"/>
      <c r="QZ26" s="38"/>
      <c r="RA26" s="38"/>
      <c r="RB26" s="38"/>
      <c r="RC26" s="38"/>
      <c r="RD26" s="38"/>
      <c r="RE26" s="38"/>
      <c r="RF26" s="38"/>
      <c r="RG26" s="38"/>
      <c r="RH26" s="38"/>
      <c r="RI26" s="38"/>
      <c r="RJ26" s="38"/>
      <c r="RK26" s="38"/>
      <c r="RL26" s="38"/>
      <c r="RM26" s="38"/>
      <c r="RN26" s="38"/>
      <c r="RO26" s="38"/>
      <c r="RP26" s="38"/>
      <c r="RQ26" s="38"/>
      <c r="RR26" s="38"/>
      <c r="RS26" s="38"/>
      <c r="RT26" s="38"/>
      <c r="RU26" s="38"/>
      <c r="RV26" s="38"/>
      <c r="RW26" s="38"/>
      <c r="RX26" s="38"/>
      <c r="RY26" s="38"/>
      <c r="RZ26" s="38"/>
      <c r="SA26" s="38"/>
      <c r="SB26" s="38"/>
      <c r="SC26" s="38"/>
      <c r="SD26" s="38"/>
      <c r="SE26" s="38"/>
      <c r="SF26" s="38"/>
      <c r="SG26" s="38"/>
      <c r="SH26" s="38"/>
      <c r="SI26" s="38"/>
      <c r="SJ26" s="38"/>
      <c r="SK26" s="38"/>
      <c r="SL26" s="38"/>
      <c r="SM26" s="38"/>
      <c r="SN26" s="38"/>
      <c r="SO26" s="38"/>
      <c r="SP26" s="38"/>
      <c r="SQ26" s="38"/>
      <c r="SR26" s="38"/>
      <c r="SS26" s="38"/>
      <c r="ST26" s="38"/>
      <c r="SU26" s="38"/>
      <c r="SV26" s="38"/>
      <c r="SW26" s="38"/>
      <c r="SX26" s="38"/>
      <c r="SY26" s="38"/>
      <c r="SZ26" s="38"/>
      <c r="TA26" s="38"/>
      <c r="TB26" s="38"/>
      <c r="TC26" s="38"/>
      <c r="TD26" s="38"/>
      <c r="TE26" s="38"/>
      <c r="TF26" s="38"/>
      <c r="TG26" s="38"/>
      <c r="TH26" s="38"/>
      <c r="TI26" s="38"/>
      <c r="TJ26" s="38"/>
      <c r="TK26" s="38"/>
      <c r="TL26" s="38"/>
      <c r="TM26" s="38"/>
    </row>
    <row r="27" spans="2:533" s="39" customFormat="1" ht="18.75" x14ac:dyDescent="0.25">
      <c r="B27" s="50" t="s">
        <v>25</v>
      </c>
      <c r="C27" s="41" t="s">
        <v>63</v>
      </c>
      <c r="D27" s="56" t="s">
        <v>64</v>
      </c>
      <c r="E27" s="43" t="s">
        <v>60</v>
      </c>
      <c r="F27" s="53">
        <v>63</v>
      </c>
      <c r="G27" s="45"/>
      <c r="H27" s="46"/>
      <c r="I27" s="47">
        <f t="shared" si="2"/>
        <v>0</v>
      </c>
      <c r="J27" s="48">
        <v>2002</v>
      </c>
      <c r="K27" s="47" t="s">
        <v>30</v>
      </c>
      <c r="L27" s="49"/>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c r="EY27" s="38"/>
      <c r="EZ27" s="38"/>
      <c r="FA27" s="38"/>
      <c r="FB27" s="38"/>
      <c r="FC27" s="38"/>
      <c r="FD27" s="38"/>
      <c r="FE27" s="38"/>
      <c r="FF27" s="38"/>
      <c r="FG27" s="38"/>
      <c r="FH27" s="38"/>
      <c r="FI27" s="38"/>
      <c r="FJ27" s="38"/>
      <c r="FK27" s="38"/>
      <c r="FL27" s="38"/>
      <c r="FM27" s="38"/>
      <c r="FN27" s="38"/>
      <c r="FO27" s="38"/>
      <c r="FP27" s="38"/>
      <c r="FQ27" s="38"/>
      <c r="FR27" s="38"/>
      <c r="FS27" s="38"/>
      <c r="FT27" s="38"/>
      <c r="FU27" s="38"/>
      <c r="FV27" s="38"/>
      <c r="FW27" s="38"/>
      <c r="FX27" s="38"/>
      <c r="FY27" s="38"/>
      <c r="FZ27" s="38"/>
      <c r="GA27" s="38"/>
      <c r="GB27" s="38"/>
      <c r="GC27" s="38"/>
      <c r="GD27" s="38"/>
      <c r="GE27" s="38"/>
      <c r="GF27" s="38"/>
      <c r="GG27" s="38"/>
      <c r="GH27" s="38"/>
      <c r="GI27" s="38"/>
      <c r="GJ27" s="38"/>
      <c r="GK27" s="38"/>
      <c r="GL27" s="38"/>
      <c r="GM27" s="38"/>
      <c r="GN27" s="38"/>
      <c r="GO27" s="38"/>
      <c r="GP27" s="38"/>
      <c r="GQ27" s="38"/>
      <c r="GR27" s="38"/>
      <c r="GS27" s="38"/>
      <c r="GT27" s="38"/>
      <c r="GU27" s="38"/>
      <c r="GV27" s="38"/>
      <c r="GW27" s="38"/>
      <c r="GX27" s="38"/>
      <c r="GY27" s="38"/>
      <c r="GZ27" s="38"/>
      <c r="HA27" s="38"/>
      <c r="HB27" s="38"/>
      <c r="HC27" s="38"/>
      <c r="HD27" s="38"/>
      <c r="HE27" s="38"/>
      <c r="HF27" s="38"/>
      <c r="HG27" s="38"/>
      <c r="HH27" s="38"/>
      <c r="HI27" s="38"/>
      <c r="HJ27" s="38"/>
      <c r="HK27" s="38"/>
      <c r="HL27" s="38"/>
      <c r="HM27" s="38"/>
      <c r="HN27" s="38"/>
      <c r="HO27" s="38"/>
      <c r="HP27" s="38"/>
      <c r="HQ27" s="38"/>
      <c r="HR27" s="38"/>
      <c r="HS27" s="38"/>
      <c r="HT27" s="38"/>
      <c r="HU27" s="38"/>
      <c r="HV27" s="38"/>
      <c r="HW27" s="38"/>
      <c r="HX27" s="38"/>
      <c r="HY27" s="38"/>
      <c r="HZ27" s="38"/>
      <c r="IA27" s="38"/>
      <c r="IB27" s="38"/>
      <c r="IC27" s="38"/>
      <c r="ID27" s="38"/>
      <c r="IE27" s="38"/>
      <c r="IF27" s="38"/>
      <c r="IG27" s="38"/>
      <c r="IH27" s="38"/>
      <c r="II27" s="38"/>
      <c r="IJ27" s="38"/>
      <c r="IK27" s="38"/>
      <c r="IL27" s="38"/>
      <c r="IM27" s="38"/>
      <c r="IN27" s="38"/>
      <c r="IO27" s="38"/>
      <c r="IP27" s="38"/>
      <c r="IQ27" s="38"/>
      <c r="IR27" s="38"/>
      <c r="IS27" s="38"/>
      <c r="IT27" s="38"/>
      <c r="IU27" s="38"/>
      <c r="IV27" s="38"/>
      <c r="IW27" s="38"/>
      <c r="IX27" s="38"/>
      <c r="IY27" s="38"/>
      <c r="IZ27" s="38"/>
      <c r="JA27" s="38"/>
      <c r="JB27" s="38"/>
      <c r="JC27" s="38"/>
      <c r="JD27" s="38"/>
      <c r="JE27" s="38"/>
      <c r="JF27" s="38"/>
      <c r="JG27" s="38"/>
      <c r="JH27" s="38"/>
      <c r="JI27" s="38"/>
      <c r="JJ27" s="38"/>
      <c r="JK27" s="38"/>
      <c r="JL27" s="38"/>
      <c r="JM27" s="38"/>
      <c r="JN27" s="38"/>
      <c r="JO27" s="38"/>
      <c r="JP27" s="38"/>
      <c r="JQ27" s="38"/>
      <c r="JR27" s="38"/>
      <c r="JS27" s="38"/>
      <c r="JT27" s="38"/>
      <c r="JU27" s="38"/>
      <c r="JV27" s="38"/>
      <c r="JW27" s="38"/>
      <c r="JX27" s="38"/>
      <c r="JY27" s="38"/>
      <c r="JZ27" s="38"/>
      <c r="KA27" s="38"/>
      <c r="KB27" s="38"/>
      <c r="KC27" s="38"/>
      <c r="KD27" s="38"/>
      <c r="KE27" s="38"/>
      <c r="KF27" s="38"/>
      <c r="KG27" s="38"/>
      <c r="KH27" s="38"/>
      <c r="KI27" s="38"/>
      <c r="KJ27" s="38"/>
      <c r="KK27" s="38"/>
      <c r="KL27" s="38"/>
      <c r="KM27" s="38"/>
      <c r="KN27" s="38"/>
      <c r="KO27" s="38"/>
      <c r="KP27" s="38"/>
      <c r="KQ27" s="38"/>
      <c r="KR27" s="38"/>
      <c r="KS27" s="38"/>
      <c r="KT27" s="38"/>
      <c r="KU27" s="38"/>
      <c r="KV27" s="38"/>
      <c r="KW27" s="38"/>
      <c r="KX27" s="38"/>
      <c r="KY27" s="38"/>
      <c r="KZ27" s="38"/>
      <c r="LA27" s="38"/>
      <c r="LB27" s="38"/>
      <c r="LC27" s="38"/>
      <c r="LD27" s="38"/>
      <c r="LE27" s="38"/>
      <c r="LF27" s="38"/>
      <c r="LG27" s="38"/>
      <c r="LH27" s="38"/>
      <c r="LI27" s="38"/>
      <c r="LJ27" s="38"/>
      <c r="LK27" s="38"/>
      <c r="LL27" s="38"/>
      <c r="LM27" s="38"/>
      <c r="LN27" s="38"/>
      <c r="LO27" s="38"/>
      <c r="LP27" s="38"/>
      <c r="LQ27" s="38"/>
      <c r="LR27" s="38"/>
      <c r="LS27" s="38"/>
      <c r="LT27" s="38"/>
      <c r="LU27" s="38"/>
      <c r="LV27" s="38"/>
      <c r="LW27" s="38"/>
      <c r="LX27" s="38"/>
      <c r="LY27" s="38"/>
      <c r="LZ27" s="38"/>
      <c r="MA27" s="38"/>
      <c r="MB27" s="38"/>
      <c r="MC27" s="38"/>
      <c r="MD27" s="38"/>
      <c r="ME27" s="38"/>
      <c r="MF27" s="38"/>
      <c r="MG27" s="38"/>
      <c r="MH27" s="38"/>
      <c r="MI27" s="38"/>
      <c r="MJ27" s="38"/>
      <c r="MK27" s="38"/>
      <c r="ML27" s="38"/>
      <c r="MM27" s="38"/>
      <c r="MN27" s="38"/>
      <c r="MO27" s="38"/>
      <c r="MP27" s="38"/>
      <c r="MQ27" s="38"/>
      <c r="MR27" s="38"/>
      <c r="MS27" s="38"/>
      <c r="MT27" s="38"/>
      <c r="MU27" s="38"/>
      <c r="MV27" s="38"/>
      <c r="MW27" s="38"/>
      <c r="MX27" s="38"/>
      <c r="MY27" s="38"/>
      <c r="MZ27" s="38"/>
      <c r="NA27" s="38"/>
      <c r="NB27" s="38"/>
      <c r="NC27" s="38"/>
      <c r="ND27" s="38"/>
      <c r="NE27" s="38"/>
      <c r="NF27" s="38"/>
      <c r="NG27" s="38"/>
      <c r="NH27" s="38"/>
      <c r="NI27" s="38"/>
      <c r="NJ27" s="38"/>
      <c r="NK27" s="38"/>
      <c r="NL27" s="38"/>
      <c r="NM27" s="38"/>
      <c r="NN27" s="38"/>
      <c r="NO27" s="38"/>
      <c r="NP27" s="38"/>
      <c r="NQ27" s="38"/>
      <c r="NR27" s="38"/>
      <c r="NS27" s="38"/>
      <c r="NT27" s="38"/>
      <c r="NU27" s="38"/>
      <c r="NV27" s="38"/>
      <c r="NW27" s="38"/>
      <c r="NX27" s="38"/>
      <c r="NY27" s="38"/>
      <c r="NZ27" s="38"/>
      <c r="OA27" s="38"/>
      <c r="OB27" s="38"/>
      <c r="OC27" s="38"/>
      <c r="OD27" s="38"/>
      <c r="OE27" s="38"/>
      <c r="OF27" s="38"/>
      <c r="OG27" s="38"/>
      <c r="OH27" s="38"/>
      <c r="OI27" s="38"/>
      <c r="OJ27" s="38"/>
      <c r="OK27" s="38"/>
      <c r="OL27" s="38"/>
      <c r="OM27" s="38"/>
      <c r="ON27" s="38"/>
      <c r="OO27" s="38"/>
      <c r="OP27" s="38"/>
      <c r="OQ27" s="38"/>
      <c r="OR27" s="38"/>
      <c r="OS27" s="38"/>
      <c r="OT27" s="38"/>
      <c r="OU27" s="38"/>
      <c r="OV27" s="38"/>
      <c r="OW27" s="38"/>
      <c r="OX27" s="38"/>
      <c r="OY27" s="38"/>
      <c r="OZ27" s="38"/>
      <c r="PA27" s="38"/>
      <c r="PB27" s="38"/>
      <c r="PC27" s="38"/>
      <c r="PD27" s="38"/>
      <c r="PE27" s="38"/>
      <c r="PF27" s="38"/>
      <c r="PG27" s="38"/>
      <c r="PH27" s="38"/>
      <c r="PI27" s="38"/>
      <c r="PJ27" s="38"/>
      <c r="PK27" s="38"/>
      <c r="PL27" s="38"/>
      <c r="PM27" s="38"/>
      <c r="PN27" s="38"/>
      <c r="PO27" s="38"/>
      <c r="PP27" s="38"/>
      <c r="PQ27" s="38"/>
      <c r="PR27" s="38"/>
      <c r="PS27" s="38"/>
      <c r="PT27" s="38"/>
      <c r="PU27" s="38"/>
      <c r="PV27" s="38"/>
      <c r="PW27" s="38"/>
      <c r="PX27" s="38"/>
      <c r="PY27" s="38"/>
      <c r="PZ27" s="38"/>
      <c r="QA27" s="38"/>
      <c r="QB27" s="38"/>
      <c r="QC27" s="38"/>
      <c r="QD27" s="38"/>
      <c r="QE27" s="38"/>
      <c r="QF27" s="38"/>
      <c r="QG27" s="38"/>
      <c r="QH27" s="38"/>
      <c r="QI27" s="38"/>
      <c r="QJ27" s="38"/>
      <c r="QK27" s="38"/>
      <c r="QL27" s="38"/>
      <c r="QM27" s="38"/>
      <c r="QN27" s="38"/>
      <c r="QO27" s="38"/>
      <c r="QP27" s="38"/>
      <c r="QQ27" s="38"/>
      <c r="QR27" s="38"/>
      <c r="QS27" s="38"/>
      <c r="QT27" s="38"/>
      <c r="QU27" s="38"/>
      <c r="QV27" s="38"/>
      <c r="QW27" s="38"/>
      <c r="QX27" s="38"/>
      <c r="QY27" s="38"/>
      <c r="QZ27" s="38"/>
      <c r="RA27" s="38"/>
      <c r="RB27" s="38"/>
      <c r="RC27" s="38"/>
      <c r="RD27" s="38"/>
      <c r="RE27" s="38"/>
      <c r="RF27" s="38"/>
      <c r="RG27" s="38"/>
      <c r="RH27" s="38"/>
      <c r="RI27" s="38"/>
      <c r="RJ27" s="38"/>
      <c r="RK27" s="38"/>
      <c r="RL27" s="38"/>
      <c r="RM27" s="38"/>
      <c r="RN27" s="38"/>
      <c r="RO27" s="38"/>
      <c r="RP27" s="38"/>
      <c r="RQ27" s="38"/>
      <c r="RR27" s="38"/>
      <c r="RS27" s="38"/>
      <c r="RT27" s="38"/>
      <c r="RU27" s="38"/>
      <c r="RV27" s="38"/>
      <c r="RW27" s="38"/>
      <c r="RX27" s="38"/>
      <c r="RY27" s="38"/>
      <c r="RZ27" s="38"/>
      <c r="SA27" s="38"/>
      <c r="SB27" s="38"/>
      <c r="SC27" s="38"/>
      <c r="SD27" s="38"/>
      <c r="SE27" s="38"/>
      <c r="SF27" s="38"/>
      <c r="SG27" s="38"/>
      <c r="SH27" s="38"/>
      <c r="SI27" s="38"/>
      <c r="SJ27" s="38"/>
      <c r="SK27" s="38"/>
      <c r="SL27" s="38"/>
      <c r="SM27" s="38"/>
      <c r="SN27" s="38"/>
      <c r="SO27" s="38"/>
      <c r="SP27" s="38"/>
      <c r="SQ27" s="38"/>
      <c r="SR27" s="38"/>
      <c r="SS27" s="38"/>
      <c r="ST27" s="38"/>
      <c r="SU27" s="38"/>
      <c r="SV27" s="38"/>
      <c r="SW27" s="38"/>
      <c r="SX27" s="38"/>
      <c r="SY27" s="38"/>
      <c r="SZ27" s="38"/>
      <c r="TA27" s="38"/>
      <c r="TB27" s="38"/>
      <c r="TC27" s="38"/>
      <c r="TD27" s="38"/>
      <c r="TE27" s="38"/>
      <c r="TF27" s="38"/>
      <c r="TG27" s="38"/>
      <c r="TH27" s="38"/>
      <c r="TI27" s="38"/>
      <c r="TJ27" s="38"/>
      <c r="TK27" s="38"/>
      <c r="TL27" s="38"/>
      <c r="TM27" s="38"/>
    </row>
    <row r="28" spans="2:533" s="39" customFormat="1" ht="112.5" x14ac:dyDescent="0.25">
      <c r="B28" s="40" t="s">
        <v>65</v>
      </c>
      <c r="C28" s="41"/>
      <c r="D28" s="63" t="s">
        <v>66</v>
      </c>
      <c r="E28" s="64"/>
      <c r="F28" s="53"/>
      <c r="G28" s="45"/>
      <c r="H28" s="46"/>
      <c r="I28" s="55"/>
      <c r="J28" s="48"/>
      <c r="K28" s="47"/>
      <c r="L28" s="49"/>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c r="DC28" s="38"/>
      <c r="DD28" s="38"/>
      <c r="DE28" s="38"/>
      <c r="DF28" s="38"/>
      <c r="DG28" s="38"/>
      <c r="DH28" s="38"/>
      <c r="DI28" s="38"/>
      <c r="DJ28" s="38"/>
      <c r="DK28" s="38"/>
      <c r="DL28" s="38"/>
      <c r="DM28" s="38"/>
      <c r="DN28" s="38"/>
      <c r="DO28" s="38"/>
      <c r="DP28" s="38"/>
      <c r="DQ28" s="38"/>
      <c r="DR28" s="38"/>
      <c r="DS28" s="38"/>
      <c r="DT28" s="38"/>
      <c r="DU28" s="38"/>
      <c r="DV28" s="38"/>
      <c r="DW28" s="38"/>
      <c r="DX28" s="38"/>
      <c r="DY28" s="38"/>
      <c r="DZ28" s="38"/>
      <c r="EA28" s="38"/>
      <c r="EB28" s="38"/>
      <c r="EC28" s="38"/>
      <c r="ED28" s="38"/>
      <c r="EE28" s="38"/>
      <c r="EF28" s="38"/>
      <c r="EG28" s="38"/>
      <c r="EH28" s="38"/>
      <c r="EI28" s="38"/>
      <c r="EJ28" s="38"/>
      <c r="EK28" s="38"/>
      <c r="EL28" s="38"/>
      <c r="EM28" s="38"/>
      <c r="EN28" s="38"/>
      <c r="EO28" s="38"/>
      <c r="EP28" s="38"/>
      <c r="EQ28" s="38"/>
      <c r="ER28" s="38"/>
      <c r="ES28" s="38"/>
      <c r="ET28" s="38"/>
      <c r="EU28" s="38"/>
      <c r="EV28" s="38"/>
      <c r="EW28" s="38"/>
      <c r="EX28" s="38"/>
      <c r="EY28" s="38"/>
      <c r="EZ28" s="38"/>
      <c r="FA28" s="38"/>
      <c r="FB28" s="38"/>
      <c r="FC28" s="38"/>
      <c r="FD28" s="38"/>
      <c r="FE28" s="38"/>
      <c r="FF28" s="38"/>
      <c r="FG28" s="38"/>
      <c r="FH28" s="38"/>
      <c r="FI28" s="38"/>
      <c r="FJ28" s="38"/>
      <c r="FK28" s="38"/>
      <c r="FL28" s="38"/>
      <c r="FM28" s="38"/>
      <c r="FN28" s="38"/>
      <c r="FO28" s="38"/>
      <c r="FP28" s="38"/>
      <c r="FQ28" s="38"/>
      <c r="FR28" s="38"/>
      <c r="FS28" s="38"/>
      <c r="FT28" s="38"/>
      <c r="FU28" s="38"/>
      <c r="FV28" s="38"/>
      <c r="FW28" s="38"/>
      <c r="FX28" s="38"/>
      <c r="FY28" s="38"/>
      <c r="FZ28" s="38"/>
      <c r="GA28" s="38"/>
      <c r="GB28" s="38"/>
      <c r="GC28" s="38"/>
      <c r="GD28" s="38"/>
      <c r="GE28" s="38"/>
      <c r="GF28" s="38"/>
      <c r="GG28" s="38"/>
      <c r="GH28" s="38"/>
      <c r="GI28" s="38"/>
      <c r="GJ28" s="38"/>
      <c r="GK28" s="38"/>
      <c r="GL28" s="38"/>
      <c r="GM28" s="38"/>
      <c r="GN28" s="38"/>
      <c r="GO28" s="38"/>
      <c r="GP28" s="38"/>
      <c r="GQ28" s="38"/>
      <c r="GR28" s="38"/>
      <c r="GS28" s="38"/>
      <c r="GT28" s="38"/>
      <c r="GU28" s="38"/>
      <c r="GV28" s="38"/>
      <c r="GW28" s="38"/>
      <c r="GX28" s="38"/>
      <c r="GY28" s="38"/>
      <c r="GZ28" s="38"/>
      <c r="HA28" s="38"/>
      <c r="HB28" s="38"/>
      <c r="HC28" s="38"/>
      <c r="HD28" s="38"/>
      <c r="HE28" s="38"/>
      <c r="HF28" s="38"/>
      <c r="HG28" s="38"/>
      <c r="HH28" s="38"/>
      <c r="HI28" s="38"/>
      <c r="HJ28" s="38"/>
      <c r="HK28" s="38"/>
      <c r="HL28" s="38"/>
      <c r="HM28" s="38"/>
      <c r="HN28" s="38"/>
      <c r="HO28" s="38"/>
      <c r="HP28" s="38"/>
      <c r="HQ28" s="38"/>
      <c r="HR28" s="38"/>
      <c r="HS28" s="38"/>
      <c r="HT28" s="38"/>
      <c r="HU28" s="38"/>
      <c r="HV28" s="38"/>
      <c r="HW28" s="38"/>
      <c r="HX28" s="38"/>
      <c r="HY28" s="38"/>
      <c r="HZ28" s="38"/>
      <c r="IA28" s="38"/>
      <c r="IB28" s="38"/>
      <c r="IC28" s="38"/>
      <c r="ID28" s="38"/>
      <c r="IE28" s="38"/>
      <c r="IF28" s="38"/>
      <c r="IG28" s="38"/>
      <c r="IH28" s="38"/>
      <c r="II28" s="38"/>
      <c r="IJ28" s="38"/>
      <c r="IK28" s="38"/>
      <c r="IL28" s="38"/>
      <c r="IM28" s="38"/>
      <c r="IN28" s="38"/>
      <c r="IO28" s="38"/>
      <c r="IP28" s="38"/>
      <c r="IQ28" s="38"/>
      <c r="IR28" s="38"/>
      <c r="IS28" s="38"/>
      <c r="IT28" s="38"/>
      <c r="IU28" s="38"/>
      <c r="IV28" s="38"/>
      <c r="IW28" s="38"/>
      <c r="IX28" s="38"/>
      <c r="IY28" s="38"/>
      <c r="IZ28" s="38"/>
      <c r="JA28" s="38"/>
      <c r="JB28" s="38"/>
      <c r="JC28" s="38"/>
      <c r="JD28" s="38"/>
      <c r="JE28" s="38"/>
      <c r="JF28" s="38"/>
      <c r="JG28" s="38"/>
      <c r="JH28" s="38"/>
      <c r="JI28" s="38"/>
      <c r="JJ28" s="38"/>
      <c r="JK28" s="38"/>
      <c r="JL28" s="38"/>
      <c r="JM28" s="38"/>
      <c r="JN28" s="38"/>
      <c r="JO28" s="38"/>
      <c r="JP28" s="38"/>
      <c r="JQ28" s="38"/>
      <c r="JR28" s="38"/>
      <c r="JS28" s="38"/>
      <c r="JT28" s="38"/>
      <c r="JU28" s="38"/>
      <c r="JV28" s="38"/>
      <c r="JW28" s="38"/>
      <c r="JX28" s="38"/>
      <c r="JY28" s="38"/>
      <c r="JZ28" s="38"/>
      <c r="KA28" s="38"/>
      <c r="KB28" s="38"/>
      <c r="KC28" s="38"/>
      <c r="KD28" s="38"/>
      <c r="KE28" s="38"/>
      <c r="KF28" s="38"/>
      <c r="KG28" s="38"/>
      <c r="KH28" s="38"/>
      <c r="KI28" s="38"/>
      <c r="KJ28" s="38"/>
      <c r="KK28" s="38"/>
      <c r="KL28" s="38"/>
      <c r="KM28" s="38"/>
      <c r="KN28" s="38"/>
      <c r="KO28" s="38"/>
      <c r="KP28" s="38"/>
      <c r="KQ28" s="38"/>
      <c r="KR28" s="38"/>
      <c r="KS28" s="38"/>
      <c r="KT28" s="38"/>
      <c r="KU28" s="38"/>
      <c r="KV28" s="38"/>
      <c r="KW28" s="38"/>
      <c r="KX28" s="38"/>
      <c r="KY28" s="38"/>
      <c r="KZ28" s="38"/>
      <c r="LA28" s="38"/>
      <c r="LB28" s="38"/>
      <c r="LC28" s="38"/>
      <c r="LD28" s="38"/>
      <c r="LE28" s="38"/>
      <c r="LF28" s="38"/>
      <c r="LG28" s="38"/>
      <c r="LH28" s="38"/>
      <c r="LI28" s="38"/>
      <c r="LJ28" s="38"/>
      <c r="LK28" s="38"/>
      <c r="LL28" s="38"/>
      <c r="LM28" s="38"/>
      <c r="LN28" s="38"/>
      <c r="LO28" s="38"/>
      <c r="LP28" s="38"/>
      <c r="LQ28" s="38"/>
      <c r="LR28" s="38"/>
      <c r="LS28" s="38"/>
      <c r="LT28" s="38"/>
      <c r="LU28" s="38"/>
      <c r="LV28" s="38"/>
      <c r="LW28" s="38"/>
      <c r="LX28" s="38"/>
      <c r="LY28" s="38"/>
      <c r="LZ28" s="38"/>
      <c r="MA28" s="38"/>
      <c r="MB28" s="38"/>
      <c r="MC28" s="38"/>
      <c r="MD28" s="38"/>
      <c r="ME28" s="38"/>
      <c r="MF28" s="38"/>
      <c r="MG28" s="38"/>
      <c r="MH28" s="38"/>
      <c r="MI28" s="38"/>
      <c r="MJ28" s="38"/>
      <c r="MK28" s="38"/>
      <c r="ML28" s="38"/>
      <c r="MM28" s="38"/>
      <c r="MN28" s="38"/>
      <c r="MO28" s="38"/>
      <c r="MP28" s="38"/>
      <c r="MQ28" s="38"/>
      <c r="MR28" s="38"/>
      <c r="MS28" s="38"/>
      <c r="MT28" s="38"/>
      <c r="MU28" s="38"/>
      <c r="MV28" s="38"/>
      <c r="MW28" s="38"/>
      <c r="MX28" s="38"/>
      <c r="MY28" s="38"/>
      <c r="MZ28" s="38"/>
      <c r="NA28" s="38"/>
      <c r="NB28" s="38"/>
      <c r="NC28" s="38"/>
      <c r="ND28" s="38"/>
      <c r="NE28" s="38"/>
      <c r="NF28" s="38"/>
      <c r="NG28" s="38"/>
      <c r="NH28" s="38"/>
      <c r="NI28" s="38"/>
      <c r="NJ28" s="38"/>
      <c r="NK28" s="38"/>
      <c r="NL28" s="38"/>
      <c r="NM28" s="38"/>
      <c r="NN28" s="38"/>
      <c r="NO28" s="38"/>
      <c r="NP28" s="38"/>
      <c r="NQ28" s="38"/>
      <c r="NR28" s="38"/>
      <c r="NS28" s="38"/>
      <c r="NT28" s="38"/>
      <c r="NU28" s="38"/>
      <c r="NV28" s="38"/>
      <c r="NW28" s="38"/>
      <c r="NX28" s="38"/>
      <c r="NY28" s="38"/>
      <c r="NZ28" s="38"/>
      <c r="OA28" s="38"/>
      <c r="OB28" s="38"/>
      <c r="OC28" s="38"/>
      <c r="OD28" s="38"/>
      <c r="OE28" s="38"/>
      <c r="OF28" s="38"/>
      <c r="OG28" s="38"/>
      <c r="OH28" s="38"/>
      <c r="OI28" s="38"/>
      <c r="OJ28" s="38"/>
      <c r="OK28" s="38"/>
      <c r="OL28" s="38"/>
      <c r="OM28" s="38"/>
      <c r="ON28" s="38"/>
      <c r="OO28" s="38"/>
      <c r="OP28" s="38"/>
      <c r="OQ28" s="38"/>
      <c r="OR28" s="38"/>
      <c r="OS28" s="38"/>
      <c r="OT28" s="38"/>
      <c r="OU28" s="38"/>
      <c r="OV28" s="38"/>
      <c r="OW28" s="38"/>
      <c r="OX28" s="38"/>
      <c r="OY28" s="38"/>
      <c r="OZ28" s="38"/>
      <c r="PA28" s="38"/>
      <c r="PB28" s="38"/>
      <c r="PC28" s="38"/>
      <c r="PD28" s="38"/>
      <c r="PE28" s="38"/>
      <c r="PF28" s="38"/>
      <c r="PG28" s="38"/>
      <c r="PH28" s="38"/>
      <c r="PI28" s="38"/>
      <c r="PJ28" s="38"/>
      <c r="PK28" s="38"/>
      <c r="PL28" s="38"/>
      <c r="PM28" s="38"/>
      <c r="PN28" s="38"/>
      <c r="PO28" s="38"/>
      <c r="PP28" s="38"/>
      <c r="PQ28" s="38"/>
      <c r="PR28" s="38"/>
      <c r="PS28" s="38"/>
      <c r="PT28" s="38"/>
      <c r="PU28" s="38"/>
      <c r="PV28" s="38"/>
      <c r="PW28" s="38"/>
      <c r="PX28" s="38"/>
      <c r="PY28" s="38"/>
      <c r="PZ28" s="38"/>
      <c r="QA28" s="38"/>
      <c r="QB28" s="38"/>
      <c r="QC28" s="38"/>
      <c r="QD28" s="38"/>
      <c r="QE28" s="38"/>
      <c r="QF28" s="38"/>
      <c r="QG28" s="38"/>
      <c r="QH28" s="38"/>
      <c r="QI28" s="38"/>
      <c r="QJ28" s="38"/>
      <c r="QK28" s="38"/>
      <c r="QL28" s="38"/>
      <c r="QM28" s="38"/>
      <c r="QN28" s="38"/>
      <c r="QO28" s="38"/>
      <c r="QP28" s="38"/>
      <c r="QQ28" s="38"/>
      <c r="QR28" s="38"/>
      <c r="QS28" s="38"/>
      <c r="QT28" s="38"/>
      <c r="QU28" s="38"/>
      <c r="QV28" s="38"/>
      <c r="QW28" s="38"/>
      <c r="QX28" s="38"/>
      <c r="QY28" s="38"/>
      <c r="QZ28" s="38"/>
      <c r="RA28" s="38"/>
      <c r="RB28" s="38"/>
      <c r="RC28" s="38"/>
      <c r="RD28" s="38"/>
      <c r="RE28" s="38"/>
      <c r="RF28" s="38"/>
      <c r="RG28" s="38"/>
      <c r="RH28" s="38"/>
      <c r="RI28" s="38"/>
      <c r="RJ28" s="38"/>
      <c r="RK28" s="38"/>
      <c r="RL28" s="38"/>
      <c r="RM28" s="38"/>
      <c r="RN28" s="38"/>
      <c r="RO28" s="38"/>
      <c r="RP28" s="38"/>
      <c r="RQ28" s="38"/>
      <c r="RR28" s="38"/>
      <c r="RS28" s="38"/>
      <c r="RT28" s="38"/>
      <c r="RU28" s="38"/>
      <c r="RV28" s="38"/>
      <c r="RW28" s="38"/>
      <c r="RX28" s="38"/>
      <c r="RY28" s="38"/>
      <c r="RZ28" s="38"/>
      <c r="SA28" s="38"/>
      <c r="SB28" s="38"/>
      <c r="SC28" s="38"/>
      <c r="SD28" s="38"/>
      <c r="SE28" s="38"/>
      <c r="SF28" s="38"/>
      <c r="SG28" s="38"/>
      <c r="SH28" s="38"/>
      <c r="SI28" s="38"/>
      <c r="SJ28" s="38"/>
      <c r="SK28" s="38"/>
      <c r="SL28" s="38"/>
      <c r="SM28" s="38"/>
      <c r="SN28" s="38"/>
      <c r="SO28" s="38"/>
      <c r="SP28" s="38"/>
      <c r="SQ28" s="38"/>
      <c r="SR28" s="38"/>
      <c r="SS28" s="38"/>
      <c r="ST28" s="38"/>
      <c r="SU28" s="38"/>
      <c r="SV28" s="38"/>
      <c r="SW28" s="38"/>
      <c r="SX28" s="38"/>
      <c r="SY28" s="38"/>
      <c r="SZ28" s="38"/>
      <c r="TA28" s="38"/>
      <c r="TB28" s="38"/>
      <c r="TC28" s="38"/>
      <c r="TD28" s="38"/>
      <c r="TE28" s="38"/>
      <c r="TF28" s="38"/>
      <c r="TG28" s="38"/>
      <c r="TH28" s="38"/>
      <c r="TI28" s="38"/>
      <c r="TJ28" s="38"/>
      <c r="TK28" s="38"/>
      <c r="TL28" s="38"/>
      <c r="TM28" s="38"/>
    </row>
    <row r="29" spans="2:533" ht="18.75" x14ac:dyDescent="0.25">
      <c r="B29" s="40" t="s">
        <v>65</v>
      </c>
      <c r="C29" s="41" t="s">
        <v>67</v>
      </c>
      <c r="D29" s="42" t="s">
        <v>68</v>
      </c>
      <c r="E29" s="65" t="s">
        <v>69</v>
      </c>
      <c r="F29" s="44">
        <v>122</v>
      </c>
      <c r="G29" s="58"/>
      <c r="H29" s="59"/>
      <c r="I29" s="60">
        <f>F29*G29</f>
        <v>0</v>
      </c>
      <c r="J29" s="40" t="s">
        <v>70</v>
      </c>
      <c r="K29" s="60" t="s">
        <v>30</v>
      </c>
      <c r="L29" s="66"/>
      <c r="M29" s="27"/>
    </row>
    <row r="30" spans="2:533" ht="18.75" x14ac:dyDescent="0.25">
      <c r="B30" s="40" t="s">
        <v>65</v>
      </c>
      <c r="C30" s="41" t="s">
        <v>71</v>
      </c>
      <c r="D30" s="42" t="s">
        <v>72</v>
      </c>
      <c r="E30" s="65" t="s">
        <v>69</v>
      </c>
      <c r="F30" s="44">
        <v>545</v>
      </c>
      <c r="G30" s="58"/>
      <c r="H30" s="59"/>
      <c r="I30" s="60">
        <f>F30*G30</f>
        <v>0</v>
      </c>
      <c r="J30" s="40" t="s">
        <v>70</v>
      </c>
      <c r="K30" s="60" t="s">
        <v>30</v>
      </c>
      <c r="L30" s="66"/>
      <c r="M30" s="27"/>
    </row>
    <row r="31" spans="2:533" s="39" customFormat="1" ht="18.75" x14ac:dyDescent="0.25">
      <c r="B31" s="40" t="s">
        <v>65</v>
      </c>
      <c r="C31" s="41" t="s">
        <v>73</v>
      </c>
      <c r="D31" s="56" t="s">
        <v>74</v>
      </c>
      <c r="E31" s="65" t="s">
        <v>75</v>
      </c>
      <c r="F31" s="53">
        <v>150</v>
      </c>
      <c r="G31" s="45"/>
      <c r="H31" s="46"/>
      <c r="I31" s="47">
        <f t="shared" si="2"/>
        <v>0</v>
      </c>
      <c r="J31" s="48">
        <v>2002</v>
      </c>
      <c r="K31" s="47" t="s">
        <v>30</v>
      </c>
      <c r="L31" s="49"/>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c r="EK31" s="38"/>
      <c r="EL31" s="38"/>
      <c r="EM31" s="38"/>
      <c r="EN31" s="38"/>
      <c r="EO31" s="38"/>
      <c r="EP31" s="38"/>
      <c r="EQ31" s="38"/>
      <c r="ER31" s="38"/>
      <c r="ES31" s="38"/>
      <c r="ET31" s="38"/>
      <c r="EU31" s="38"/>
      <c r="EV31" s="38"/>
      <c r="EW31" s="38"/>
      <c r="EX31" s="38"/>
      <c r="EY31" s="38"/>
      <c r="EZ31" s="38"/>
      <c r="FA31" s="38"/>
      <c r="FB31" s="38"/>
      <c r="FC31" s="38"/>
      <c r="FD31" s="38"/>
      <c r="FE31" s="38"/>
      <c r="FF31" s="38"/>
      <c r="FG31" s="38"/>
      <c r="FH31" s="38"/>
      <c r="FI31" s="38"/>
      <c r="FJ31" s="38"/>
      <c r="FK31" s="38"/>
      <c r="FL31" s="38"/>
      <c r="FM31" s="38"/>
      <c r="FN31" s="38"/>
      <c r="FO31" s="38"/>
      <c r="FP31" s="38"/>
      <c r="FQ31" s="38"/>
      <c r="FR31" s="38"/>
      <c r="FS31" s="38"/>
      <c r="FT31" s="38"/>
      <c r="FU31" s="38"/>
      <c r="FV31" s="38"/>
      <c r="FW31" s="38"/>
      <c r="FX31" s="38"/>
      <c r="FY31" s="38"/>
      <c r="FZ31" s="38"/>
      <c r="GA31" s="38"/>
      <c r="GB31" s="38"/>
      <c r="GC31" s="38"/>
      <c r="GD31" s="38"/>
      <c r="GE31" s="38"/>
      <c r="GF31" s="38"/>
      <c r="GG31" s="38"/>
      <c r="GH31" s="38"/>
      <c r="GI31" s="38"/>
      <c r="GJ31" s="38"/>
      <c r="GK31" s="38"/>
      <c r="GL31" s="38"/>
      <c r="GM31" s="38"/>
      <c r="GN31" s="38"/>
      <c r="GO31" s="38"/>
      <c r="GP31" s="38"/>
      <c r="GQ31" s="38"/>
      <c r="GR31" s="38"/>
      <c r="GS31" s="38"/>
      <c r="GT31" s="38"/>
      <c r="GU31" s="38"/>
      <c r="GV31" s="38"/>
      <c r="GW31" s="38"/>
      <c r="GX31" s="38"/>
      <c r="GY31" s="38"/>
      <c r="GZ31" s="38"/>
      <c r="HA31" s="38"/>
      <c r="HB31" s="38"/>
      <c r="HC31" s="38"/>
      <c r="HD31" s="38"/>
      <c r="HE31" s="38"/>
      <c r="HF31" s="38"/>
      <c r="HG31" s="38"/>
      <c r="HH31" s="38"/>
      <c r="HI31" s="38"/>
      <c r="HJ31" s="38"/>
      <c r="HK31" s="38"/>
      <c r="HL31" s="38"/>
      <c r="HM31" s="38"/>
      <c r="HN31" s="38"/>
      <c r="HO31" s="38"/>
      <c r="HP31" s="38"/>
      <c r="HQ31" s="38"/>
      <c r="HR31" s="38"/>
      <c r="HS31" s="38"/>
      <c r="HT31" s="38"/>
      <c r="HU31" s="38"/>
      <c r="HV31" s="38"/>
      <c r="HW31" s="38"/>
      <c r="HX31" s="38"/>
      <c r="HY31" s="38"/>
      <c r="HZ31" s="38"/>
      <c r="IA31" s="38"/>
      <c r="IB31" s="38"/>
      <c r="IC31" s="38"/>
      <c r="ID31" s="38"/>
      <c r="IE31" s="38"/>
      <c r="IF31" s="38"/>
      <c r="IG31" s="38"/>
      <c r="IH31" s="38"/>
      <c r="II31" s="38"/>
      <c r="IJ31" s="38"/>
      <c r="IK31" s="38"/>
      <c r="IL31" s="38"/>
      <c r="IM31" s="38"/>
      <c r="IN31" s="38"/>
      <c r="IO31" s="38"/>
      <c r="IP31" s="38"/>
      <c r="IQ31" s="38"/>
      <c r="IR31" s="38"/>
      <c r="IS31" s="38"/>
      <c r="IT31" s="38"/>
      <c r="IU31" s="38"/>
      <c r="IV31" s="38"/>
      <c r="IW31" s="38"/>
      <c r="IX31" s="38"/>
      <c r="IY31" s="38"/>
      <c r="IZ31" s="38"/>
      <c r="JA31" s="38"/>
      <c r="JB31" s="38"/>
      <c r="JC31" s="38"/>
      <c r="JD31" s="38"/>
      <c r="JE31" s="38"/>
      <c r="JF31" s="38"/>
      <c r="JG31" s="38"/>
      <c r="JH31" s="38"/>
      <c r="JI31" s="38"/>
      <c r="JJ31" s="38"/>
      <c r="JK31" s="38"/>
      <c r="JL31" s="38"/>
      <c r="JM31" s="38"/>
      <c r="JN31" s="38"/>
      <c r="JO31" s="38"/>
      <c r="JP31" s="38"/>
      <c r="JQ31" s="38"/>
      <c r="JR31" s="38"/>
      <c r="JS31" s="38"/>
      <c r="JT31" s="38"/>
      <c r="JU31" s="38"/>
      <c r="JV31" s="38"/>
      <c r="JW31" s="38"/>
      <c r="JX31" s="38"/>
      <c r="JY31" s="38"/>
      <c r="JZ31" s="38"/>
      <c r="KA31" s="38"/>
      <c r="KB31" s="38"/>
      <c r="KC31" s="38"/>
      <c r="KD31" s="38"/>
      <c r="KE31" s="38"/>
      <c r="KF31" s="38"/>
      <c r="KG31" s="38"/>
      <c r="KH31" s="38"/>
      <c r="KI31" s="38"/>
      <c r="KJ31" s="38"/>
      <c r="KK31" s="38"/>
      <c r="KL31" s="38"/>
      <c r="KM31" s="38"/>
      <c r="KN31" s="38"/>
      <c r="KO31" s="38"/>
      <c r="KP31" s="38"/>
      <c r="KQ31" s="38"/>
      <c r="KR31" s="38"/>
      <c r="KS31" s="38"/>
      <c r="KT31" s="38"/>
      <c r="KU31" s="38"/>
      <c r="KV31" s="38"/>
      <c r="KW31" s="38"/>
      <c r="KX31" s="38"/>
      <c r="KY31" s="38"/>
      <c r="KZ31" s="38"/>
      <c r="LA31" s="38"/>
      <c r="LB31" s="38"/>
      <c r="LC31" s="38"/>
      <c r="LD31" s="38"/>
      <c r="LE31" s="38"/>
      <c r="LF31" s="38"/>
      <c r="LG31" s="38"/>
      <c r="LH31" s="38"/>
      <c r="LI31" s="38"/>
      <c r="LJ31" s="38"/>
      <c r="LK31" s="38"/>
      <c r="LL31" s="38"/>
      <c r="LM31" s="38"/>
      <c r="LN31" s="38"/>
      <c r="LO31" s="38"/>
      <c r="LP31" s="38"/>
      <c r="LQ31" s="38"/>
      <c r="LR31" s="38"/>
      <c r="LS31" s="38"/>
      <c r="LT31" s="38"/>
      <c r="LU31" s="38"/>
      <c r="LV31" s="38"/>
      <c r="LW31" s="38"/>
      <c r="LX31" s="38"/>
      <c r="LY31" s="38"/>
      <c r="LZ31" s="38"/>
      <c r="MA31" s="38"/>
      <c r="MB31" s="38"/>
      <c r="MC31" s="38"/>
      <c r="MD31" s="38"/>
      <c r="ME31" s="38"/>
      <c r="MF31" s="38"/>
      <c r="MG31" s="38"/>
      <c r="MH31" s="38"/>
      <c r="MI31" s="38"/>
      <c r="MJ31" s="38"/>
      <c r="MK31" s="38"/>
      <c r="ML31" s="38"/>
      <c r="MM31" s="38"/>
      <c r="MN31" s="38"/>
      <c r="MO31" s="38"/>
      <c r="MP31" s="38"/>
      <c r="MQ31" s="38"/>
      <c r="MR31" s="38"/>
      <c r="MS31" s="38"/>
      <c r="MT31" s="38"/>
      <c r="MU31" s="38"/>
      <c r="MV31" s="38"/>
      <c r="MW31" s="38"/>
      <c r="MX31" s="38"/>
      <c r="MY31" s="38"/>
      <c r="MZ31" s="38"/>
      <c r="NA31" s="38"/>
      <c r="NB31" s="38"/>
      <c r="NC31" s="38"/>
      <c r="ND31" s="38"/>
      <c r="NE31" s="38"/>
      <c r="NF31" s="38"/>
      <c r="NG31" s="38"/>
      <c r="NH31" s="38"/>
      <c r="NI31" s="38"/>
      <c r="NJ31" s="38"/>
      <c r="NK31" s="38"/>
      <c r="NL31" s="38"/>
      <c r="NM31" s="38"/>
      <c r="NN31" s="38"/>
      <c r="NO31" s="38"/>
      <c r="NP31" s="38"/>
      <c r="NQ31" s="38"/>
      <c r="NR31" s="38"/>
      <c r="NS31" s="38"/>
      <c r="NT31" s="38"/>
      <c r="NU31" s="38"/>
      <c r="NV31" s="38"/>
      <c r="NW31" s="38"/>
      <c r="NX31" s="38"/>
      <c r="NY31" s="38"/>
      <c r="NZ31" s="38"/>
      <c r="OA31" s="38"/>
      <c r="OB31" s="38"/>
      <c r="OC31" s="38"/>
      <c r="OD31" s="38"/>
      <c r="OE31" s="38"/>
      <c r="OF31" s="38"/>
      <c r="OG31" s="38"/>
      <c r="OH31" s="38"/>
      <c r="OI31" s="38"/>
      <c r="OJ31" s="38"/>
      <c r="OK31" s="38"/>
      <c r="OL31" s="38"/>
      <c r="OM31" s="38"/>
      <c r="ON31" s="38"/>
      <c r="OO31" s="38"/>
      <c r="OP31" s="38"/>
      <c r="OQ31" s="38"/>
      <c r="OR31" s="38"/>
      <c r="OS31" s="38"/>
      <c r="OT31" s="38"/>
      <c r="OU31" s="38"/>
      <c r="OV31" s="38"/>
      <c r="OW31" s="38"/>
      <c r="OX31" s="38"/>
      <c r="OY31" s="38"/>
      <c r="OZ31" s="38"/>
      <c r="PA31" s="38"/>
      <c r="PB31" s="38"/>
      <c r="PC31" s="38"/>
      <c r="PD31" s="38"/>
      <c r="PE31" s="38"/>
      <c r="PF31" s="38"/>
      <c r="PG31" s="38"/>
      <c r="PH31" s="38"/>
      <c r="PI31" s="38"/>
      <c r="PJ31" s="38"/>
      <c r="PK31" s="38"/>
      <c r="PL31" s="38"/>
      <c r="PM31" s="38"/>
      <c r="PN31" s="38"/>
      <c r="PO31" s="38"/>
      <c r="PP31" s="38"/>
      <c r="PQ31" s="38"/>
      <c r="PR31" s="38"/>
      <c r="PS31" s="38"/>
      <c r="PT31" s="38"/>
      <c r="PU31" s="38"/>
      <c r="PV31" s="38"/>
      <c r="PW31" s="38"/>
      <c r="PX31" s="38"/>
      <c r="PY31" s="38"/>
      <c r="PZ31" s="38"/>
      <c r="QA31" s="38"/>
      <c r="QB31" s="38"/>
      <c r="QC31" s="38"/>
      <c r="QD31" s="38"/>
      <c r="QE31" s="38"/>
      <c r="QF31" s="38"/>
      <c r="QG31" s="38"/>
      <c r="QH31" s="38"/>
      <c r="QI31" s="38"/>
      <c r="QJ31" s="38"/>
      <c r="QK31" s="38"/>
      <c r="QL31" s="38"/>
      <c r="QM31" s="38"/>
      <c r="QN31" s="38"/>
      <c r="QO31" s="38"/>
      <c r="QP31" s="38"/>
      <c r="QQ31" s="38"/>
      <c r="QR31" s="38"/>
      <c r="QS31" s="38"/>
      <c r="QT31" s="38"/>
      <c r="QU31" s="38"/>
      <c r="QV31" s="38"/>
      <c r="QW31" s="38"/>
      <c r="QX31" s="38"/>
      <c r="QY31" s="38"/>
      <c r="QZ31" s="38"/>
      <c r="RA31" s="38"/>
      <c r="RB31" s="38"/>
      <c r="RC31" s="38"/>
      <c r="RD31" s="38"/>
      <c r="RE31" s="38"/>
      <c r="RF31" s="38"/>
      <c r="RG31" s="38"/>
      <c r="RH31" s="38"/>
      <c r="RI31" s="38"/>
      <c r="RJ31" s="38"/>
      <c r="RK31" s="38"/>
      <c r="RL31" s="38"/>
      <c r="RM31" s="38"/>
      <c r="RN31" s="38"/>
      <c r="RO31" s="38"/>
      <c r="RP31" s="38"/>
      <c r="RQ31" s="38"/>
      <c r="RR31" s="38"/>
      <c r="RS31" s="38"/>
      <c r="RT31" s="38"/>
      <c r="RU31" s="38"/>
      <c r="RV31" s="38"/>
      <c r="RW31" s="38"/>
      <c r="RX31" s="38"/>
      <c r="RY31" s="38"/>
      <c r="RZ31" s="38"/>
      <c r="SA31" s="38"/>
      <c r="SB31" s="38"/>
      <c r="SC31" s="38"/>
      <c r="SD31" s="38"/>
      <c r="SE31" s="38"/>
      <c r="SF31" s="38"/>
      <c r="SG31" s="38"/>
      <c r="SH31" s="38"/>
      <c r="SI31" s="38"/>
      <c r="SJ31" s="38"/>
      <c r="SK31" s="38"/>
      <c r="SL31" s="38"/>
      <c r="SM31" s="38"/>
      <c r="SN31" s="38"/>
      <c r="SO31" s="38"/>
      <c r="SP31" s="38"/>
      <c r="SQ31" s="38"/>
      <c r="SR31" s="38"/>
      <c r="SS31" s="38"/>
      <c r="ST31" s="38"/>
      <c r="SU31" s="38"/>
      <c r="SV31" s="38"/>
      <c r="SW31" s="38"/>
      <c r="SX31" s="38"/>
      <c r="SY31" s="38"/>
      <c r="SZ31" s="38"/>
      <c r="TA31" s="38"/>
      <c r="TB31" s="38"/>
      <c r="TC31" s="38"/>
      <c r="TD31" s="38"/>
      <c r="TE31" s="38"/>
      <c r="TF31" s="38"/>
      <c r="TG31" s="38"/>
      <c r="TH31" s="38"/>
      <c r="TI31" s="38"/>
      <c r="TJ31" s="38"/>
      <c r="TK31" s="38"/>
      <c r="TL31" s="38"/>
      <c r="TM31" s="38"/>
    </row>
    <row r="32" spans="2:533" s="39" customFormat="1" ht="206.25" x14ac:dyDescent="0.25">
      <c r="B32" s="50" t="s">
        <v>76</v>
      </c>
      <c r="C32" s="41"/>
      <c r="D32" s="67" t="s">
        <v>77</v>
      </c>
      <c r="E32" s="52"/>
      <c r="F32" s="53"/>
      <c r="G32" s="45"/>
      <c r="H32" s="46"/>
      <c r="I32" s="55"/>
      <c r="J32" s="48"/>
      <c r="K32" s="47"/>
      <c r="L32" s="49"/>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c r="DA32" s="38"/>
      <c r="DB32" s="38"/>
      <c r="DC32" s="38"/>
      <c r="DD32" s="38"/>
      <c r="DE32" s="38"/>
      <c r="DF32" s="38"/>
      <c r="DG32" s="38"/>
      <c r="DH32" s="38"/>
      <c r="DI32" s="38"/>
      <c r="DJ32" s="38"/>
      <c r="DK32" s="38"/>
      <c r="DL32" s="38"/>
      <c r="DM32" s="38"/>
      <c r="DN32" s="38"/>
      <c r="DO32" s="38"/>
      <c r="DP32" s="38"/>
      <c r="DQ32" s="38"/>
      <c r="DR32" s="38"/>
      <c r="DS32" s="38"/>
      <c r="DT32" s="38"/>
      <c r="DU32" s="38"/>
      <c r="DV32" s="38"/>
      <c r="DW32" s="38"/>
      <c r="DX32" s="38"/>
      <c r="DY32" s="38"/>
      <c r="DZ32" s="38"/>
      <c r="EA32" s="38"/>
      <c r="EB32" s="38"/>
      <c r="EC32" s="38"/>
      <c r="ED32" s="38"/>
      <c r="EE32" s="38"/>
      <c r="EF32" s="38"/>
      <c r="EG32" s="38"/>
      <c r="EH32" s="38"/>
      <c r="EI32" s="38"/>
      <c r="EJ32" s="38"/>
      <c r="EK32" s="38"/>
      <c r="EL32" s="38"/>
      <c r="EM32" s="38"/>
      <c r="EN32" s="38"/>
      <c r="EO32" s="38"/>
      <c r="EP32" s="38"/>
      <c r="EQ32" s="38"/>
      <c r="ER32" s="38"/>
      <c r="ES32" s="38"/>
      <c r="ET32" s="38"/>
      <c r="EU32" s="38"/>
      <c r="EV32" s="38"/>
      <c r="EW32" s="38"/>
      <c r="EX32" s="38"/>
      <c r="EY32" s="38"/>
      <c r="EZ32" s="38"/>
      <c r="FA32" s="38"/>
      <c r="FB32" s="38"/>
      <c r="FC32" s="38"/>
      <c r="FD32" s="38"/>
      <c r="FE32" s="38"/>
      <c r="FF32" s="38"/>
      <c r="FG32" s="38"/>
      <c r="FH32" s="38"/>
      <c r="FI32" s="38"/>
      <c r="FJ32" s="38"/>
      <c r="FK32" s="38"/>
      <c r="FL32" s="38"/>
      <c r="FM32" s="38"/>
      <c r="FN32" s="38"/>
      <c r="FO32" s="38"/>
      <c r="FP32" s="38"/>
      <c r="FQ32" s="38"/>
      <c r="FR32" s="38"/>
      <c r="FS32" s="38"/>
      <c r="FT32" s="38"/>
      <c r="FU32" s="38"/>
      <c r="FV32" s="38"/>
      <c r="FW32" s="38"/>
      <c r="FX32" s="38"/>
      <c r="FY32" s="38"/>
      <c r="FZ32" s="38"/>
      <c r="GA32" s="38"/>
      <c r="GB32" s="38"/>
      <c r="GC32" s="38"/>
      <c r="GD32" s="38"/>
      <c r="GE32" s="38"/>
      <c r="GF32" s="38"/>
      <c r="GG32" s="38"/>
      <c r="GH32" s="38"/>
      <c r="GI32" s="38"/>
      <c r="GJ32" s="38"/>
      <c r="GK32" s="38"/>
      <c r="GL32" s="38"/>
      <c r="GM32" s="38"/>
      <c r="GN32" s="38"/>
      <c r="GO32" s="38"/>
      <c r="GP32" s="38"/>
      <c r="GQ32" s="38"/>
      <c r="GR32" s="38"/>
      <c r="GS32" s="38"/>
      <c r="GT32" s="38"/>
      <c r="GU32" s="38"/>
      <c r="GV32" s="38"/>
      <c r="GW32" s="38"/>
      <c r="GX32" s="38"/>
      <c r="GY32" s="38"/>
      <c r="GZ32" s="38"/>
      <c r="HA32" s="38"/>
      <c r="HB32" s="38"/>
      <c r="HC32" s="38"/>
      <c r="HD32" s="38"/>
      <c r="HE32" s="38"/>
      <c r="HF32" s="38"/>
      <c r="HG32" s="38"/>
      <c r="HH32" s="38"/>
      <c r="HI32" s="38"/>
      <c r="HJ32" s="38"/>
      <c r="HK32" s="38"/>
      <c r="HL32" s="38"/>
      <c r="HM32" s="38"/>
      <c r="HN32" s="38"/>
      <c r="HO32" s="38"/>
      <c r="HP32" s="38"/>
      <c r="HQ32" s="38"/>
      <c r="HR32" s="38"/>
      <c r="HS32" s="38"/>
      <c r="HT32" s="38"/>
      <c r="HU32" s="38"/>
      <c r="HV32" s="38"/>
      <c r="HW32" s="38"/>
      <c r="HX32" s="38"/>
      <c r="HY32" s="38"/>
      <c r="HZ32" s="38"/>
      <c r="IA32" s="38"/>
      <c r="IB32" s="38"/>
      <c r="IC32" s="38"/>
      <c r="ID32" s="38"/>
      <c r="IE32" s="38"/>
      <c r="IF32" s="38"/>
      <c r="IG32" s="38"/>
      <c r="IH32" s="38"/>
      <c r="II32" s="38"/>
      <c r="IJ32" s="38"/>
      <c r="IK32" s="38"/>
      <c r="IL32" s="38"/>
      <c r="IM32" s="38"/>
      <c r="IN32" s="38"/>
      <c r="IO32" s="38"/>
      <c r="IP32" s="38"/>
      <c r="IQ32" s="38"/>
      <c r="IR32" s="38"/>
      <c r="IS32" s="38"/>
      <c r="IT32" s="38"/>
      <c r="IU32" s="38"/>
      <c r="IV32" s="38"/>
      <c r="IW32" s="38"/>
      <c r="IX32" s="38"/>
      <c r="IY32" s="38"/>
      <c r="IZ32" s="38"/>
      <c r="JA32" s="38"/>
      <c r="JB32" s="38"/>
      <c r="JC32" s="38"/>
      <c r="JD32" s="38"/>
      <c r="JE32" s="38"/>
      <c r="JF32" s="38"/>
      <c r="JG32" s="38"/>
      <c r="JH32" s="38"/>
      <c r="JI32" s="38"/>
      <c r="JJ32" s="38"/>
      <c r="JK32" s="38"/>
      <c r="JL32" s="38"/>
      <c r="JM32" s="38"/>
      <c r="JN32" s="38"/>
      <c r="JO32" s="38"/>
      <c r="JP32" s="38"/>
      <c r="JQ32" s="38"/>
      <c r="JR32" s="38"/>
      <c r="JS32" s="38"/>
      <c r="JT32" s="38"/>
      <c r="JU32" s="38"/>
      <c r="JV32" s="38"/>
      <c r="JW32" s="38"/>
      <c r="JX32" s="38"/>
      <c r="JY32" s="38"/>
      <c r="JZ32" s="38"/>
      <c r="KA32" s="38"/>
      <c r="KB32" s="38"/>
      <c r="KC32" s="38"/>
      <c r="KD32" s="38"/>
      <c r="KE32" s="38"/>
      <c r="KF32" s="38"/>
      <c r="KG32" s="38"/>
      <c r="KH32" s="38"/>
      <c r="KI32" s="38"/>
      <c r="KJ32" s="38"/>
      <c r="KK32" s="38"/>
      <c r="KL32" s="38"/>
      <c r="KM32" s="38"/>
      <c r="KN32" s="38"/>
      <c r="KO32" s="38"/>
      <c r="KP32" s="38"/>
      <c r="KQ32" s="38"/>
      <c r="KR32" s="38"/>
      <c r="KS32" s="38"/>
      <c r="KT32" s="38"/>
      <c r="KU32" s="38"/>
      <c r="KV32" s="38"/>
      <c r="KW32" s="38"/>
      <c r="KX32" s="38"/>
      <c r="KY32" s="38"/>
      <c r="KZ32" s="38"/>
      <c r="LA32" s="38"/>
      <c r="LB32" s="38"/>
      <c r="LC32" s="38"/>
      <c r="LD32" s="38"/>
      <c r="LE32" s="38"/>
      <c r="LF32" s="38"/>
      <c r="LG32" s="38"/>
      <c r="LH32" s="38"/>
      <c r="LI32" s="38"/>
      <c r="LJ32" s="38"/>
      <c r="LK32" s="38"/>
      <c r="LL32" s="38"/>
      <c r="LM32" s="38"/>
      <c r="LN32" s="38"/>
      <c r="LO32" s="38"/>
      <c r="LP32" s="38"/>
      <c r="LQ32" s="38"/>
      <c r="LR32" s="38"/>
      <c r="LS32" s="38"/>
      <c r="LT32" s="38"/>
      <c r="LU32" s="38"/>
      <c r="LV32" s="38"/>
      <c r="LW32" s="38"/>
      <c r="LX32" s="38"/>
      <c r="LY32" s="38"/>
      <c r="LZ32" s="38"/>
      <c r="MA32" s="38"/>
      <c r="MB32" s="38"/>
      <c r="MC32" s="38"/>
      <c r="MD32" s="38"/>
      <c r="ME32" s="38"/>
      <c r="MF32" s="38"/>
      <c r="MG32" s="38"/>
      <c r="MH32" s="38"/>
      <c r="MI32" s="38"/>
      <c r="MJ32" s="38"/>
      <c r="MK32" s="38"/>
      <c r="ML32" s="38"/>
      <c r="MM32" s="38"/>
      <c r="MN32" s="38"/>
      <c r="MO32" s="38"/>
      <c r="MP32" s="38"/>
      <c r="MQ32" s="38"/>
      <c r="MR32" s="38"/>
      <c r="MS32" s="38"/>
      <c r="MT32" s="38"/>
      <c r="MU32" s="38"/>
      <c r="MV32" s="38"/>
      <c r="MW32" s="38"/>
      <c r="MX32" s="38"/>
      <c r="MY32" s="38"/>
      <c r="MZ32" s="38"/>
      <c r="NA32" s="38"/>
      <c r="NB32" s="38"/>
      <c r="NC32" s="38"/>
      <c r="ND32" s="38"/>
      <c r="NE32" s="38"/>
      <c r="NF32" s="38"/>
      <c r="NG32" s="38"/>
      <c r="NH32" s="38"/>
      <c r="NI32" s="38"/>
      <c r="NJ32" s="38"/>
      <c r="NK32" s="38"/>
      <c r="NL32" s="38"/>
      <c r="NM32" s="38"/>
      <c r="NN32" s="38"/>
      <c r="NO32" s="38"/>
      <c r="NP32" s="38"/>
      <c r="NQ32" s="38"/>
      <c r="NR32" s="38"/>
      <c r="NS32" s="38"/>
      <c r="NT32" s="38"/>
      <c r="NU32" s="38"/>
      <c r="NV32" s="38"/>
      <c r="NW32" s="38"/>
      <c r="NX32" s="38"/>
      <c r="NY32" s="38"/>
      <c r="NZ32" s="38"/>
      <c r="OA32" s="38"/>
      <c r="OB32" s="38"/>
      <c r="OC32" s="38"/>
      <c r="OD32" s="38"/>
      <c r="OE32" s="38"/>
      <c r="OF32" s="38"/>
      <c r="OG32" s="38"/>
      <c r="OH32" s="38"/>
      <c r="OI32" s="38"/>
      <c r="OJ32" s="38"/>
      <c r="OK32" s="38"/>
      <c r="OL32" s="38"/>
      <c r="OM32" s="38"/>
      <c r="ON32" s="38"/>
      <c r="OO32" s="38"/>
      <c r="OP32" s="38"/>
      <c r="OQ32" s="38"/>
      <c r="OR32" s="38"/>
      <c r="OS32" s="38"/>
      <c r="OT32" s="38"/>
      <c r="OU32" s="38"/>
      <c r="OV32" s="38"/>
      <c r="OW32" s="38"/>
      <c r="OX32" s="38"/>
      <c r="OY32" s="38"/>
      <c r="OZ32" s="38"/>
      <c r="PA32" s="38"/>
      <c r="PB32" s="38"/>
      <c r="PC32" s="38"/>
      <c r="PD32" s="38"/>
      <c r="PE32" s="38"/>
      <c r="PF32" s="38"/>
      <c r="PG32" s="38"/>
      <c r="PH32" s="38"/>
      <c r="PI32" s="38"/>
      <c r="PJ32" s="38"/>
      <c r="PK32" s="38"/>
      <c r="PL32" s="38"/>
      <c r="PM32" s="38"/>
      <c r="PN32" s="38"/>
      <c r="PO32" s="38"/>
      <c r="PP32" s="38"/>
      <c r="PQ32" s="38"/>
      <c r="PR32" s="38"/>
      <c r="PS32" s="38"/>
      <c r="PT32" s="38"/>
      <c r="PU32" s="38"/>
      <c r="PV32" s="38"/>
      <c r="PW32" s="38"/>
      <c r="PX32" s="38"/>
      <c r="PY32" s="38"/>
      <c r="PZ32" s="38"/>
      <c r="QA32" s="38"/>
      <c r="QB32" s="38"/>
      <c r="QC32" s="38"/>
      <c r="QD32" s="38"/>
      <c r="QE32" s="38"/>
      <c r="QF32" s="38"/>
      <c r="QG32" s="38"/>
      <c r="QH32" s="38"/>
      <c r="QI32" s="38"/>
      <c r="QJ32" s="38"/>
      <c r="QK32" s="38"/>
      <c r="QL32" s="38"/>
      <c r="QM32" s="38"/>
      <c r="QN32" s="38"/>
      <c r="QO32" s="38"/>
      <c r="QP32" s="38"/>
      <c r="QQ32" s="38"/>
      <c r="QR32" s="38"/>
      <c r="QS32" s="38"/>
      <c r="QT32" s="38"/>
      <c r="QU32" s="38"/>
      <c r="QV32" s="38"/>
      <c r="QW32" s="38"/>
      <c r="QX32" s="38"/>
      <c r="QY32" s="38"/>
      <c r="QZ32" s="38"/>
      <c r="RA32" s="38"/>
      <c r="RB32" s="38"/>
      <c r="RC32" s="38"/>
      <c r="RD32" s="38"/>
      <c r="RE32" s="38"/>
      <c r="RF32" s="38"/>
      <c r="RG32" s="38"/>
      <c r="RH32" s="38"/>
      <c r="RI32" s="38"/>
      <c r="RJ32" s="38"/>
      <c r="RK32" s="38"/>
      <c r="RL32" s="38"/>
      <c r="RM32" s="38"/>
      <c r="RN32" s="38"/>
      <c r="RO32" s="38"/>
      <c r="RP32" s="38"/>
      <c r="RQ32" s="38"/>
      <c r="RR32" s="38"/>
      <c r="RS32" s="38"/>
      <c r="RT32" s="38"/>
      <c r="RU32" s="38"/>
      <c r="RV32" s="38"/>
      <c r="RW32" s="38"/>
      <c r="RX32" s="38"/>
      <c r="RY32" s="38"/>
      <c r="RZ32" s="38"/>
      <c r="SA32" s="38"/>
      <c r="SB32" s="38"/>
      <c r="SC32" s="38"/>
      <c r="SD32" s="38"/>
      <c r="SE32" s="38"/>
      <c r="SF32" s="38"/>
      <c r="SG32" s="38"/>
      <c r="SH32" s="38"/>
      <c r="SI32" s="38"/>
      <c r="SJ32" s="38"/>
      <c r="SK32" s="38"/>
      <c r="SL32" s="38"/>
      <c r="SM32" s="38"/>
      <c r="SN32" s="38"/>
      <c r="SO32" s="38"/>
      <c r="SP32" s="38"/>
      <c r="SQ32" s="38"/>
      <c r="SR32" s="38"/>
      <c r="SS32" s="38"/>
      <c r="ST32" s="38"/>
      <c r="SU32" s="38"/>
      <c r="SV32" s="38"/>
      <c r="SW32" s="38"/>
      <c r="SX32" s="38"/>
      <c r="SY32" s="38"/>
      <c r="SZ32" s="38"/>
      <c r="TA32" s="38"/>
      <c r="TB32" s="38"/>
      <c r="TC32" s="38"/>
      <c r="TD32" s="38"/>
      <c r="TE32" s="38"/>
      <c r="TF32" s="38"/>
      <c r="TG32" s="38"/>
      <c r="TH32" s="38"/>
      <c r="TI32" s="38"/>
      <c r="TJ32" s="38"/>
      <c r="TK32" s="38"/>
      <c r="TL32" s="38"/>
      <c r="TM32" s="38"/>
    </row>
    <row r="33" spans="1:533" s="39" customFormat="1" ht="18.75" x14ac:dyDescent="0.25">
      <c r="B33" s="50" t="s">
        <v>76</v>
      </c>
      <c r="C33" s="41" t="s">
        <v>78</v>
      </c>
      <c r="D33" s="56" t="s">
        <v>79</v>
      </c>
      <c r="E33" s="43" t="s">
        <v>60</v>
      </c>
      <c r="F33" s="53">
        <v>7</v>
      </c>
      <c r="G33" s="58"/>
      <c r="H33" s="46"/>
      <c r="I33" s="47">
        <f t="shared" si="2"/>
        <v>0</v>
      </c>
      <c r="J33" s="48">
        <v>2007</v>
      </c>
      <c r="K33" s="47" t="s">
        <v>30</v>
      </c>
      <c r="L33" s="49"/>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c r="DA33" s="38"/>
      <c r="DB33" s="38"/>
      <c r="DC33" s="38"/>
      <c r="DD33" s="38"/>
      <c r="DE33" s="38"/>
      <c r="DF33" s="38"/>
      <c r="DG33" s="38"/>
      <c r="DH33" s="38"/>
      <c r="DI33" s="38"/>
      <c r="DJ33" s="38"/>
      <c r="DK33" s="38"/>
      <c r="DL33" s="38"/>
      <c r="DM33" s="38"/>
      <c r="DN33" s="38"/>
      <c r="DO33" s="38"/>
      <c r="DP33" s="38"/>
      <c r="DQ33" s="38"/>
      <c r="DR33" s="38"/>
      <c r="DS33" s="38"/>
      <c r="DT33" s="38"/>
      <c r="DU33" s="38"/>
      <c r="DV33" s="38"/>
      <c r="DW33" s="38"/>
      <c r="DX33" s="38"/>
      <c r="DY33" s="38"/>
      <c r="DZ33" s="38"/>
      <c r="EA33" s="38"/>
      <c r="EB33" s="38"/>
      <c r="EC33" s="38"/>
      <c r="ED33" s="38"/>
      <c r="EE33" s="38"/>
      <c r="EF33" s="38"/>
      <c r="EG33" s="38"/>
      <c r="EH33" s="38"/>
      <c r="EI33" s="38"/>
      <c r="EJ33" s="38"/>
      <c r="EK33" s="38"/>
      <c r="EL33" s="38"/>
      <c r="EM33" s="38"/>
      <c r="EN33" s="38"/>
      <c r="EO33" s="38"/>
      <c r="EP33" s="38"/>
      <c r="EQ33" s="38"/>
      <c r="ER33" s="38"/>
      <c r="ES33" s="38"/>
      <c r="ET33" s="38"/>
      <c r="EU33" s="38"/>
      <c r="EV33" s="38"/>
      <c r="EW33" s="38"/>
      <c r="EX33" s="38"/>
      <c r="EY33" s="38"/>
      <c r="EZ33" s="38"/>
      <c r="FA33" s="38"/>
      <c r="FB33" s="38"/>
      <c r="FC33" s="38"/>
      <c r="FD33" s="38"/>
      <c r="FE33" s="38"/>
      <c r="FF33" s="38"/>
      <c r="FG33" s="38"/>
      <c r="FH33" s="38"/>
      <c r="FI33" s="38"/>
      <c r="FJ33" s="38"/>
      <c r="FK33" s="38"/>
      <c r="FL33" s="38"/>
      <c r="FM33" s="38"/>
      <c r="FN33" s="38"/>
      <c r="FO33" s="38"/>
      <c r="FP33" s="38"/>
      <c r="FQ33" s="38"/>
      <c r="FR33" s="38"/>
      <c r="FS33" s="38"/>
      <c r="FT33" s="38"/>
      <c r="FU33" s="38"/>
      <c r="FV33" s="38"/>
      <c r="FW33" s="38"/>
      <c r="FX33" s="38"/>
      <c r="FY33" s="38"/>
      <c r="FZ33" s="38"/>
      <c r="GA33" s="38"/>
      <c r="GB33" s="38"/>
      <c r="GC33" s="38"/>
      <c r="GD33" s="38"/>
      <c r="GE33" s="38"/>
      <c r="GF33" s="38"/>
      <c r="GG33" s="38"/>
      <c r="GH33" s="38"/>
      <c r="GI33" s="38"/>
      <c r="GJ33" s="38"/>
      <c r="GK33" s="38"/>
      <c r="GL33" s="38"/>
      <c r="GM33" s="38"/>
      <c r="GN33" s="38"/>
      <c r="GO33" s="38"/>
      <c r="GP33" s="38"/>
      <c r="GQ33" s="38"/>
      <c r="GR33" s="38"/>
      <c r="GS33" s="38"/>
      <c r="GT33" s="38"/>
      <c r="GU33" s="38"/>
      <c r="GV33" s="38"/>
      <c r="GW33" s="38"/>
      <c r="GX33" s="38"/>
      <c r="GY33" s="38"/>
      <c r="GZ33" s="38"/>
      <c r="HA33" s="38"/>
      <c r="HB33" s="38"/>
      <c r="HC33" s="38"/>
      <c r="HD33" s="38"/>
      <c r="HE33" s="38"/>
      <c r="HF33" s="38"/>
      <c r="HG33" s="38"/>
      <c r="HH33" s="38"/>
      <c r="HI33" s="38"/>
      <c r="HJ33" s="38"/>
      <c r="HK33" s="38"/>
      <c r="HL33" s="38"/>
      <c r="HM33" s="38"/>
      <c r="HN33" s="38"/>
      <c r="HO33" s="38"/>
      <c r="HP33" s="38"/>
      <c r="HQ33" s="38"/>
      <c r="HR33" s="38"/>
      <c r="HS33" s="38"/>
      <c r="HT33" s="38"/>
      <c r="HU33" s="38"/>
      <c r="HV33" s="38"/>
      <c r="HW33" s="38"/>
      <c r="HX33" s="38"/>
      <c r="HY33" s="38"/>
      <c r="HZ33" s="38"/>
      <c r="IA33" s="38"/>
      <c r="IB33" s="38"/>
      <c r="IC33" s="38"/>
      <c r="ID33" s="38"/>
      <c r="IE33" s="38"/>
      <c r="IF33" s="38"/>
      <c r="IG33" s="38"/>
      <c r="IH33" s="38"/>
      <c r="II33" s="38"/>
      <c r="IJ33" s="38"/>
      <c r="IK33" s="38"/>
      <c r="IL33" s="38"/>
      <c r="IM33" s="38"/>
      <c r="IN33" s="38"/>
      <c r="IO33" s="38"/>
      <c r="IP33" s="38"/>
      <c r="IQ33" s="38"/>
      <c r="IR33" s="38"/>
      <c r="IS33" s="38"/>
      <c r="IT33" s="38"/>
      <c r="IU33" s="38"/>
      <c r="IV33" s="38"/>
      <c r="IW33" s="38"/>
      <c r="IX33" s="38"/>
      <c r="IY33" s="38"/>
      <c r="IZ33" s="38"/>
      <c r="JA33" s="38"/>
      <c r="JB33" s="38"/>
      <c r="JC33" s="38"/>
      <c r="JD33" s="38"/>
      <c r="JE33" s="38"/>
      <c r="JF33" s="38"/>
      <c r="JG33" s="38"/>
      <c r="JH33" s="38"/>
      <c r="JI33" s="38"/>
      <c r="JJ33" s="38"/>
      <c r="JK33" s="38"/>
      <c r="JL33" s="38"/>
      <c r="JM33" s="38"/>
      <c r="JN33" s="38"/>
      <c r="JO33" s="38"/>
      <c r="JP33" s="38"/>
      <c r="JQ33" s="38"/>
      <c r="JR33" s="38"/>
      <c r="JS33" s="38"/>
      <c r="JT33" s="38"/>
      <c r="JU33" s="38"/>
      <c r="JV33" s="38"/>
      <c r="JW33" s="38"/>
      <c r="JX33" s="38"/>
      <c r="JY33" s="38"/>
      <c r="JZ33" s="38"/>
      <c r="KA33" s="38"/>
      <c r="KB33" s="38"/>
      <c r="KC33" s="38"/>
      <c r="KD33" s="38"/>
      <c r="KE33" s="38"/>
      <c r="KF33" s="38"/>
      <c r="KG33" s="38"/>
      <c r="KH33" s="38"/>
      <c r="KI33" s="38"/>
      <c r="KJ33" s="38"/>
      <c r="KK33" s="38"/>
      <c r="KL33" s="38"/>
      <c r="KM33" s="38"/>
      <c r="KN33" s="38"/>
      <c r="KO33" s="38"/>
      <c r="KP33" s="38"/>
      <c r="KQ33" s="38"/>
      <c r="KR33" s="38"/>
      <c r="KS33" s="38"/>
      <c r="KT33" s="38"/>
      <c r="KU33" s="38"/>
      <c r="KV33" s="38"/>
      <c r="KW33" s="38"/>
      <c r="KX33" s="38"/>
      <c r="KY33" s="38"/>
      <c r="KZ33" s="38"/>
      <c r="LA33" s="38"/>
      <c r="LB33" s="38"/>
      <c r="LC33" s="38"/>
      <c r="LD33" s="38"/>
      <c r="LE33" s="38"/>
      <c r="LF33" s="38"/>
      <c r="LG33" s="38"/>
      <c r="LH33" s="38"/>
      <c r="LI33" s="38"/>
      <c r="LJ33" s="38"/>
      <c r="LK33" s="38"/>
      <c r="LL33" s="38"/>
      <c r="LM33" s="38"/>
      <c r="LN33" s="38"/>
      <c r="LO33" s="38"/>
      <c r="LP33" s="38"/>
      <c r="LQ33" s="38"/>
      <c r="LR33" s="38"/>
      <c r="LS33" s="38"/>
      <c r="LT33" s="38"/>
      <c r="LU33" s="38"/>
      <c r="LV33" s="38"/>
      <c r="LW33" s="38"/>
      <c r="LX33" s="38"/>
      <c r="LY33" s="38"/>
      <c r="LZ33" s="38"/>
      <c r="MA33" s="38"/>
      <c r="MB33" s="38"/>
      <c r="MC33" s="38"/>
      <c r="MD33" s="38"/>
      <c r="ME33" s="38"/>
      <c r="MF33" s="38"/>
      <c r="MG33" s="38"/>
      <c r="MH33" s="38"/>
      <c r="MI33" s="38"/>
      <c r="MJ33" s="38"/>
      <c r="MK33" s="38"/>
      <c r="ML33" s="38"/>
      <c r="MM33" s="38"/>
      <c r="MN33" s="38"/>
      <c r="MO33" s="38"/>
      <c r="MP33" s="38"/>
      <c r="MQ33" s="38"/>
      <c r="MR33" s="38"/>
      <c r="MS33" s="38"/>
      <c r="MT33" s="38"/>
      <c r="MU33" s="38"/>
      <c r="MV33" s="38"/>
      <c r="MW33" s="38"/>
      <c r="MX33" s="38"/>
      <c r="MY33" s="38"/>
      <c r="MZ33" s="38"/>
      <c r="NA33" s="38"/>
      <c r="NB33" s="38"/>
      <c r="NC33" s="38"/>
      <c r="ND33" s="38"/>
      <c r="NE33" s="38"/>
      <c r="NF33" s="38"/>
      <c r="NG33" s="38"/>
      <c r="NH33" s="38"/>
      <c r="NI33" s="38"/>
      <c r="NJ33" s="38"/>
      <c r="NK33" s="38"/>
      <c r="NL33" s="38"/>
      <c r="NM33" s="38"/>
      <c r="NN33" s="38"/>
      <c r="NO33" s="38"/>
      <c r="NP33" s="38"/>
      <c r="NQ33" s="38"/>
      <c r="NR33" s="38"/>
      <c r="NS33" s="38"/>
      <c r="NT33" s="38"/>
      <c r="NU33" s="38"/>
      <c r="NV33" s="38"/>
      <c r="NW33" s="38"/>
      <c r="NX33" s="38"/>
      <c r="NY33" s="38"/>
      <c r="NZ33" s="38"/>
      <c r="OA33" s="38"/>
      <c r="OB33" s="38"/>
      <c r="OC33" s="38"/>
      <c r="OD33" s="38"/>
      <c r="OE33" s="38"/>
      <c r="OF33" s="38"/>
      <c r="OG33" s="38"/>
      <c r="OH33" s="38"/>
      <c r="OI33" s="38"/>
      <c r="OJ33" s="38"/>
      <c r="OK33" s="38"/>
      <c r="OL33" s="38"/>
      <c r="OM33" s="38"/>
      <c r="ON33" s="38"/>
      <c r="OO33" s="38"/>
      <c r="OP33" s="38"/>
      <c r="OQ33" s="38"/>
      <c r="OR33" s="38"/>
      <c r="OS33" s="38"/>
      <c r="OT33" s="38"/>
      <c r="OU33" s="38"/>
      <c r="OV33" s="38"/>
      <c r="OW33" s="38"/>
      <c r="OX33" s="38"/>
      <c r="OY33" s="38"/>
      <c r="OZ33" s="38"/>
      <c r="PA33" s="38"/>
      <c r="PB33" s="38"/>
      <c r="PC33" s="38"/>
      <c r="PD33" s="38"/>
      <c r="PE33" s="38"/>
      <c r="PF33" s="38"/>
      <c r="PG33" s="38"/>
      <c r="PH33" s="38"/>
      <c r="PI33" s="38"/>
      <c r="PJ33" s="38"/>
      <c r="PK33" s="38"/>
      <c r="PL33" s="38"/>
      <c r="PM33" s="38"/>
      <c r="PN33" s="38"/>
      <c r="PO33" s="38"/>
      <c r="PP33" s="38"/>
      <c r="PQ33" s="38"/>
      <c r="PR33" s="38"/>
      <c r="PS33" s="38"/>
      <c r="PT33" s="38"/>
      <c r="PU33" s="38"/>
      <c r="PV33" s="38"/>
      <c r="PW33" s="38"/>
      <c r="PX33" s="38"/>
      <c r="PY33" s="38"/>
      <c r="PZ33" s="38"/>
      <c r="QA33" s="38"/>
      <c r="QB33" s="38"/>
      <c r="QC33" s="38"/>
      <c r="QD33" s="38"/>
      <c r="QE33" s="38"/>
      <c r="QF33" s="38"/>
      <c r="QG33" s="38"/>
      <c r="QH33" s="38"/>
      <c r="QI33" s="38"/>
      <c r="QJ33" s="38"/>
      <c r="QK33" s="38"/>
      <c r="QL33" s="38"/>
      <c r="QM33" s="38"/>
      <c r="QN33" s="38"/>
      <c r="QO33" s="38"/>
      <c r="QP33" s="38"/>
      <c r="QQ33" s="38"/>
      <c r="QR33" s="38"/>
      <c r="QS33" s="38"/>
      <c r="QT33" s="38"/>
      <c r="QU33" s="38"/>
      <c r="QV33" s="38"/>
      <c r="QW33" s="38"/>
      <c r="QX33" s="38"/>
      <c r="QY33" s="38"/>
      <c r="QZ33" s="38"/>
      <c r="RA33" s="38"/>
      <c r="RB33" s="38"/>
      <c r="RC33" s="38"/>
      <c r="RD33" s="38"/>
      <c r="RE33" s="38"/>
      <c r="RF33" s="38"/>
      <c r="RG33" s="38"/>
      <c r="RH33" s="38"/>
      <c r="RI33" s="38"/>
      <c r="RJ33" s="38"/>
      <c r="RK33" s="38"/>
      <c r="RL33" s="38"/>
      <c r="RM33" s="38"/>
      <c r="RN33" s="38"/>
      <c r="RO33" s="38"/>
      <c r="RP33" s="38"/>
      <c r="RQ33" s="38"/>
      <c r="RR33" s="38"/>
      <c r="RS33" s="38"/>
      <c r="RT33" s="38"/>
      <c r="RU33" s="38"/>
      <c r="RV33" s="38"/>
      <c r="RW33" s="38"/>
      <c r="RX33" s="38"/>
      <c r="RY33" s="38"/>
      <c r="RZ33" s="38"/>
      <c r="SA33" s="38"/>
      <c r="SB33" s="38"/>
      <c r="SC33" s="38"/>
      <c r="SD33" s="38"/>
      <c r="SE33" s="38"/>
      <c r="SF33" s="38"/>
      <c r="SG33" s="38"/>
      <c r="SH33" s="38"/>
      <c r="SI33" s="38"/>
      <c r="SJ33" s="38"/>
      <c r="SK33" s="38"/>
      <c r="SL33" s="38"/>
      <c r="SM33" s="38"/>
      <c r="SN33" s="38"/>
      <c r="SO33" s="38"/>
      <c r="SP33" s="38"/>
      <c r="SQ33" s="38"/>
      <c r="SR33" s="38"/>
      <c r="SS33" s="38"/>
      <c r="ST33" s="38"/>
      <c r="SU33" s="38"/>
      <c r="SV33" s="38"/>
      <c r="SW33" s="38"/>
      <c r="SX33" s="38"/>
      <c r="SY33" s="38"/>
      <c r="SZ33" s="38"/>
      <c r="TA33" s="38"/>
      <c r="TB33" s="38"/>
      <c r="TC33" s="38"/>
      <c r="TD33" s="38"/>
      <c r="TE33" s="38"/>
      <c r="TF33" s="38"/>
      <c r="TG33" s="38"/>
      <c r="TH33" s="38"/>
      <c r="TI33" s="38"/>
      <c r="TJ33" s="38"/>
      <c r="TK33" s="38"/>
      <c r="TL33" s="38"/>
      <c r="TM33" s="38"/>
    </row>
    <row r="34" spans="1:533" s="39" customFormat="1" ht="18.75" x14ac:dyDescent="0.25">
      <c r="B34" s="50" t="s">
        <v>76</v>
      </c>
      <c r="C34" s="41" t="s">
        <v>80</v>
      </c>
      <c r="D34" s="56" t="s">
        <v>81</v>
      </c>
      <c r="E34" s="43" t="s">
        <v>60</v>
      </c>
      <c r="F34" s="53">
        <v>113</v>
      </c>
      <c r="G34" s="58"/>
      <c r="H34" s="46"/>
      <c r="I34" s="47">
        <f t="shared" si="2"/>
        <v>0</v>
      </c>
      <c r="J34" s="48">
        <v>2007</v>
      </c>
      <c r="K34" s="47" t="s">
        <v>30</v>
      </c>
      <c r="L34" s="49"/>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c r="DA34" s="38"/>
      <c r="DB34" s="38"/>
      <c r="DC34" s="38"/>
      <c r="DD34" s="38"/>
      <c r="DE34" s="38"/>
      <c r="DF34" s="38"/>
      <c r="DG34" s="38"/>
      <c r="DH34" s="38"/>
      <c r="DI34" s="38"/>
      <c r="DJ34" s="38"/>
      <c r="DK34" s="38"/>
      <c r="DL34" s="38"/>
      <c r="DM34" s="38"/>
      <c r="DN34" s="38"/>
      <c r="DO34" s="38"/>
      <c r="DP34" s="38"/>
      <c r="DQ34" s="38"/>
      <c r="DR34" s="38"/>
      <c r="DS34" s="38"/>
      <c r="DT34" s="38"/>
      <c r="DU34" s="38"/>
      <c r="DV34" s="38"/>
      <c r="DW34" s="38"/>
      <c r="DX34" s="38"/>
      <c r="DY34" s="38"/>
      <c r="DZ34" s="38"/>
      <c r="EA34" s="38"/>
      <c r="EB34" s="38"/>
      <c r="EC34" s="38"/>
      <c r="ED34" s="38"/>
      <c r="EE34" s="38"/>
      <c r="EF34" s="38"/>
      <c r="EG34" s="38"/>
      <c r="EH34" s="38"/>
      <c r="EI34" s="38"/>
      <c r="EJ34" s="38"/>
      <c r="EK34" s="38"/>
      <c r="EL34" s="38"/>
      <c r="EM34" s="38"/>
      <c r="EN34" s="38"/>
      <c r="EO34" s="38"/>
      <c r="EP34" s="38"/>
      <c r="EQ34" s="38"/>
      <c r="ER34" s="38"/>
      <c r="ES34" s="38"/>
      <c r="ET34" s="38"/>
      <c r="EU34" s="38"/>
      <c r="EV34" s="38"/>
      <c r="EW34" s="38"/>
      <c r="EX34" s="38"/>
      <c r="EY34" s="38"/>
      <c r="EZ34" s="38"/>
      <c r="FA34" s="38"/>
      <c r="FB34" s="38"/>
      <c r="FC34" s="38"/>
      <c r="FD34" s="38"/>
      <c r="FE34" s="38"/>
      <c r="FF34" s="38"/>
      <c r="FG34" s="38"/>
      <c r="FH34" s="38"/>
      <c r="FI34" s="38"/>
      <c r="FJ34" s="38"/>
      <c r="FK34" s="38"/>
      <c r="FL34" s="38"/>
      <c r="FM34" s="38"/>
      <c r="FN34" s="38"/>
      <c r="FO34" s="38"/>
      <c r="FP34" s="38"/>
      <c r="FQ34" s="38"/>
      <c r="FR34" s="38"/>
      <c r="FS34" s="38"/>
      <c r="FT34" s="38"/>
      <c r="FU34" s="38"/>
      <c r="FV34" s="38"/>
      <c r="FW34" s="38"/>
      <c r="FX34" s="38"/>
      <c r="FY34" s="38"/>
      <c r="FZ34" s="38"/>
      <c r="GA34" s="38"/>
      <c r="GB34" s="38"/>
      <c r="GC34" s="38"/>
      <c r="GD34" s="38"/>
      <c r="GE34" s="38"/>
      <c r="GF34" s="38"/>
      <c r="GG34" s="38"/>
      <c r="GH34" s="38"/>
      <c r="GI34" s="38"/>
      <c r="GJ34" s="38"/>
      <c r="GK34" s="38"/>
      <c r="GL34" s="38"/>
      <c r="GM34" s="38"/>
      <c r="GN34" s="38"/>
      <c r="GO34" s="38"/>
      <c r="GP34" s="38"/>
      <c r="GQ34" s="38"/>
      <c r="GR34" s="38"/>
      <c r="GS34" s="38"/>
      <c r="GT34" s="38"/>
      <c r="GU34" s="38"/>
      <c r="GV34" s="38"/>
      <c r="GW34" s="38"/>
      <c r="GX34" s="38"/>
      <c r="GY34" s="38"/>
      <c r="GZ34" s="38"/>
      <c r="HA34" s="38"/>
      <c r="HB34" s="38"/>
      <c r="HC34" s="38"/>
      <c r="HD34" s="38"/>
      <c r="HE34" s="38"/>
      <c r="HF34" s="38"/>
      <c r="HG34" s="38"/>
      <c r="HH34" s="38"/>
      <c r="HI34" s="38"/>
      <c r="HJ34" s="38"/>
      <c r="HK34" s="38"/>
      <c r="HL34" s="38"/>
      <c r="HM34" s="38"/>
      <c r="HN34" s="38"/>
      <c r="HO34" s="38"/>
      <c r="HP34" s="38"/>
      <c r="HQ34" s="38"/>
      <c r="HR34" s="38"/>
      <c r="HS34" s="38"/>
      <c r="HT34" s="38"/>
      <c r="HU34" s="38"/>
      <c r="HV34" s="38"/>
      <c r="HW34" s="38"/>
      <c r="HX34" s="38"/>
      <c r="HY34" s="38"/>
      <c r="HZ34" s="38"/>
      <c r="IA34" s="38"/>
      <c r="IB34" s="38"/>
      <c r="IC34" s="38"/>
      <c r="ID34" s="38"/>
      <c r="IE34" s="38"/>
      <c r="IF34" s="38"/>
      <c r="IG34" s="38"/>
      <c r="IH34" s="38"/>
      <c r="II34" s="38"/>
      <c r="IJ34" s="38"/>
      <c r="IK34" s="38"/>
      <c r="IL34" s="38"/>
      <c r="IM34" s="38"/>
      <c r="IN34" s="38"/>
      <c r="IO34" s="38"/>
      <c r="IP34" s="38"/>
      <c r="IQ34" s="38"/>
      <c r="IR34" s="38"/>
      <c r="IS34" s="38"/>
      <c r="IT34" s="38"/>
      <c r="IU34" s="38"/>
      <c r="IV34" s="38"/>
      <c r="IW34" s="38"/>
      <c r="IX34" s="38"/>
      <c r="IY34" s="38"/>
      <c r="IZ34" s="38"/>
      <c r="JA34" s="38"/>
      <c r="JB34" s="38"/>
      <c r="JC34" s="38"/>
      <c r="JD34" s="38"/>
      <c r="JE34" s="38"/>
      <c r="JF34" s="38"/>
      <c r="JG34" s="38"/>
      <c r="JH34" s="38"/>
      <c r="JI34" s="38"/>
      <c r="JJ34" s="38"/>
      <c r="JK34" s="38"/>
      <c r="JL34" s="38"/>
      <c r="JM34" s="38"/>
      <c r="JN34" s="38"/>
      <c r="JO34" s="38"/>
      <c r="JP34" s="38"/>
      <c r="JQ34" s="38"/>
      <c r="JR34" s="38"/>
      <c r="JS34" s="38"/>
      <c r="JT34" s="38"/>
      <c r="JU34" s="38"/>
      <c r="JV34" s="38"/>
      <c r="JW34" s="38"/>
      <c r="JX34" s="38"/>
      <c r="JY34" s="38"/>
      <c r="JZ34" s="38"/>
      <c r="KA34" s="38"/>
      <c r="KB34" s="38"/>
      <c r="KC34" s="38"/>
      <c r="KD34" s="38"/>
      <c r="KE34" s="38"/>
      <c r="KF34" s="38"/>
      <c r="KG34" s="38"/>
      <c r="KH34" s="38"/>
      <c r="KI34" s="38"/>
      <c r="KJ34" s="38"/>
      <c r="KK34" s="38"/>
      <c r="KL34" s="38"/>
      <c r="KM34" s="38"/>
      <c r="KN34" s="38"/>
      <c r="KO34" s="38"/>
      <c r="KP34" s="38"/>
      <c r="KQ34" s="38"/>
      <c r="KR34" s="38"/>
      <c r="KS34" s="38"/>
      <c r="KT34" s="38"/>
      <c r="KU34" s="38"/>
      <c r="KV34" s="38"/>
      <c r="KW34" s="38"/>
      <c r="KX34" s="38"/>
      <c r="KY34" s="38"/>
      <c r="KZ34" s="38"/>
      <c r="LA34" s="38"/>
      <c r="LB34" s="38"/>
      <c r="LC34" s="38"/>
      <c r="LD34" s="38"/>
      <c r="LE34" s="38"/>
      <c r="LF34" s="38"/>
      <c r="LG34" s="38"/>
      <c r="LH34" s="38"/>
      <c r="LI34" s="38"/>
      <c r="LJ34" s="38"/>
      <c r="LK34" s="38"/>
      <c r="LL34" s="38"/>
      <c r="LM34" s="38"/>
      <c r="LN34" s="38"/>
      <c r="LO34" s="38"/>
      <c r="LP34" s="38"/>
      <c r="LQ34" s="38"/>
      <c r="LR34" s="38"/>
      <c r="LS34" s="38"/>
      <c r="LT34" s="38"/>
      <c r="LU34" s="38"/>
      <c r="LV34" s="38"/>
      <c r="LW34" s="38"/>
      <c r="LX34" s="38"/>
      <c r="LY34" s="38"/>
      <c r="LZ34" s="38"/>
      <c r="MA34" s="38"/>
      <c r="MB34" s="38"/>
      <c r="MC34" s="38"/>
      <c r="MD34" s="38"/>
      <c r="ME34" s="38"/>
      <c r="MF34" s="38"/>
      <c r="MG34" s="38"/>
      <c r="MH34" s="38"/>
      <c r="MI34" s="38"/>
      <c r="MJ34" s="38"/>
      <c r="MK34" s="38"/>
      <c r="ML34" s="38"/>
      <c r="MM34" s="38"/>
      <c r="MN34" s="38"/>
      <c r="MO34" s="38"/>
      <c r="MP34" s="38"/>
      <c r="MQ34" s="38"/>
      <c r="MR34" s="38"/>
      <c r="MS34" s="38"/>
      <c r="MT34" s="38"/>
      <c r="MU34" s="38"/>
      <c r="MV34" s="38"/>
      <c r="MW34" s="38"/>
      <c r="MX34" s="38"/>
      <c r="MY34" s="38"/>
      <c r="MZ34" s="38"/>
      <c r="NA34" s="38"/>
      <c r="NB34" s="38"/>
      <c r="NC34" s="38"/>
      <c r="ND34" s="38"/>
      <c r="NE34" s="38"/>
      <c r="NF34" s="38"/>
      <c r="NG34" s="38"/>
      <c r="NH34" s="38"/>
      <c r="NI34" s="38"/>
      <c r="NJ34" s="38"/>
      <c r="NK34" s="38"/>
      <c r="NL34" s="38"/>
      <c r="NM34" s="38"/>
      <c r="NN34" s="38"/>
      <c r="NO34" s="38"/>
      <c r="NP34" s="38"/>
      <c r="NQ34" s="38"/>
      <c r="NR34" s="38"/>
      <c r="NS34" s="38"/>
      <c r="NT34" s="38"/>
      <c r="NU34" s="38"/>
      <c r="NV34" s="38"/>
      <c r="NW34" s="38"/>
      <c r="NX34" s="38"/>
      <c r="NY34" s="38"/>
      <c r="NZ34" s="38"/>
      <c r="OA34" s="38"/>
      <c r="OB34" s="38"/>
      <c r="OC34" s="38"/>
      <c r="OD34" s="38"/>
      <c r="OE34" s="38"/>
      <c r="OF34" s="38"/>
      <c r="OG34" s="38"/>
      <c r="OH34" s="38"/>
      <c r="OI34" s="38"/>
      <c r="OJ34" s="38"/>
      <c r="OK34" s="38"/>
      <c r="OL34" s="38"/>
      <c r="OM34" s="38"/>
      <c r="ON34" s="38"/>
      <c r="OO34" s="38"/>
      <c r="OP34" s="38"/>
      <c r="OQ34" s="38"/>
      <c r="OR34" s="38"/>
      <c r="OS34" s="38"/>
      <c r="OT34" s="38"/>
      <c r="OU34" s="38"/>
      <c r="OV34" s="38"/>
      <c r="OW34" s="38"/>
      <c r="OX34" s="38"/>
      <c r="OY34" s="38"/>
      <c r="OZ34" s="38"/>
      <c r="PA34" s="38"/>
      <c r="PB34" s="38"/>
      <c r="PC34" s="38"/>
      <c r="PD34" s="38"/>
      <c r="PE34" s="38"/>
      <c r="PF34" s="38"/>
      <c r="PG34" s="38"/>
      <c r="PH34" s="38"/>
      <c r="PI34" s="38"/>
      <c r="PJ34" s="38"/>
      <c r="PK34" s="38"/>
      <c r="PL34" s="38"/>
      <c r="PM34" s="38"/>
      <c r="PN34" s="38"/>
      <c r="PO34" s="38"/>
      <c r="PP34" s="38"/>
      <c r="PQ34" s="38"/>
      <c r="PR34" s="38"/>
      <c r="PS34" s="38"/>
      <c r="PT34" s="38"/>
      <c r="PU34" s="38"/>
      <c r="PV34" s="38"/>
      <c r="PW34" s="38"/>
      <c r="PX34" s="38"/>
      <c r="PY34" s="38"/>
      <c r="PZ34" s="38"/>
      <c r="QA34" s="38"/>
      <c r="QB34" s="38"/>
      <c r="QC34" s="38"/>
      <c r="QD34" s="38"/>
      <c r="QE34" s="38"/>
      <c r="QF34" s="38"/>
      <c r="QG34" s="38"/>
      <c r="QH34" s="38"/>
      <c r="QI34" s="38"/>
      <c r="QJ34" s="38"/>
      <c r="QK34" s="38"/>
      <c r="QL34" s="38"/>
      <c r="QM34" s="38"/>
      <c r="QN34" s="38"/>
      <c r="QO34" s="38"/>
      <c r="QP34" s="38"/>
      <c r="QQ34" s="38"/>
      <c r="QR34" s="38"/>
      <c r="QS34" s="38"/>
      <c r="QT34" s="38"/>
      <c r="QU34" s="38"/>
      <c r="QV34" s="38"/>
      <c r="QW34" s="38"/>
      <c r="QX34" s="38"/>
      <c r="QY34" s="38"/>
      <c r="QZ34" s="38"/>
      <c r="RA34" s="38"/>
      <c r="RB34" s="38"/>
      <c r="RC34" s="38"/>
      <c r="RD34" s="38"/>
      <c r="RE34" s="38"/>
      <c r="RF34" s="38"/>
      <c r="RG34" s="38"/>
      <c r="RH34" s="38"/>
      <c r="RI34" s="38"/>
      <c r="RJ34" s="38"/>
      <c r="RK34" s="38"/>
      <c r="RL34" s="38"/>
      <c r="RM34" s="38"/>
      <c r="RN34" s="38"/>
      <c r="RO34" s="38"/>
      <c r="RP34" s="38"/>
      <c r="RQ34" s="38"/>
      <c r="RR34" s="38"/>
      <c r="RS34" s="38"/>
      <c r="RT34" s="38"/>
      <c r="RU34" s="38"/>
      <c r="RV34" s="38"/>
      <c r="RW34" s="38"/>
      <c r="RX34" s="38"/>
      <c r="RY34" s="38"/>
      <c r="RZ34" s="38"/>
      <c r="SA34" s="38"/>
      <c r="SB34" s="38"/>
      <c r="SC34" s="38"/>
      <c r="SD34" s="38"/>
      <c r="SE34" s="38"/>
      <c r="SF34" s="38"/>
      <c r="SG34" s="38"/>
      <c r="SH34" s="38"/>
      <c r="SI34" s="38"/>
      <c r="SJ34" s="38"/>
      <c r="SK34" s="38"/>
      <c r="SL34" s="38"/>
      <c r="SM34" s="38"/>
      <c r="SN34" s="38"/>
      <c r="SO34" s="38"/>
      <c r="SP34" s="38"/>
      <c r="SQ34" s="38"/>
      <c r="SR34" s="38"/>
      <c r="SS34" s="38"/>
      <c r="ST34" s="38"/>
      <c r="SU34" s="38"/>
      <c r="SV34" s="38"/>
      <c r="SW34" s="38"/>
      <c r="SX34" s="38"/>
      <c r="SY34" s="38"/>
      <c r="SZ34" s="38"/>
      <c r="TA34" s="38"/>
      <c r="TB34" s="38"/>
      <c r="TC34" s="38"/>
      <c r="TD34" s="38"/>
      <c r="TE34" s="38"/>
      <c r="TF34" s="38"/>
      <c r="TG34" s="38"/>
      <c r="TH34" s="38"/>
      <c r="TI34" s="38"/>
      <c r="TJ34" s="38"/>
      <c r="TK34" s="38"/>
      <c r="TL34" s="38"/>
      <c r="TM34" s="38"/>
    </row>
    <row r="35" spans="1:533" s="68" customFormat="1" ht="18.75" x14ac:dyDescent="0.25">
      <c r="A35" s="39"/>
      <c r="B35" s="50" t="s">
        <v>76</v>
      </c>
      <c r="C35" s="41" t="s">
        <v>82</v>
      </c>
      <c r="D35" s="56" t="s">
        <v>83</v>
      </c>
      <c r="E35" s="43" t="s">
        <v>60</v>
      </c>
      <c r="F35" s="53">
        <v>576</v>
      </c>
      <c r="G35" s="58"/>
      <c r="H35" s="46"/>
      <c r="I35" s="47">
        <f t="shared" si="2"/>
        <v>0</v>
      </c>
      <c r="J35" s="48">
        <v>2007</v>
      </c>
      <c r="K35" s="47" t="s">
        <v>30</v>
      </c>
      <c r="L35" s="49"/>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c r="ET35" s="38"/>
      <c r="EU35" s="38"/>
      <c r="EV35" s="38"/>
      <c r="EW35" s="38"/>
      <c r="EX35" s="38"/>
      <c r="EY35" s="38"/>
      <c r="EZ35" s="38"/>
      <c r="FA35" s="38"/>
      <c r="FB35" s="38"/>
      <c r="FC35" s="38"/>
      <c r="FD35" s="38"/>
      <c r="FE35" s="38"/>
      <c r="FF35" s="38"/>
      <c r="FG35" s="38"/>
      <c r="FH35" s="38"/>
      <c r="FI35" s="38"/>
      <c r="FJ35" s="38"/>
      <c r="FK35" s="38"/>
      <c r="FL35" s="38"/>
      <c r="FM35" s="38"/>
      <c r="FN35" s="38"/>
      <c r="FO35" s="38"/>
      <c r="FP35" s="38"/>
      <c r="FQ35" s="38"/>
      <c r="FR35" s="38"/>
      <c r="FS35" s="38"/>
      <c r="FT35" s="38"/>
      <c r="FU35" s="38"/>
      <c r="FV35" s="38"/>
      <c r="FW35" s="38"/>
      <c r="FX35" s="38"/>
      <c r="FY35" s="38"/>
      <c r="FZ35" s="38"/>
      <c r="GA35" s="38"/>
      <c r="GB35" s="38"/>
      <c r="GC35" s="38"/>
      <c r="GD35" s="38"/>
      <c r="GE35" s="38"/>
      <c r="GF35" s="38"/>
      <c r="GG35" s="38"/>
      <c r="GH35" s="38"/>
      <c r="GI35" s="38"/>
      <c r="GJ35" s="38"/>
      <c r="GK35" s="38"/>
      <c r="GL35" s="38"/>
      <c r="GM35" s="38"/>
      <c r="GN35" s="38"/>
      <c r="GO35" s="38"/>
      <c r="GP35" s="38"/>
      <c r="GQ35" s="38"/>
      <c r="GR35" s="38"/>
      <c r="GS35" s="38"/>
      <c r="GT35" s="38"/>
      <c r="GU35" s="38"/>
      <c r="GV35" s="38"/>
      <c r="GW35" s="38"/>
      <c r="GX35" s="38"/>
      <c r="GY35" s="38"/>
      <c r="GZ35" s="38"/>
      <c r="HA35" s="38"/>
      <c r="HB35" s="38"/>
      <c r="HC35" s="38"/>
      <c r="HD35" s="38"/>
      <c r="HE35" s="38"/>
      <c r="HF35" s="38"/>
      <c r="HG35" s="38"/>
      <c r="HH35" s="38"/>
      <c r="HI35" s="38"/>
      <c r="HJ35" s="38"/>
      <c r="HK35" s="38"/>
      <c r="HL35" s="38"/>
      <c r="HM35" s="38"/>
      <c r="HN35" s="38"/>
      <c r="HO35" s="38"/>
      <c r="HP35" s="38"/>
      <c r="HQ35" s="38"/>
      <c r="HR35" s="38"/>
      <c r="HS35" s="38"/>
      <c r="HT35" s="38"/>
      <c r="HU35" s="38"/>
      <c r="HV35" s="38"/>
      <c r="HW35" s="38"/>
      <c r="HX35" s="38"/>
      <c r="HY35" s="38"/>
      <c r="HZ35" s="38"/>
      <c r="IA35" s="38"/>
      <c r="IB35" s="38"/>
      <c r="IC35" s="38"/>
      <c r="ID35" s="38"/>
      <c r="IE35" s="38"/>
      <c r="IF35" s="38"/>
      <c r="IG35" s="38"/>
      <c r="IH35" s="38"/>
      <c r="II35" s="38"/>
      <c r="IJ35" s="38"/>
      <c r="IK35" s="38"/>
      <c r="IL35" s="38"/>
      <c r="IM35" s="38"/>
      <c r="IN35" s="38"/>
      <c r="IO35" s="38"/>
      <c r="IP35" s="38"/>
      <c r="IQ35" s="38"/>
      <c r="IR35" s="38"/>
      <c r="IS35" s="38"/>
      <c r="IT35" s="38"/>
      <c r="IU35" s="38"/>
      <c r="IV35" s="38"/>
      <c r="IW35" s="38"/>
      <c r="IX35" s="38"/>
      <c r="IY35" s="38"/>
      <c r="IZ35" s="38"/>
      <c r="JA35" s="38"/>
      <c r="JB35" s="38"/>
      <c r="JC35" s="38"/>
      <c r="JD35" s="38"/>
      <c r="JE35" s="38"/>
      <c r="JF35" s="38"/>
      <c r="JG35" s="38"/>
      <c r="JH35" s="38"/>
      <c r="JI35" s="38"/>
      <c r="JJ35" s="38"/>
      <c r="JK35" s="38"/>
      <c r="JL35" s="38"/>
      <c r="JM35" s="38"/>
      <c r="JN35" s="38"/>
      <c r="JO35" s="38"/>
      <c r="JP35" s="38"/>
      <c r="JQ35" s="38"/>
      <c r="JR35" s="38"/>
      <c r="JS35" s="38"/>
      <c r="JT35" s="38"/>
      <c r="JU35" s="38"/>
      <c r="JV35" s="38"/>
      <c r="JW35" s="38"/>
      <c r="JX35" s="38"/>
      <c r="JY35" s="38"/>
      <c r="JZ35" s="38"/>
      <c r="KA35" s="38"/>
      <c r="KB35" s="38"/>
      <c r="KC35" s="38"/>
      <c r="KD35" s="38"/>
      <c r="KE35" s="38"/>
      <c r="KF35" s="38"/>
      <c r="KG35" s="38"/>
      <c r="KH35" s="38"/>
      <c r="KI35" s="38"/>
      <c r="KJ35" s="38"/>
      <c r="KK35" s="38"/>
      <c r="KL35" s="38"/>
      <c r="KM35" s="38"/>
      <c r="KN35" s="38"/>
      <c r="KO35" s="38"/>
      <c r="KP35" s="38"/>
      <c r="KQ35" s="38"/>
      <c r="KR35" s="38"/>
      <c r="KS35" s="38"/>
      <c r="KT35" s="38"/>
      <c r="KU35" s="38"/>
      <c r="KV35" s="38"/>
      <c r="KW35" s="38"/>
      <c r="KX35" s="38"/>
      <c r="KY35" s="38"/>
      <c r="KZ35" s="38"/>
      <c r="LA35" s="38"/>
      <c r="LB35" s="38"/>
      <c r="LC35" s="38"/>
      <c r="LD35" s="38"/>
      <c r="LE35" s="38"/>
      <c r="LF35" s="38"/>
      <c r="LG35" s="38"/>
      <c r="LH35" s="38"/>
      <c r="LI35" s="38"/>
      <c r="LJ35" s="38"/>
      <c r="LK35" s="38"/>
      <c r="LL35" s="38"/>
      <c r="LM35" s="38"/>
      <c r="LN35" s="38"/>
      <c r="LO35" s="38"/>
      <c r="LP35" s="38"/>
      <c r="LQ35" s="38"/>
      <c r="LR35" s="38"/>
      <c r="LS35" s="38"/>
      <c r="LT35" s="38"/>
      <c r="LU35" s="38"/>
      <c r="LV35" s="38"/>
      <c r="LW35" s="38"/>
      <c r="LX35" s="38"/>
      <c r="LY35" s="38"/>
      <c r="LZ35" s="38"/>
      <c r="MA35" s="38"/>
      <c r="MB35" s="38"/>
      <c r="MC35" s="38"/>
      <c r="MD35" s="38"/>
      <c r="ME35" s="38"/>
      <c r="MF35" s="38"/>
      <c r="MG35" s="38"/>
      <c r="MH35" s="38"/>
      <c r="MI35" s="38"/>
      <c r="MJ35" s="38"/>
      <c r="MK35" s="38"/>
      <c r="ML35" s="38"/>
      <c r="MM35" s="38"/>
      <c r="MN35" s="38"/>
      <c r="MO35" s="38"/>
      <c r="MP35" s="38"/>
      <c r="MQ35" s="38"/>
      <c r="MR35" s="38"/>
      <c r="MS35" s="38"/>
      <c r="MT35" s="38"/>
      <c r="MU35" s="38"/>
      <c r="MV35" s="38"/>
      <c r="MW35" s="38"/>
      <c r="MX35" s="38"/>
      <c r="MY35" s="38"/>
      <c r="MZ35" s="38"/>
      <c r="NA35" s="38"/>
      <c r="NB35" s="38"/>
      <c r="NC35" s="38"/>
      <c r="ND35" s="38"/>
      <c r="NE35" s="38"/>
      <c r="NF35" s="38"/>
      <c r="NG35" s="38"/>
      <c r="NH35" s="38"/>
      <c r="NI35" s="38"/>
      <c r="NJ35" s="38"/>
      <c r="NK35" s="38"/>
      <c r="NL35" s="38"/>
      <c r="NM35" s="38"/>
      <c r="NN35" s="38"/>
      <c r="NO35" s="38"/>
      <c r="NP35" s="38"/>
      <c r="NQ35" s="38"/>
      <c r="NR35" s="38"/>
      <c r="NS35" s="38"/>
      <c r="NT35" s="38"/>
      <c r="NU35" s="38"/>
      <c r="NV35" s="38"/>
      <c r="NW35" s="38"/>
      <c r="NX35" s="38"/>
      <c r="NY35" s="38"/>
      <c r="NZ35" s="38"/>
      <c r="OA35" s="38"/>
      <c r="OB35" s="38"/>
      <c r="OC35" s="38"/>
      <c r="OD35" s="38"/>
      <c r="OE35" s="38"/>
      <c r="OF35" s="38"/>
      <c r="OG35" s="38"/>
      <c r="OH35" s="38"/>
      <c r="OI35" s="38"/>
      <c r="OJ35" s="38"/>
      <c r="OK35" s="38"/>
      <c r="OL35" s="38"/>
      <c r="OM35" s="38"/>
      <c r="ON35" s="38"/>
      <c r="OO35" s="38"/>
      <c r="OP35" s="38"/>
      <c r="OQ35" s="38"/>
      <c r="OR35" s="38"/>
      <c r="OS35" s="38"/>
      <c r="OT35" s="38"/>
      <c r="OU35" s="38"/>
      <c r="OV35" s="38"/>
      <c r="OW35" s="38"/>
      <c r="OX35" s="38"/>
      <c r="OY35" s="38"/>
      <c r="OZ35" s="38"/>
      <c r="PA35" s="38"/>
      <c r="PB35" s="38"/>
      <c r="PC35" s="38"/>
      <c r="PD35" s="38"/>
      <c r="PE35" s="38"/>
      <c r="PF35" s="38"/>
      <c r="PG35" s="38"/>
      <c r="PH35" s="38"/>
      <c r="PI35" s="38"/>
      <c r="PJ35" s="38"/>
      <c r="PK35" s="38"/>
      <c r="PL35" s="38"/>
      <c r="PM35" s="38"/>
      <c r="PN35" s="38"/>
      <c r="PO35" s="38"/>
      <c r="PP35" s="38"/>
      <c r="PQ35" s="38"/>
      <c r="PR35" s="38"/>
      <c r="PS35" s="38"/>
      <c r="PT35" s="38"/>
      <c r="PU35" s="38"/>
      <c r="PV35" s="38"/>
      <c r="PW35" s="38"/>
      <c r="PX35" s="38"/>
      <c r="PY35" s="38"/>
      <c r="PZ35" s="38"/>
      <c r="QA35" s="38"/>
      <c r="QB35" s="38"/>
      <c r="QC35" s="38"/>
      <c r="QD35" s="38"/>
      <c r="QE35" s="38"/>
      <c r="QF35" s="38"/>
      <c r="QG35" s="38"/>
      <c r="QH35" s="38"/>
      <c r="QI35" s="38"/>
      <c r="QJ35" s="38"/>
      <c r="QK35" s="38"/>
      <c r="QL35" s="38"/>
      <c r="QM35" s="38"/>
      <c r="QN35" s="38"/>
      <c r="QO35" s="38"/>
      <c r="QP35" s="38"/>
      <c r="QQ35" s="38"/>
      <c r="QR35" s="38"/>
      <c r="QS35" s="38"/>
      <c r="QT35" s="38"/>
      <c r="QU35" s="38"/>
      <c r="QV35" s="38"/>
      <c r="QW35" s="38"/>
      <c r="QX35" s="38"/>
      <c r="QY35" s="38"/>
      <c r="QZ35" s="38"/>
      <c r="RA35" s="38"/>
      <c r="RB35" s="38"/>
      <c r="RC35" s="38"/>
      <c r="RD35" s="38"/>
      <c r="RE35" s="38"/>
      <c r="RF35" s="38"/>
      <c r="RG35" s="38"/>
      <c r="RH35" s="38"/>
      <c r="RI35" s="38"/>
      <c r="RJ35" s="38"/>
      <c r="RK35" s="38"/>
      <c r="RL35" s="38"/>
      <c r="RM35" s="38"/>
      <c r="RN35" s="38"/>
      <c r="RO35" s="38"/>
      <c r="RP35" s="38"/>
      <c r="RQ35" s="38"/>
      <c r="RR35" s="38"/>
      <c r="RS35" s="38"/>
      <c r="RT35" s="38"/>
      <c r="RU35" s="38"/>
      <c r="RV35" s="38"/>
      <c r="RW35" s="38"/>
      <c r="RX35" s="38"/>
      <c r="RY35" s="38"/>
      <c r="RZ35" s="38"/>
      <c r="SA35" s="38"/>
      <c r="SB35" s="38"/>
      <c r="SC35" s="38"/>
      <c r="SD35" s="38"/>
      <c r="SE35" s="38"/>
      <c r="SF35" s="38"/>
      <c r="SG35" s="38"/>
      <c r="SH35" s="38"/>
      <c r="SI35" s="38"/>
      <c r="SJ35" s="38"/>
      <c r="SK35" s="38"/>
      <c r="SL35" s="38"/>
      <c r="SM35" s="38"/>
      <c r="SN35" s="38"/>
      <c r="SO35" s="38"/>
      <c r="SP35" s="38"/>
      <c r="SQ35" s="38"/>
      <c r="SR35" s="38"/>
      <c r="SS35" s="38"/>
      <c r="ST35" s="38"/>
      <c r="SU35" s="38"/>
      <c r="SV35" s="38"/>
      <c r="SW35" s="38"/>
      <c r="SX35" s="38"/>
      <c r="SY35" s="38"/>
      <c r="SZ35" s="38"/>
      <c r="TA35" s="38"/>
      <c r="TB35" s="38"/>
      <c r="TC35" s="38"/>
      <c r="TD35" s="38"/>
      <c r="TE35" s="38"/>
      <c r="TF35" s="38"/>
      <c r="TG35" s="38"/>
      <c r="TH35" s="38"/>
      <c r="TI35" s="38"/>
      <c r="TJ35" s="38"/>
      <c r="TK35" s="38"/>
      <c r="TL35" s="38"/>
      <c r="TM35" s="38"/>
    </row>
    <row r="36" spans="1:533" s="39" customFormat="1" ht="18.75" x14ac:dyDescent="0.25">
      <c r="B36" s="50" t="s">
        <v>76</v>
      </c>
      <c r="C36" s="41"/>
      <c r="D36" s="57" t="s">
        <v>84</v>
      </c>
      <c r="E36" s="52"/>
      <c r="F36" s="53"/>
      <c r="G36" s="58"/>
      <c r="H36" s="46"/>
      <c r="I36" s="55"/>
      <c r="J36" s="48"/>
      <c r="K36" s="47"/>
      <c r="L36" s="49"/>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row>
    <row r="37" spans="1:533" s="68" customFormat="1" ht="18.75" x14ac:dyDescent="0.25">
      <c r="A37" s="39"/>
      <c r="B37" s="50" t="s">
        <v>76</v>
      </c>
      <c r="C37" s="41" t="s">
        <v>85</v>
      </c>
      <c r="D37" s="56" t="s">
        <v>83</v>
      </c>
      <c r="E37" s="43" t="s">
        <v>60</v>
      </c>
      <c r="F37" s="53">
        <v>114</v>
      </c>
      <c r="G37" s="58"/>
      <c r="H37" s="46"/>
      <c r="I37" s="47">
        <f t="shared" si="2"/>
        <v>0</v>
      </c>
      <c r="J37" s="48">
        <v>2007</v>
      </c>
      <c r="K37" s="47" t="s">
        <v>30</v>
      </c>
      <c r="L37" s="49"/>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c r="EK37" s="38"/>
      <c r="EL37" s="38"/>
      <c r="EM37" s="38"/>
      <c r="EN37" s="38"/>
      <c r="EO37" s="38"/>
      <c r="EP37" s="38"/>
      <c r="EQ37" s="38"/>
      <c r="ER37" s="38"/>
      <c r="ES37" s="38"/>
      <c r="ET37" s="38"/>
      <c r="EU37" s="38"/>
      <c r="EV37" s="38"/>
      <c r="EW37" s="38"/>
      <c r="EX37" s="38"/>
      <c r="EY37" s="38"/>
      <c r="EZ37" s="38"/>
      <c r="FA37" s="38"/>
      <c r="FB37" s="38"/>
      <c r="FC37" s="38"/>
      <c r="FD37" s="38"/>
      <c r="FE37" s="38"/>
      <c r="FF37" s="38"/>
      <c r="FG37" s="38"/>
      <c r="FH37" s="38"/>
      <c r="FI37" s="38"/>
      <c r="FJ37" s="38"/>
      <c r="FK37" s="38"/>
      <c r="FL37" s="38"/>
      <c r="FM37" s="38"/>
      <c r="FN37" s="38"/>
      <c r="FO37" s="38"/>
      <c r="FP37" s="38"/>
      <c r="FQ37" s="38"/>
      <c r="FR37" s="38"/>
      <c r="FS37" s="38"/>
      <c r="FT37" s="38"/>
      <c r="FU37" s="38"/>
      <c r="FV37" s="38"/>
      <c r="FW37" s="38"/>
      <c r="FX37" s="38"/>
      <c r="FY37" s="38"/>
      <c r="FZ37" s="38"/>
      <c r="GA37" s="38"/>
      <c r="GB37" s="38"/>
      <c r="GC37" s="38"/>
      <c r="GD37" s="38"/>
      <c r="GE37" s="38"/>
      <c r="GF37" s="38"/>
      <c r="GG37" s="38"/>
      <c r="GH37" s="38"/>
      <c r="GI37" s="38"/>
      <c r="GJ37" s="38"/>
      <c r="GK37" s="38"/>
      <c r="GL37" s="38"/>
      <c r="GM37" s="38"/>
      <c r="GN37" s="38"/>
      <c r="GO37" s="38"/>
      <c r="GP37" s="38"/>
      <c r="GQ37" s="38"/>
      <c r="GR37" s="38"/>
      <c r="GS37" s="38"/>
      <c r="GT37" s="38"/>
      <c r="GU37" s="38"/>
      <c r="GV37" s="38"/>
      <c r="GW37" s="38"/>
      <c r="GX37" s="38"/>
      <c r="GY37" s="38"/>
      <c r="GZ37" s="38"/>
      <c r="HA37" s="38"/>
      <c r="HB37" s="38"/>
      <c r="HC37" s="38"/>
      <c r="HD37" s="38"/>
      <c r="HE37" s="38"/>
      <c r="HF37" s="38"/>
      <c r="HG37" s="38"/>
      <c r="HH37" s="38"/>
      <c r="HI37" s="38"/>
      <c r="HJ37" s="38"/>
      <c r="HK37" s="38"/>
      <c r="HL37" s="38"/>
      <c r="HM37" s="38"/>
      <c r="HN37" s="38"/>
      <c r="HO37" s="38"/>
      <c r="HP37" s="38"/>
      <c r="HQ37" s="38"/>
      <c r="HR37" s="38"/>
      <c r="HS37" s="38"/>
      <c r="HT37" s="38"/>
      <c r="HU37" s="38"/>
      <c r="HV37" s="38"/>
      <c r="HW37" s="38"/>
      <c r="HX37" s="38"/>
      <c r="HY37" s="38"/>
      <c r="HZ37" s="38"/>
      <c r="IA37" s="38"/>
      <c r="IB37" s="38"/>
      <c r="IC37" s="38"/>
      <c r="ID37" s="38"/>
      <c r="IE37" s="38"/>
      <c r="IF37" s="38"/>
      <c r="IG37" s="38"/>
      <c r="IH37" s="38"/>
      <c r="II37" s="38"/>
      <c r="IJ37" s="38"/>
      <c r="IK37" s="38"/>
      <c r="IL37" s="38"/>
      <c r="IM37" s="38"/>
      <c r="IN37" s="38"/>
      <c r="IO37" s="38"/>
      <c r="IP37" s="38"/>
      <c r="IQ37" s="38"/>
      <c r="IR37" s="38"/>
      <c r="IS37" s="38"/>
      <c r="IT37" s="38"/>
      <c r="IU37" s="38"/>
      <c r="IV37" s="38"/>
      <c r="IW37" s="38"/>
      <c r="IX37" s="38"/>
      <c r="IY37" s="38"/>
      <c r="IZ37" s="38"/>
      <c r="JA37" s="38"/>
      <c r="JB37" s="38"/>
      <c r="JC37" s="38"/>
      <c r="JD37" s="38"/>
      <c r="JE37" s="38"/>
      <c r="JF37" s="38"/>
      <c r="JG37" s="38"/>
      <c r="JH37" s="38"/>
      <c r="JI37" s="38"/>
      <c r="JJ37" s="38"/>
      <c r="JK37" s="38"/>
      <c r="JL37" s="38"/>
      <c r="JM37" s="38"/>
      <c r="JN37" s="38"/>
      <c r="JO37" s="38"/>
      <c r="JP37" s="38"/>
      <c r="JQ37" s="38"/>
      <c r="JR37" s="38"/>
      <c r="JS37" s="38"/>
      <c r="JT37" s="38"/>
      <c r="JU37" s="38"/>
      <c r="JV37" s="38"/>
      <c r="JW37" s="38"/>
      <c r="JX37" s="38"/>
      <c r="JY37" s="38"/>
      <c r="JZ37" s="38"/>
      <c r="KA37" s="38"/>
      <c r="KB37" s="38"/>
      <c r="KC37" s="38"/>
      <c r="KD37" s="38"/>
      <c r="KE37" s="38"/>
      <c r="KF37" s="38"/>
      <c r="KG37" s="38"/>
      <c r="KH37" s="38"/>
      <c r="KI37" s="38"/>
      <c r="KJ37" s="38"/>
      <c r="KK37" s="38"/>
      <c r="KL37" s="38"/>
      <c r="KM37" s="38"/>
      <c r="KN37" s="38"/>
      <c r="KO37" s="38"/>
      <c r="KP37" s="38"/>
      <c r="KQ37" s="38"/>
      <c r="KR37" s="38"/>
      <c r="KS37" s="38"/>
      <c r="KT37" s="38"/>
      <c r="KU37" s="38"/>
      <c r="KV37" s="38"/>
      <c r="KW37" s="38"/>
      <c r="KX37" s="38"/>
      <c r="KY37" s="38"/>
      <c r="KZ37" s="38"/>
      <c r="LA37" s="38"/>
      <c r="LB37" s="38"/>
      <c r="LC37" s="38"/>
      <c r="LD37" s="38"/>
      <c r="LE37" s="38"/>
      <c r="LF37" s="38"/>
      <c r="LG37" s="38"/>
      <c r="LH37" s="38"/>
      <c r="LI37" s="38"/>
      <c r="LJ37" s="38"/>
      <c r="LK37" s="38"/>
      <c r="LL37" s="38"/>
      <c r="LM37" s="38"/>
      <c r="LN37" s="38"/>
      <c r="LO37" s="38"/>
      <c r="LP37" s="38"/>
      <c r="LQ37" s="38"/>
      <c r="LR37" s="38"/>
      <c r="LS37" s="38"/>
      <c r="LT37" s="38"/>
      <c r="LU37" s="38"/>
      <c r="LV37" s="38"/>
      <c r="LW37" s="38"/>
      <c r="LX37" s="38"/>
      <c r="LY37" s="38"/>
      <c r="LZ37" s="38"/>
      <c r="MA37" s="38"/>
      <c r="MB37" s="38"/>
      <c r="MC37" s="38"/>
      <c r="MD37" s="38"/>
      <c r="ME37" s="38"/>
      <c r="MF37" s="38"/>
      <c r="MG37" s="38"/>
      <c r="MH37" s="38"/>
      <c r="MI37" s="38"/>
      <c r="MJ37" s="38"/>
      <c r="MK37" s="38"/>
      <c r="ML37" s="38"/>
      <c r="MM37" s="38"/>
      <c r="MN37" s="38"/>
      <c r="MO37" s="38"/>
      <c r="MP37" s="38"/>
      <c r="MQ37" s="38"/>
      <c r="MR37" s="38"/>
      <c r="MS37" s="38"/>
      <c r="MT37" s="38"/>
      <c r="MU37" s="38"/>
      <c r="MV37" s="38"/>
      <c r="MW37" s="38"/>
      <c r="MX37" s="38"/>
      <c r="MY37" s="38"/>
      <c r="MZ37" s="38"/>
      <c r="NA37" s="38"/>
      <c r="NB37" s="38"/>
      <c r="NC37" s="38"/>
      <c r="ND37" s="38"/>
      <c r="NE37" s="38"/>
      <c r="NF37" s="38"/>
      <c r="NG37" s="38"/>
      <c r="NH37" s="38"/>
      <c r="NI37" s="38"/>
      <c r="NJ37" s="38"/>
      <c r="NK37" s="38"/>
      <c r="NL37" s="38"/>
      <c r="NM37" s="38"/>
      <c r="NN37" s="38"/>
      <c r="NO37" s="38"/>
      <c r="NP37" s="38"/>
      <c r="NQ37" s="38"/>
      <c r="NR37" s="38"/>
      <c r="NS37" s="38"/>
      <c r="NT37" s="38"/>
      <c r="NU37" s="38"/>
      <c r="NV37" s="38"/>
      <c r="NW37" s="38"/>
      <c r="NX37" s="38"/>
      <c r="NY37" s="38"/>
      <c r="NZ37" s="38"/>
      <c r="OA37" s="38"/>
      <c r="OB37" s="38"/>
      <c r="OC37" s="38"/>
      <c r="OD37" s="38"/>
      <c r="OE37" s="38"/>
      <c r="OF37" s="38"/>
      <c r="OG37" s="38"/>
      <c r="OH37" s="38"/>
      <c r="OI37" s="38"/>
      <c r="OJ37" s="38"/>
      <c r="OK37" s="38"/>
      <c r="OL37" s="38"/>
      <c r="OM37" s="38"/>
      <c r="ON37" s="38"/>
      <c r="OO37" s="38"/>
      <c r="OP37" s="38"/>
      <c r="OQ37" s="38"/>
      <c r="OR37" s="38"/>
      <c r="OS37" s="38"/>
      <c r="OT37" s="38"/>
      <c r="OU37" s="38"/>
      <c r="OV37" s="38"/>
      <c r="OW37" s="38"/>
      <c r="OX37" s="38"/>
      <c r="OY37" s="38"/>
      <c r="OZ37" s="38"/>
      <c r="PA37" s="38"/>
      <c r="PB37" s="38"/>
      <c r="PC37" s="38"/>
      <c r="PD37" s="38"/>
      <c r="PE37" s="38"/>
      <c r="PF37" s="38"/>
      <c r="PG37" s="38"/>
      <c r="PH37" s="38"/>
      <c r="PI37" s="38"/>
      <c r="PJ37" s="38"/>
      <c r="PK37" s="38"/>
      <c r="PL37" s="38"/>
      <c r="PM37" s="38"/>
      <c r="PN37" s="38"/>
      <c r="PO37" s="38"/>
      <c r="PP37" s="38"/>
      <c r="PQ37" s="38"/>
      <c r="PR37" s="38"/>
      <c r="PS37" s="38"/>
      <c r="PT37" s="38"/>
      <c r="PU37" s="38"/>
      <c r="PV37" s="38"/>
      <c r="PW37" s="38"/>
      <c r="PX37" s="38"/>
      <c r="PY37" s="38"/>
      <c r="PZ37" s="38"/>
      <c r="QA37" s="38"/>
      <c r="QB37" s="38"/>
      <c r="QC37" s="38"/>
      <c r="QD37" s="38"/>
      <c r="QE37" s="38"/>
      <c r="QF37" s="38"/>
      <c r="QG37" s="38"/>
      <c r="QH37" s="38"/>
      <c r="QI37" s="38"/>
      <c r="QJ37" s="38"/>
      <c r="QK37" s="38"/>
      <c r="QL37" s="38"/>
      <c r="QM37" s="38"/>
      <c r="QN37" s="38"/>
      <c r="QO37" s="38"/>
      <c r="QP37" s="38"/>
      <c r="QQ37" s="38"/>
      <c r="QR37" s="38"/>
      <c r="QS37" s="38"/>
      <c r="QT37" s="38"/>
      <c r="QU37" s="38"/>
      <c r="QV37" s="38"/>
      <c r="QW37" s="38"/>
      <c r="QX37" s="38"/>
      <c r="QY37" s="38"/>
      <c r="QZ37" s="38"/>
      <c r="RA37" s="38"/>
      <c r="RB37" s="38"/>
      <c r="RC37" s="38"/>
      <c r="RD37" s="38"/>
      <c r="RE37" s="38"/>
      <c r="RF37" s="38"/>
      <c r="RG37" s="38"/>
      <c r="RH37" s="38"/>
      <c r="RI37" s="38"/>
      <c r="RJ37" s="38"/>
      <c r="RK37" s="38"/>
      <c r="RL37" s="38"/>
      <c r="RM37" s="38"/>
      <c r="RN37" s="38"/>
      <c r="RO37" s="38"/>
      <c r="RP37" s="38"/>
      <c r="RQ37" s="38"/>
      <c r="RR37" s="38"/>
      <c r="RS37" s="38"/>
      <c r="RT37" s="38"/>
      <c r="RU37" s="38"/>
      <c r="RV37" s="38"/>
      <c r="RW37" s="38"/>
      <c r="RX37" s="38"/>
      <c r="RY37" s="38"/>
      <c r="RZ37" s="38"/>
      <c r="SA37" s="38"/>
      <c r="SB37" s="38"/>
      <c r="SC37" s="38"/>
      <c r="SD37" s="38"/>
      <c r="SE37" s="38"/>
      <c r="SF37" s="38"/>
      <c r="SG37" s="38"/>
      <c r="SH37" s="38"/>
      <c r="SI37" s="38"/>
      <c r="SJ37" s="38"/>
      <c r="SK37" s="38"/>
      <c r="SL37" s="38"/>
      <c r="SM37" s="38"/>
      <c r="SN37" s="38"/>
      <c r="SO37" s="38"/>
      <c r="SP37" s="38"/>
      <c r="SQ37" s="38"/>
      <c r="SR37" s="38"/>
      <c r="SS37" s="38"/>
      <c r="ST37" s="38"/>
      <c r="SU37" s="38"/>
      <c r="SV37" s="38"/>
      <c r="SW37" s="38"/>
      <c r="SX37" s="38"/>
      <c r="SY37" s="38"/>
      <c r="SZ37" s="38"/>
      <c r="TA37" s="38"/>
      <c r="TB37" s="38"/>
      <c r="TC37" s="38"/>
      <c r="TD37" s="38"/>
      <c r="TE37" s="38"/>
      <c r="TF37" s="38"/>
      <c r="TG37" s="38"/>
      <c r="TH37" s="38"/>
      <c r="TI37" s="38"/>
      <c r="TJ37" s="38"/>
      <c r="TK37" s="38"/>
      <c r="TL37" s="38"/>
      <c r="TM37" s="38"/>
    </row>
    <row r="38" spans="1:533" s="39" customFormat="1" ht="18.75" x14ac:dyDescent="0.25">
      <c r="B38" s="50" t="s">
        <v>76</v>
      </c>
      <c r="C38" s="41" t="s">
        <v>86</v>
      </c>
      <c r="D38" s="56" t="s">
        <v>87</v>
      </c>
      <c r="E38" s="43" t="s">
        <v>60</v>
      </c>
      <c r="F38" s="53">
        <v>94</v>
      </c>
      <c r="G38" s="58"/>
      <c r="H38" s="46"/>
      <c r="I38" s="47">
        <f t="shared" si="2"/>
        <v>0</v>
      </c>
      <c r="J38" s="48">
        <v>2007</v>
      </c>
      <c r="K38" s="47" t="s">
        <v>30</v>
      </c>
      <c r="L38" s="49"/>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s="38"/>
      <c r="DD38" s="38"/>
      <c r="DE38" s="38"/>
      <c r="DF38" s="38"/>
      <c r="DG38" s="38"/>
      <c r="DH38" s="38"/>
      <c r="DI38" s="38"/>
      <c r="DJ38" s="38"/>
      <c r="DK38" s="38"/>
      <c r="DL38" s="38"/>
      <c r="DM38" s="38"/>
      <c r="DN38" s="38"/>
      <c r="DO38" s="38"/>
      <c r="DP38" s="38"/>
      <c r="DQ38" s="38"/>
      <c r="DR38" s="38"/>
      <c r="DS38" s="38"/>
      <c r="DT38" s="38"/>
      <c r="DU38" s="38"/>
      <c r="DV38" s="38"/>
      <c r="DW38" s="38"/>
      <c r="DX38" s="38"/>
      <c r="DY38" s="38"/>
      <c r="DZ38" s="38"/>
      <c r="EA38" s="38"/>
      <c r="EB38" s="38"/>
      <c r="EC38" s="38"/>
      <c r="ED38" s="38"/>
      <c r="EE38" s="38"/>
      <c r="EF38" s="38"/>
      <c r="EG38" s="38"/>
      <c r="EH38" s="38"/>
      <c r="EI38" s="38"/>
      <c r="EJ38" s="38"/>
      <c r="EK38" s="38"/>
      <c r="EL38" s="38"/>
      <c r="EM38" s="38"/>
      <c r="EN38" s="38"/>
      <c r="EO38" s="38"/>
      <c r="EP38" s="38"/>
      <c r="EQ38" s="38"/>
      <c r="ER38" s="38"/>
      <c r="ES38" s="38"/>
      <c r="ET38" s="38"/>
      <c r="EU38" s="38"/>
      <c r="EV38" s="38"/>
      <c r="EW38" s="38"/>
      <c r="EX38" s="38"/>
      <c r="EY38" s="38"/>
      <c r="EZ38" s="38"/>
      <c r="FA38" s="38"/>
      <c r="FB38" s="38"/>
      <c r="FC38" s="38"/>
      <c r="FD38" s="38"/>
      <c r="FE38" s="38"/>
      <c r="FF38" s="38"/>
      <c r="FG38" s="38"/>
      <c r="FH38" s="38"/>
      <c r="FI38" s="38"/>
      <c r="FJ38" s="38"/>
      <c r="FK38" s="38"/>
      <c r="FL38" s="38"/>
      <c r="FM38" s="38"/>
      <c r="FN38" s="38"/>
      <c r="FO38" s="38"/>
      <c r="FP38" s="38"/>
      <c r="FQ38" s="38"/>
      <c r="FR38" s="38"/>
      <c r="FS38" s="38"/>
      <c r="FT38" s="38"/>
      <c r="FU38" s="38"/>
      <c r="FV38" s="38"/>
      <c r="FW38" s="38"/>
      <c r="FX38" s="38"/>
      <c r="FY38" s="38"/>
      <c r="FZ38" s="38"/>
      <c r="GA38" s="38"/>
      <c r="GB38" s="38"/>
      <c r="GC38" s="38"/>
      <c r="GD38" s="38"/>
      <c r="GE38" s="38"/>
      <c r="GF38" s="38"/>
      <c r="GG38" s="38"/>
      <c r="GH38" s="38"/>
      <c r="GI38" s="38"/>
      <c r="GJ38" s="38"/>
      <c r="GK38" s="38"/>
      <c r="GL38" s="38"/>
      <c r="GM38" s="38"/>
      <c r="GN38" s="38"/>
      <c r="GO38" s="38"/>
      <c r="GP38" s="38"/>
      <c r="GQ38" s="38"/>
      <c r="GR38" s="38"/>
      <c r="GS38" s="38"/>
      <c r="GT38" s="38"/>
      <c r="GU38" s="38"/>
      <c r="GV38" s="38"/>
      <c r="GW38" s="38"/>
      <c r="GX38" s="38"/>
      <c r="GY38" s="38"/>
      <c r="GZ38" s="38"/>
      <c r="HA38" s="38"/>
      <c r="HB38" s="38"/>
      <c r="HC38" s="38"/>
      <c r="HD38" s="38"/>
      <c r="HE38" s="38"/>
      <c r="HF38" s="38"/>
      <c r="HG38" s="38"/>
      <c r="HH38" s="38"/>
      <c r="HI38" s="38"/>
      <c r="HJ38" s="38"/>
      <c r="HK38" s="38"/>
      <c r="HL38" s="38"/>
      <c r="HM38" s="38"/>
      <c r="HN38" s="38"/>
      <c r="HO38" s="38"/>
      <c r="HP38" s="38"/>
      <c r="HQ38" s="38"/>
      <c r="HR38" s="38"/>
      <c r="HS38" s="38"/>
      <c r="HT38" s="38"/>
      <c r="HU38" s="38"/>
      <c r="HV38" s="38"/>
      <c r="HW38" s="38"/>
      <c r="HX38" s="38"/>
      <c r="HY38" s="38"/>
      <c r="HZ38" s="38"/>
      <c r="IA38" s="38"/>
      <c r="IB38" s="38"/>
      <c r="IC38" s="38"/>
      <c r="ID38" s="38"/>
      <c r="IE38" s="38"/>
      <c r="IF38" s="38"/>
      <c r="IG38" s="38"/>
      <c r="IH38" s="38"/>
      <c r="II38" s="38"/>
      <c r="IJ38" s="38"/>
      <c r="IK38" s="38"/>
      <c r="IL38" s="38"/>
      <c r="IM38" s="38"/>
      <c r="IN38" s="38"/>
      <c r="IO38" s="38"/>
      <c r="IP38" s="38"/>
      <c r="IQ38" s="38"/>
      <c r="IR38" s="38"/>
      <c r="IS38" s="38"/>
      <c r="IT38" s="38"/>
      <c r="IU38" s="38"/>
      <c r="IV38" s="38"/>
      <c r="IW38" s="38"/>
      <c r="IX38" s="38"/>
      <c r="IY38" s="38"/>
      <c r="IZ38" s="38"/>
      <c r="JA38" s="38"/>
      <c r="JB38" s="38"/>
      <c r="JC38" s="38"/>
      <c r="JD38" s="38"/>
      <c r="JE38" s="38"/>
      <c r="JF38" s="38"/>
      <c r="JG38" s="38"/>
      <c r="JH38" s="38"/>
      <c r="JI38" s="38"/>
      <c r="JJ38" s="38"/>
      <c r="JK38" s="38"/>
      <c r="JL38" s="38"/>
      <c r="JM38" s="38"/>
      <c r="JN38" s="38"/>
      <c r="JO38" s="38"/>
      <c r="JP38" s="38"/>
      <c r="JQ38" s="38"/>
      <c r="JR38" s="38"/>
      <c r="JS38" s="38"/>
      <c r="JT38" s="38"/>
      <c r="JU38" s="38"/>
      <c r="JV38" s="38"/>
      <c r="JW38" s="38"/>
      <c r="JX38" s="38"/>
      <c r="JY38" s="38"/>
      <c r="JZ38" s="38"/>
      <c r="KA38" s="38"/>
      <c r="KB38" s="38"/>
      <c r="KC38" s="38"/>
      <c r="KD38" s="38"/>
      <c r="KE38" s="38"/>
      <c r="KF38" s="38"/>
      <c r="KG38" s="38"/>
      <c r="KH38" s="38"/>
      <c r="KI38" s="38"/>
      <c r="KJ38" s="38"/>
      <c r="KK38" s="38"/>
      <c r="KL38" s="38"/>
      <c r="KM38" s="38"/>
      <c r="KN38" s="38"/>
      <c r="KO38" s="38"/>
      <c r="KP38" s="38"/>
      <c r="KQ38" s="38"/>
      <c r="KR38" s="38"/>
      <c r="KS38" s="38"/>
      <c r="KT38" s="38"/>
      <c r="KU38" s="38"/>
      <c r="KV38" s="38"/>
      <c r="KW38" s="38"/>
      <c r="KX38" s="38"/>
      <c r="KY38" s="38"/>
      <c r="KZ38" s="38"/>
      <c r="LA38" s="38"/>
      <c r="LB38" s="38"/>
      <c r="LC38" s="38"/>
      <c r="LD38" s="38"/>
      <c r="LE38" s="38"/>
      <c r="LF38" s="38"/>
      <c r="LG38" s="38"/>
      <c r="LH38" s="38"/>
      <c r="LI38" s="38"/>
      <c r="LJ38" s="38"/>
      <c r="LK38" s="38"/>
      <c r="LL38" s="38"/>
      <c r="LM38" s="38"/>
      <c r="LN38" s="38"/>
      <c r="LO38" s="38"/>
      <c r="LP38" s="38"/>
      <c r="LQ38" s="38"/>
      <c r="LR38" s="38"/>
      <c r="LS38" s="38"/>
      <c r="LT38" s="38"/>
      <c r="LU38" s="38"/>
      <c r="LV38" s="38"/>
      <c r="LW38" s="38"/>
      <c r="LX38" s="38"/>
      <c r="LY38" s="38"/>
      <c r="LZ38" s="38"/>
      <c r="MA38" s="38"/>
      <c r="MB38" s="38"/>
      <c r="MC38" s="38"/>
      <c r="MD38" s="38"/>
      <c r="ME38" s="38"/>
      <c r="MF38" s="38"/>
      <c r="MG38" s="38"/>
      <c r="MH38" s="38"/>
      <c r="MI38" s="38"/>
      <c r="MJ38" s="38"/>
      <c r="MK38" s="38"/>
      <c r="ML38" s="38"/>
      <c r="MM38" s="38"/>
      <c r="MN38" s="38"/>
      <c r="MO38" s="38"/>
      <c r="MP38" s="38"/>
      <c r="MQ38" s="38"/>
      <c r="MR38" s="38"/>
      <c r="MS38" s="38"/>
      <c r="MT38" s="38"/>
      <c r="MU38" s="38"/>
      <c r="MV38" s="38"/>
      <c r="MW38" s="38"/>
      <c r="MX38" s="38"/>
      <c r="MY38" s="38"/>
      <c r="MZ38" s="38"/>
      <c r="NA38" s="38"/>
      <c r="NB38" s="38"/>
      <c r="NC38" s="38"/>
      <c r="ND38" s="38"/>
      <c r="NE38" s="38"/>
      <c r="NF38" s="38"/>
      <c r="NG38" s="38"/>
      <c r="NH38" s="38"/>
      <c r="NI38" s="38"/>
      <c r="NJ38" s="38"/>
      <c r="NK38" s="38"/>
      <c r="NL38" s="38"/>
      <c r="NM38" s="38"/>
      <c r="NN38" s="38"/>
      <c r="NO38" s="38"/>
      <c r="NP38" s="38"/>
      <c r="NQ38" s="38"/>
      <c r="NR38" s="38"/>
      <c r="NS38" s="38"/>
      <c r="NT38" s="38"/>
      <c r="NU38" s="38"/>
      <c r="NV38" s="38"/>
      <c r="NW38" s="38"/>
      <c r="NX38" s="38"/>
      <c r="NY38" s="38"/>
      <c r="NZ38" s="38"/>
      <c r="OA38" s="38"/>
      <c r="OB38" s="38"/>
      <c r="OC38" s="38"/>
      <c r="OD38" s="38"/>
      <c r="OE38" s="38"/>
      <c r="OF38" s="38"/>
      <c r="OG38" s="38"/>
      <c r="OH38" s="38"/>
      <c r="OI38" s="38"/>
      <c r="OJ38" s="38"/>
      <c r="OK38" s="38"/>
      <c r="OL38" s="38"/>
      <c r="OM38" s="38"/>
      <c r="ON38" s="38"/>
      <c r="OO38" s="38"/>
      <c r="OP38" s="38"/>
      <c r="OQ38" s="38"/>
      <c r="OR38" s="38"/>
      <c r="OS38" s="38"/>
      <c r="OT38" s="38"/>
      <c r="OU38" s="38"/>
      <c r="OV38" s="38"/>
      <c r="OW38" s="38"/>
      <c r="OX38" s="38"/>
      <c r="OY38" s="38"/>
      <c r="OZ38" s="38"/>
      <c r="PA38" s="38"/>
      <c r="PB38" s="38"/>
      <c r="PC38" s="38"/>
      <c r="PD38" s="38"/>
      <c r="PE38" s="38"/>
      <c r="PF38" s="38"/>
      <c r="PG38" s="38"/>
      <c r="PH38" s="38"/>
      <c r="PI38" s="38"/>
      <c r="PJ38" s="38"/>
      <c r="PK38" s="38"/>
      <c r="PL38" s="38"/>
      <c r="PM38" s="38"/>
      <c r="PN38" s="38"/>
      <c r="PO38" s="38"/>
      <c r="PP38" s="38"/>
      <c r="PQ38" s="38"/>
      <c r="PR38" s="38"/>
      <c r="PS38" s="38"/>
      <c r="PT38" s="38"/>
      <c r="PU38" s="38"/>
      <c r="PV38" s="38"/>
      <c r="PW38" s="38"/>
      <c r="PX38" s="38"/>
      <c r="PY38" s="38"/>
      <c r="PZ38" s="38"/>
      <c r="QA38" s="38"/>
      <c r="QB38" s="38"/>
      <c r="QC38" s="38"/>
      <c r="QD38" s="38"/>
      <c r="QE38" s="38"/>
      <c r="QF38" s="38"/>
      <c r="QG38" s="38"/>
      <c r="QH38" s="38"/>
      <c r="QI38" s="38"/>
      <c r="QJ38" s="38"/>
      <c r="QK38" s="38"/>
      <c r="QL38" s="38"/>
      <c r="QM38" s="38"/>
      <c r="QN38" s="38"/>
      <c r="QO38" s="38"/>
      <c r="QP38" s="38"/>
      <c r="QQ38" s="38"/>
      <c r="QR38" s="38"/>
      <c r="QS38" s="38"/>
      <c r="QT38" s="38"/>
      <c r="QU38" s="38"/>
      <c r="QV38" s="38"/>
      <c r="QW38" s="38"/>
      <c r="QX38" s="38"/>
      <c r="QY38" s="38"/>
      <c r="QZ38" s="38"/>
      <c r="RA38" s="38"/>
      <c r="RB38" s="38"/>
      <c r="RC38" s="38"/>
      <c r="RD38" s="38"/>
      <c r="RE38" s="38"/>
      <c r="RF38" s="38"/>
      <c r="RG38" s="38"/>
      <c r="RH38" s="38"/>
      <c r="RI38" s="38"/>
      <c r="RJ38" s="38"/>
      <c r="RK38" s="38"/>
      <c r="RL38" s="38"/>
      <c r="RM38" s="38"/>
      <c r="RN38" s="38"/>
      <c r="RO38" s="38"/>
      <c r="RP38" s="38"/>
      <c r="RQ38" s="38"/>
      <c r="RR38" s="38"/>
      <c r="RS38" s="38"/>
      <c r="RT38" s="38"/>
      <c r="RU38" s="38"/>
      <c r="RV38" s="38"/>
      <c r="RW38" s="38"/>
      <c r="RX38" s="38"/>
      <c r="RY38" s="38"/>
      <c r="RZ38" s="38"/>
      <c r="SA38" s="38"/>
      <c r="SB38" s="38"/>
      <c r="SC38" s="38"/>
      <c r="SD38" s="38"/>
      <c r="SE38" s="38"/>
      <c r="SF38" s="38"/>
      <c r="SG38" s="38"/>
      <c r="SH38" s="38"/>
      <c r="SI38" s="38"/>
      <c r="SJ38" s="38"/>
      <c r="SK38" s="38"/>
      <c r="SL38" s="38"/>
      <c r="SM38" s="38"/>
      <c r="SN38" s="38"/>
      <c r="SO38" s="38"/>
      <c r="SP38" s="38"/>
      <c r="SQ38" s="38"/>
      <c r="SR38" s="38"/>
      <c r="SS38" s="38"/>
      <c r="ST38" s="38"/>
      <c r="SU38" s="38"/>
      <c r="SV38" s="38"/>
      <c r="SW38" s="38"/>
      <c r="SX38" s="38"/>
      <c r="SY38" s="38"/>
      <c r="SZ38" s="38"/>
      <c r="TA38" s="38"/>
      <c r="TB38" s="38"/>
      <c r="TC38" s="38"/>
      <c r="TD38" s="38"/>
      <c r="TE38" s="38"/>
      <c r="TF38" s="38"/>
      <c r="TG38" s="38"/>
      <c r="TH38" s="38"/>
      <c r="TI38" s="38"/>
      <c r="TJ38" s="38"/>
      <c r="TK38" s="38"/>
      <c r="TL38" s="38"/>
      <c r="TM38" s="38"/>
    </row>
    <row r="39" spans="1:533" s="39" customFormat="1" ht="112.5" x14ac:dyDescent="0.25">
      <c r="B39" s="50" t="s">
        <v>76</v>
      </c>
      <c r="C39" s="41"/>
      <c r="D39" s="57" t="s">
        <v>88</v>
      </c>
      <c r="E39" s="52"/>
      <c r="F39" s="53"/>
      <c r="G39" s="54"/>
      <c r="H39" s="46"/>
      <c r="I39" s="55"/>
      <c r="J39" s="48"/>
      <c r="K39" s="47"/>
      <c r="L39" s="49"/>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c r="FU39" s="38"/>
      <c r="FV39" s="38"/>
      <c r="FW39" s="38"/>
      <c r="FX39" s="38"/>
      <c r="FY39" s="38"/>
      <c r="FZ39" s="38"/>
      <c r="GA39" s="38"/>
      <c r="GB39" s="38"/>
      <c r="GC39" s="38"/>
      <c r="GD39" s="38"/>
      <c r="GE39" s="38"/>
      <c r="GF39" s="38"/>
      <c r="GG39" s="38"/>
      <c r="GH39" s="38"/>
      <c r="GI39" s="38"/>
      <c r="GJ39" s="38"/>
      <c r="GK39" s="38"/>
      <c r="GL39" s="38"/>
      <c r="GM39" s="38"/>
      <c r="GN39" s="38"/>
      <c r="GO39" s="38"/>
      <c r="GP39" s="38"/>
      <c r="GQ39" s="38"/>
      <c r="GR39" s="38"/>
      <c r="GS39" s="38"/>
      <c r="GT39" s="38"/>
      <c r="GU39" s="38"/>
      <c r="GV39" s="38"/>
      <c r="GW39" s="38"/>
      <c r="GX39" s="38"/>
      <c r="GY39" s="38"/>
      <c r="GZ39" s="38"/>
      <c r="HA39" s="38"/>
      <c r="HB39" s="38"/>
      <c r="HC39" s="38"/>
      <c r="HD39" s="38"/>
      <c r="HE39" s="38"/>
      <c r="HF39" s="38"/>
      <c r="HG39" s="38"/>
      <c r="HH39" s="38"/>
      <c r="HI39" s="38"/>
      <c r="HJ39" s="38"/>
      <c r="HK39" s="38"/>
      <c r="HL39" s="38"/>
      <c r="HM39" s="38"/>
      <c r="HN39" s="38"/>
      <c r="HO39" s="38"/>
      <c r="HP39" s="38"/>
      <c r="HQ39" s="38"/>
      <c r="HR39" s="38"/>
      <c r="HS39" s="38"/>
      <c r="HT39" s="38"/>
      <c r="HU39" s="38"/>
      <c r="HV39" s="38"/>
      <c r="HW39" s="38"/>
      <c r="HX39" s="38"/>
      <c r="HY39" s="38"/>
      <c r="HZ39" s="38"/>
      <c r="IA39" s="38"/>
      <c r="IB39" s="38"/>
      <c r="IC39" s="38"/>
      <c r="ID39" s="38"/>
      <c r="IE39" s="38"/>
      <c r="IF39" s="38"/>
      <c r="IG39" s="38"/>
      <c r="IH39" s="38"/>
      <c r="II39" s="38"/>
      <c r="IJ39" s="38"/>
      <c r="IK39" s="38"/>
      <c r="IL39" s="38"/>
      <c r="IM39" s="38"/>
      <c r="IN39" s="38"/>
      <c r="IO39" s="38"/>
      <c r="IP39" s="38"/>
      <c r="IQ39" s="38"/>
      <c r="IR39" s="38"/>
      <c r="IS39" s="38"/>
      <c r="IT39" s="38"/>
      <c r="IU39" s="38"/>
      <c r="IV39" s="38"/>
      <c r="IW39" s="38"/>
      <c r="IX39" s="38"/>
      <c r="IY39" s="38"/>
      <c r="IZ39" s="38"/>
      <c r="JA39" s="38"/>
      <c r="JB39" s="38"/>
      <c r="JC39" s="38"/>
      <c r="JD39" s="38"/>
      <c r="JE39" s="38"/>
      <c r="JF39" s="38"/>
      <c r="JG39" s="38"/>
      <c r="JH39" s="38"/>
      <c r="JI39" s="38"/>
      <c r="JJ39" s="38"/>
      <c r="JK39" s="38"/>
      <c r="JL39" s="38"/>
      <c r="JM39" s="38"/>
      <c r="JN39" s="38"/>
      <c r="JO39" s="38"/>
      <c r="JP39" s="38"/>
      <c r="JQ39" s="38"/>
      <c r="JR39" s="38"/>
      <c r="JS39" s="38"/>
      <c r="JT39" s="38"/>
      <c r="JU39" s="38"/>
      <c r="JV39" s="38"/>
      <c r="JW39" s="38"/>
      <c r="JX39" s="38"/>
      <c r="JY39" s="38"/>
      <c r="JZ39" s="38"/>
      <c r="KA39" s="38"/>
      <c r="KB39" s="38"/>
      <c r="KC39" s="38"/>
      <c r="KD39" s="38"/>
      <c r="KE39" s="38"/>
      <c r="KF39" s="38"/>
      <c r="KG39" s="38"/>
      <c r="KH39" s="38"/>
      <c r="KI39" s="38"/>
      <c r="KJ39" s="38"/>
      <c r="KK39" s="38"/>
      <c r="KL39" s="38"/>
      <c r="KM39" s="38"/>
      <c r="KN39" s="38"/>
      <c r="KO39" s="38"/>
      <c r="KP39" s="38"/>
      <c r="KQ39" s="38"/>
      <c r="KR39" s="38"/>
      <c r="KS39" s="38"/>
      <c r="KT39" s="38"/>
      <c r="KU39" s="38"/>
      <c r="KV39" s="38"/>
      <c r="KW39" s="38"/>
      <c r="KX39" s="38"/>
      <c r="KY39" s="38"/>
      <c r="KZ39" s="38"/>
      <c r="LA39" s="38"/>
      <c r="LB39" s="38"/>
      <c r="LC39" s="38"/>
      <c r="LD39" s="38"/>
      <c r="LE39" s="38"/>
      <c r="LF39" s="38"/>
      <c r="LG39" s="38"/>
      <c r="LH39" s="38"/>
      <c r="LI39" s="38"/>
      <c r="LJ39" s="38"/>
      <c r="LK39" s="38"/>
      <c r="LL39" s="38"/>
      <c r="LM39" s="38"/>
      <c r="LN39" s="38"/>
      <c r="LO39" s="38"/>
      <c r="LP39" s="38"/>
      <c r="LQ39" s="38"/>
      <c r="LR39" s="38"/>
      <c r="LS39" s="38"/>
      <c r="LT39" s="38"/>
      <c r="LU39" s="38"/>
      <c r="LV39" s="38"/>
      <c r="LW39" s="38"/>
      <c r="LX39" s="38"/>
      <c r="LY39" s="38"/>
      <c r="LZ39" s="38"/>
      <c r="MA39" s="38"/>
      <c r="MB39" s="38"/>
      <c r="MC39" s="38"/>
      <c r="MD39" s="38"/>
      <c r="ME39" s="38"/>
      <c r="MF39" s="38"/>
      <c r="MG39" s="38"/>
      <c r="MH39" s="38"/>
      <c r="MI39" s="38"/>
      <c r="MJ39" s="38"/>
      <c r="MK39" s="38"/>
      <c r="ML39" s="38"/>
      <c r="MM39" s="38"/>
      <c r="MN39" s="38"/>
      <c r="MO39" s="38"/>
      <c r="MP39" s="38"/>
      <c r="MQ39" s="38"/>
      <c r="MR39" s="38"/>
      <c r="MS39" s="38"/>
      <c r="MT39" s="38"/>
      <c r="MU39" s="38"/>
      <c r="MV39" s="38"/>
      <c r="MW39" s="38"/>
      <c r="MX39" s="38"/>
      <c r="MY39" s="38"/>
      <c r="MZ39" s="38"/>
      <c r="NA39" s="38"/>
      <c r="NB39" s="38"/>
      <c r="NC39" s="38"/>
      <c r="ND39" s="38"/>
      <c r="NE39" s="38"/>
      <c r="NF39" s="38"/>
      <c r="NG39" s="38"/>
      <c r="NH39" s="38"/>
      <c r="NI39" s="38"/>
      <c r="NJ39" s="38"/>
      <c r="NK39" s="38"/>
      <c r="NL39" s="38"/>
      <c r="NM39" s="38"/>
      <c r="NN39" s="38"/>
      <c r="NO39" s="38"/>
      <c r="NP39" s="38"/>
      <c r="NQ39" s="38"/>
      <c r="NR39" s="38"/>
      <c r="NS39" s="38"/>
      <c r="NT39" s="38"/>
      <c r="NU39" s="38"/>
      <c r="NV39" s="38"/>
      <c r="NW39" s="38"/>
      <c r="NX39" s="38"/>
      <c r="NY39" s="38"/>
      <c r="NZ39" s="38"/>
      <c r="OA39" s="38"/>
      <c r="OB39" s="38"/>
      <c r="OC39" s="38"/>
      <c r="OD39" s="38"/>
      <c r="OE39" s="38"/>
      <c r="OF39" s="38"/>
      <c r="OG39" s="38"/>
      <c r="OH39" s="38"/>
      <c r="OI39" s="38"/>
      <c r="OJ39" s="38"/>
      <c r="OK39" s="38"/>
      <c r="OL39" s="38"/>
      <c r="OM39" s="38"/>
      <c r="ON39" s="38"/>
      <c r="OO39" s="38"/>
      <c r="OP39" s="38"/>
      <c r="OQ39" s="38"/>
      <c r="OR39" s="38"/>
      <c r="OS39" s="38"/>
      <c r="OT39" s="38"/>
      <c r="OU39" s="38"/>
      <c r="OV39" s="38"/>
      <c r="OW39" s="38"/>
      <c r="OX39" s="38"/>
      <c r="OY39" s="38"/>
      <c r="OZ39" s="38"/>
      <c r="PA39" s="38"/>
      <c r="PB39" s="38"/>
      <c r="PC39" s="38"/>
      <c r="PD39" s="38"/>
      <c r="PE39" s="38"/>
      <c r="PF39" s="38"/>
      <c r="PG39" s="38"/>
      <c r="PH39" s="38"/>
      <c r="PI39" s="38"/>
      <c r="PJ39" s="38"/>
      <c r="PK39" s="38"/>
      <c r="PL39" s="38"/>
      <c r="PM39" s="38"/>
      <c r="PN39" s="38"/>
      <c r="PO39" s="38"/>
      <c r="PP39" s="38"/>
      <c r="PQ39" s="38"/>
      <c r="PR39" s="38"/>
      <c r="PS39" s="38"/>
      <c r="PT39" s="38"/>
      <c r="PU39" s="38"/>
      <c r="PV39" s="38"/>
      <c r="PW39" s="38"/>
      <c r="PX39" s="38"/>
      <c r="PY39" s="38"/>
      <c r="PZ39" s="38"/>
      <c r="QA39" s="38"/>
      <c r="QB39" s="38"/>
      <c r="QC39" s="38"/>
      <c r="QD39" s="38"/>
      <c r="QE39" s="38"/>
      <c r="QF39" s="38"/>
      <c r="QG39" s="38"/>
      <c r="QH39" s="38"/>
      <c r="QI39" s="38"/>
      <c r="QJ39" s="38"/>
      <c r="QK39" s="38"/>
      <c r="QL39" s="38"/>
      <c r="QM39" s="38"/>
      <c r="QN39" s="38"/>
      <c r="QO39" s="38"/>
      <c r="QP39" s="38"/>
      <c r="QQ39" s="38"/>
      <c r="QR39" s="38"/>
      <c r="QS39" s="38"/>
      <c r="QT39" s="38"/>
      <c r="QU39" s="38"/>
      <c r="QV39" s="38"/>
      <c r="QW39" s="38"/>
      <c r="QX39" s="38"/>
      <c r="QY39" s="38"/>
      <c r="QZ39" s="38"/>
      <c r="RA39" s="38"/>
      <c r="RB39" s="38"/>
      <c r="RC39" s="38"/>
      <c r="RD39" s="38"/>
      <c r="RE39" s="38"/>
      <c r="RF39" s="38"/>
      <c r="RG39" s="38"/>
      <c r="RH39" s="38"/>
      <c r="RI39" s="38"/>
      <c r="RJ39" s="38"/>
      <c r="RK39" s="38"/>
      <c r="RL39" s="38"/>
      <c r="RM39" s="38"/>
      <c r="RN39" s="38"/>
      <c r="RO39" s="38"/>
      <c r="RP39" s="38"/>
      <c r="RQ39" s="38"/>
      <c r="RR39" s="38"/>
      <c r="RS39" s="38"/>
      <c r="RT39" s="38"/>
      <c r="RU39" s="38"/>
      <c r="RV39" s="38"/>
      <c r="RW39" s="38"/>
      <c r="RX39" s="38"/>
      <c r="RY39" s="38"/>
      <c r="RZ39" s="38"/>
      <c r="SA39" s="38"/>
      <c r="SB39" s="38"/>
      <c r="SC39" s="38"/>
      <c r="SD39" s="38"/>
      <c r="SE39" s="38"/>
      <c r="SF39" s="38"/>
      <c r="SG39" s="38"/>
      <c r="SH39" s="38"/>
      <c r="SI39" s="38"/>
      <c r="SJ39" s="38"/>
      <c r="SK39" s="38"/>
      <c r="SL39" s="38"/>
      <c r="SM39" s="38"/>
      <c r="SN39" s="38"/>
      <c r="SO39" s="38"/>
      <c r="SP39" s="38"/>
      <c r="SQ39" s="38"/>
      <c r="SR39" s="38"/>
      <c r="SS39" s="38"/>
      <c r="ST39" s="38"/>
      <c r="SU39" s="38"/>
      <c r="SV39" s="38"/>
      <c r="SW39" s="38"/>
      <c r="SX39" s="38"/>
      <c r="SY39" s="38"/>
      <c r="SZ39" s="38"/>
      <c r="TA39" s="38"/>
      <c r="TB39" s="38"/>
      <c r="TC39" s="38"/>
      <c r="TD39" s="38"/>
      <c r="TE39" s="38"/>
      <c r="TF39" s="38"/>
      <c r="TG39" s="38"/>
      <c r="TH39" s="38"/>
      <c r="TI39" s="38"/>
      <c r="TJ39" s="38"/>
      <c r="TK39" s="38"/>
      <c r="TL39" s="38"/>
      <c r="TM39" s="38"/>
    </row>
    <row r="40" spans="1:533" s="68" customFormat="1" ht="18.75" x14ac:dyDescent="0.25">
      <c r="A40" s="39"/>
      <c r="B40" s="50" t="s">
        <v>76</v>
      </c>
      <c r="C40" s="41"/>
      <c r="D40" s="57" t="s">
        <v>89</v>
      </c>
      <c r="E40" s="43"/>
      <c r="F40" s="53"/>
      <c r="G40" s="58"/>
      <c r="H40" s="46"/>
      <c r="I40" s="47"/>
      <c r="J40" s="48"/>
      <c r="K40" s="47"/>
      <c r="L40" s="49"/>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c r="FU40" s="38"/>
      <c r="FV40" s="38"/>
      <c r="FW40" s="38"/>
      <c r="FX40" s="38"/>
      <c r="FY40" s="38"/>
      <c r="FZ40" s="38"/>
      <c r="GA40" s="38"/>
      <c r="GB40" s="38"/>
      <c r="GC40" s="38"/>
      <c r="GD40" s="38"/>
      <c r="GE40" s="38"/>
      <c r="GF40" s="38"/>
      <c r="GG40" s="38"/>
      <c r="GH40" s="38"/>
      <c r="GI40" s="38"/>
      <c r="GJ40" s="38"/>
      <c r="GK40" s="38"/>
      <c r="GL40" s="38"/>
      <c r="GM40" s="38"/>
      <c r="GN40" s="38"/>
      <c r="GO40" s="38"/>
      <c r="GP40" s="38"/>
      <c r="GQ40" s="38"/>
      <c r="GR40" s="38"/>
      <c r="GS40" s="38"/>
      <c r="GT40" s="38"/>
      <c r="GU40" s="38"/>
      <c r="GV40" s="38"/>
      <c r="GW40" s="38"/>
      <c r="GX40" s="38"/>
      <c r="GY40" s="38"/>
      <c r="GZ40" s="38"/>
      <c r="HA40" s="38"/>
      <c r="HB40" s="38"/>
      <c r="HC40" s="38"/>
      <c r="HD40" s="38"/>
      <c r="HE40" s="38"/>
      <c r="HF40" s="38"/>
      <c r="HG40" s="38"/>
      <c r="HH40" s="38"/>
      <c r="HI40" s="38"/>
      <c r="HJ40" s="38"/>
      <c r="HK40" s="38"/>
      <c r="HL40" s="38"/>
      <c r="HM40" s="38"/>
      <c r="HN40" s="38"/>
      <c r="HO40" s="38"/>
      <c r="HP40" s="38"/>
      <c r="HQ40" s="38"/>
      <c r="HR40" s="38"/>
      <c r="HS40" s="38"/>
      <c r="HT40" s="38"/>
      <c r="HU40" s="38"/>
      <c r="HV40" s="38"/>
      <c r="HW40" s="38"/>
      <c r="HX40" s="38"/>
      <c r="HY40" s="38"/>
      <c r="HZ40" s="38"/>
      <c r="IA40" s="38"/>
      <c r="IB40" s="38"/>
      <c r="IC40" s="38"/>
      <c r="ID40" s="38"/>
      <c r="IE40" s="38"/>
      <c r="IF40" s="38"/>
      <c r="IG40" s="38"/>
      <c r="IH40" s="38"/>
      <c r="II40" s="38"/>
      <c r="IJ40" s="38"/>
      <c r="IK40" s="38"/>
      <c r="IL40" s="38"/>
      <c r="IM40" s="38"/>
      <c r="IN40" s="38"/>
      <c r="IO40" s="38"/>
      <c r="IP40" s="38"/>
      <c r="IQ40" s="38"/>
      <c r="IR40" s="38"/>
      <c r="IS40" s="38"/>
      <c r="IT40" s="38"/>
      <c r="IU40" s="38"/>
      <c r="IV40" s="38"/>
      <c r="IW40" s="38"/>
      <c r="IX40" s="38"/>
      <c r="IY40" s="38"/>
      <c r="IZ40" s="38"/>
      <c r="JA40" s="38"/>
      <c r="JB40" s="38"/>
      <c r="JC40" s="38"/>
      <c r="JD40" s="38"/>
      <c r="JE40" s="38"/>
      <c r="JF40" s="38"/>
      <c r="JG40" s="38"/>
      <c r="JH40" s="38"/>
      <c r="JI40" s="38"/>
      <c r="JJ40" s="38"/>
      <c r="JK40" s="38"/>
      <c r="JL40" s="38"/>
      <c r="JM40" s="38"/>
      <c r="JN40" s="38"/>
      <c r="JO40" s="38"/>
      <c r="JP40" s="38"/>
      <c r="JQ40" s="38"/>
      <c r="JR40" s="38"/>
      <c r="JS40" s="38"/>
      <c r="JT40" s="38"/>
      <c r="JU40" s="38"/>
      <c r="JV40" s="38"/>
      <c r="JW40" s="38"/>
      <c r="JX40" s="38"/>
      <c r="JY40" s="38"/>
      <c r="JZ40" s="38"/>
      <c r="KA40" s="38"/>
      <c r="KB40" s="38"/>
      <c r="KC40" s="38"/>
      <c r="KD40" s="38"/>
      <c r="KE40" s="38"/>
      <c r="KF40" s="38"/>
      <c r="KG40" s="38"/>
      <c r="KH40" s="38"/>
      <c r="KI40" s="38"/>
      <c r="KJ40" s="38"/>
      <c r="KK40" s="38"/>
      <c r="KL40" s="38"/>
      <c r="KM40" s="38"/>
      <c r="KN40" s="38"/>
      <c r="KO40" s="38"/>
      <c r="KP40" s="38"/>
      <c r="KQ40" s="38"/>
      <c r="KR40" s="38"/>
      <c r="KS40" s="38"/>
      <c r="KT40" s="38"/>
      <c r="KU40" s="38"/>
      <c r="KV40" s="38"/>
      <c r="KW40" s="38"/>
      <c r="KX40" s="38"/>
      <c r="KY40" s="38"/>
      <c r="KZ40" s="38"/>
      <c r="LA40" s="38"/>
      <c r="LB40" s="38"/>
      <c r="LC40" s="38"/>
      <c r="LD40" s="38"/>
      <c r="LE40" s="38"/>
      <c r="LF40" s="38"/>
      <c r="LG40" s="38"/>
      <c r="LH40" s="38"/>
      <c r="LI40" s="38"/>
      <c r="LJ40" s="38"/>
      <c r="LK40" s="38"/>
      <c r="LL40" s="38"/>
      <c r="LM40" s="38"/>
      <c r="LN40" s="38"/>
      <c r="LO40" s="38"/>
      <c r="LP40" s="38"/>
      <c r="LQ40" s="38"/>
      <c r="LR40" s="38"/>
      <c r="LS40" s="38"/>
      <c r="LT40" s="38"/>
      <c r="LU40" s="38"/>
      <c r="LV40" s="38"/>
      <c r="LW40" s="38"/>
      <c r="LX40" s="38"/>
      <c r="LY40" s="38"/>
      <c r="LZ40" s="38"/>
      <c r="MA40" s="38"/>
      <c r="MB40" s="38"/>
      <c r="MC40" s="38"/>
      <c r="MD40" s="38"/>
      <c r="ME40" s="38"/>
      <c r="MF40" s="38"/>
      <c r="MG40" s="38"/>
      <c r="MH40" s="38"/>
      <c r="MI40" s="38"/>
      <c r="MJ40" s="38"/>
      <c r="MK40" s="38"/>
      <c r="ML40" s="38"/>
      <c r="MM40" s="38"/>
      <c r="MN40" s="38"/>
      <c r="MO40" s="38"/>
      <c r="MP40" s="38"/>
      <c r="MQ40" s="38"/>
      <c r="MR40" s="38"/>
      <c r="MS40" s="38"/>
      <c r="MT40" s="38"/>
      <c r="MU40" s="38"/>
      <c r="MV40" s="38"/>
      <c r="MW40" s="38"/>
      <c r="MX40" s="38"/>
      <c r="MY40" s="38"/>
      <c r="MZ40" s="38"/>
      <c r="NA40" s="38"/>
      <c r="NB40" s="38"/>
      <c r="NC40" s="38"/>
      <c r="ND40" s="38"/>
      <c r="NE40" s="38"/>
      <c r="NF40" s="38"/>
      <c r="NG40" s="38"/>
      <c r="NH40" s="38"/>
      <c r="NI40" s="38"/>
      <c r="NJ40" s="38"/>
      <c r="NK40" s="38"/>
      <c r="NL40" s="38"/>
      <c r="NM40" s="38"/>
      <c r="NN40" s="38"/>
      <c r="NO40" s="38"/>
      <c r="NP40" s="38"/>
      <c r="NQ40" s="38"/>
      <c r="NR40" s="38"/>
      <c r="NS40" s="38"/>
      <c r="NT40" s="38"/>
      <c r="NU40" s="38"/>
      <c r="NV40" s="38"/>
      <c r="NW40" s="38"/>
      <c r="NX40" s="38"/>
      <c r="NY40" s="38"/>
      <c r="NZ40" s="38"/>
      <c r="OA40" s="38"/>
      <c r="OB40" s="38"/>
      <c r="OC40" s="38"/>
      <c r="OD40" s="38"/>
      <c r="OE40" s="38"/>
      <c r="OF40" s="38"/>
      <c r="OG40" s="38"/>
      <c r="OH40" s="38"/>
      <c r="OI40" s="38"/>
      <c r="OJ40" s="38"/>
      <c r="OK40" s="38"/>
      <c r="OL40" s="38"/>
      <c r="OM40" s="38"/>
      <c r="ON40" s="38"/>
      <c r="OO40" s="38"/>
      <c r="OP40" s="38"/>
      <c r="OQ40" s="38"/>
      <c r="OR40" s="38"/>
      <c r="OS40" s="38"/>
      <c r="OT40" s="38"/>
      <c r="OU40" s="38"/>
      <c r="OV40" s="38"/>
      <c r="OW40" s="38"/>
      <c r="OX40" s="38"/>
      <c r="OY40" s="38"/>
      <c r="OZ40" s="38"/>
      <c r="PA40" s="38"/>
      <c r="PB40" s="38"/>
      <c r="PC40" s="38"/>
      <c r="PD40" s="38"/>
      <c r="PE40" s="38"/>
      <c r="PF40" s="38"/>
      <c r="PG40" s="38"/>
      <c r="PH40" s="38"/>
      <c r="PI40" s="38"/>
      <c r="PJ40" s="38"/>
      <c r="PK40" s="38"/>
      <c r="PL40" s="38"/>
      <c r="PM40" s="38"/>
      <c r="PN40" s="38"/>
      <c r="PO40" s="38"/>
      <c r="PP40" s="38"/>
      <c r="PQ40" s="38"/>
      <c r="PR40" s="38"/>
      <c r="PS40" s="38"/>
      <c r="PT40" s="38"/>
      <c r="PU40" s="38"/>
      <c r="PV40" s="38"/>
      <c r="PW40" s="38"/>
      <c r="PX40" s="38"/>
      <c r="PY40" s="38"/>
      <c r="PZ40" s="38"/>
      <c r="QA40" s="38"/>
      <c r="QB40" s="38"/>
      <c r="QC40" s="38"/>
      <c r="QD40" s="38"/>
      <c r="QE40" s="38"/>
      <c r="QF40" s="38"/>
      <c r="QG40" s="38"/>
      <c r="QH40" s="38"/>
      <c r="QI40" s="38"/>
      <c r="QJ40" s="38"/>
      <c r="QK40" s="38"/>
      <c r="QL40" s="38"/>
      <c r="QM40" s="38"/>
      <c r="QN40" s="38"/>
      <c r="QO40" s="38"/>
      <c r="QP40" s="38"/>
      <c r="QQ40" s="38"/>
      <c r="QR40" s="38"/>
      <c r="QS40" s="38"/>
      <c r="QT40" s="38"/>
      <c r="QU40" s="38"/>
      <c r="QV40" s="38"/>
      <c r="QW40" s="38"/>
      <c r="QX40" s="38"/>
      <c r="QY40" s="38"/>
      <c r="QZ40" s="38"/>
      <c r="RA40" s="38"/>
      <c r="RB40" s="38"/>
      <c r="RC40" s="38"/>
      <c r="RD40" s="38"/>
      <c r="RE40" s="38"/>
      <c r="RF40" s="38"/>
      <c r="RG40" s="38"/>
      <c r="RH40" s="38"/>
      <c r="RI40" s="38"/>
      <c r="RJ40" s="38"/>
      <c r="RK40" s="38"/>
      <c r="RL40" s="38"/>
      <c r="RM40" s="38"/>
      <c r="RN40" s="38"/>
      <c r="RO40" s="38"/>
      <c r="RP40" s="38"/>
      <c r="RQ40" s="38"/>
      <c r="RR40" s="38"/>
      <c r="RS40" s="38"/>
      <c r="RT40" s="38"/>
      <c r="RU40" s="38"/>
      <c r="RV40" s="38"/>
      <c r="RW40" s="38"/>
      <c r="RX40" s="38"/>
      <c r="RY40" s="38"/>
      <c r="RZ40" s="38"/>
      <c r="SA40" s="38"/>
      <c r="SB40" s="38"/>
      <c r="SC40" s="38"/>
      <c r="SD40" s="38"/>
      <c r="SE40" s="38"/>
      <c r="SF40" s="38"/>
      <c r="SG40" s="38"/>
      <c r="SH40" s="38"/>
      <c r="SI40" s="38"/>
      <c r="SJ40" s="38"/>
      <c r="SK40" s="38"/>
      <c r="SL40" s="38"/>
      <c r="SM40" s="38"/>
      <c r="SN40" s="38"/>
      <c r="SO40" s="38"/>
      <c r="SP40" s="38"/>
      <c r="SQ40" s="38"/>
      <c r="SR40" s="38"/>
      <c r="SS40" s="38"/>
      <c r="ST40" s="38"/>
      <c r="SU40" s="38"/>
      <c r="SV40" s="38"/>
      <c r="SW40" s="38"/>
      <c r="SX40" s="38"/>
      <c r="SY40" s="38"/>
      <c r="SZ40" s="38"/>
      <c r="TA40" s="38"/>
      <c r="TB40" s="38"/>
      <c r="TC40" s="38"/>
      <c r="TD40" s="38"/>
      <c r="TE40" s="38"/>
      <c r="TF40" s="38"/>
      <c r="TG40" s="38"/>
      <c r="TH40" s="38"/>
      <c r="TI40" s="38"/>
      <c r="TJ40" s="38"/>
      <c r="TK40" s="38"/>
      <c r="TL40" s="38"/>
      <c r="TM40" s="38"/>
    </row>
    <row r="41" spans="1:533" s="39" customFormat="1" ht="56.25" x14ac:dyDescent="0.25">
      <c r="B41" s="50" t="s">
        <v>76</v>
      </c>
      <c r="C41" s="41" t="s">
        <v>90</v>
      </c>
      <c r="D41" s="56" t="s">
        <v>91</v>
      </c>
      <c r="E41" s="43" t="s">
        <v>60</v>
      </c>
      <c r="F41" s="53">
        <v>302</v>
      </c>
      <c r="G41" s="58"/>
      <c r="H41" s="46"/>
      <c r="I41" s="47">
        <f t="shared" si="2"/>
        <v>0</v>
      </c>
      <c r="J41" s="48">
        <v>2007</v>
      </c>
      <c r="K41" s="47" t="s">
        <v>30</v>
      </c>
      <c r="L41" s="49"/>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c r="EX41" s="38"/>
      <c r="EY41" s="38"/>
      <c r="EZ41" s="38"/>
      <c r="FA41" s="38"/>
      <c r="FB41" s="38"/>
      <c r="FC41" s="38"/>
      <c r="FD41" s="38"/>
      <c r="FE41" s="38"/>
      <c r="FF41" s="38"/>
      <c r="FG41" s="38"/>
      <c r="FH41" s="38"/>
      <c r="FI41" s="38"/>
      <c r="FJ41" s="38"/>
      <c r="FK41" s="38"/>
      <c r="FL41" s="38"/>
      <c r="FM41" s="38"/>
      <c r="FN41" s="38"/>
      <c r="FO41" s="38"/>
      <c r="FP41" s="38"/>
      <c r="FQ41" s="38"/>
      <c r="FR41" s="38"/>
      <c r="FS41" s="38"/>
      <c r="FT41" s="38"/>
      <c r="FU41" s="38"/>
      <c r="FV41" s="38"/>
      <c r="FW41" s="38"/>
      <c r="FX41" s="38"/>
      <c r="FY41" s="38"/>
      <c r="FZ41" s="38"/>
      <c r="GA41" s="38"/>
      <c r="GB41" s="38"/>
      <c r="GC41" s="38"/>
      <c r="GD41" s="38"/>
      <c r="GE41" s="38"/>
      <c r="GF41" s="38"/>
      <c r="GG41" s="38"/>
      <c r="GH41" s="38"/>
      <c r="GI41" s="38"/>
      <c r="GJ41" s="38"/>
      <c r="GK41" s="38"/>
      <c r="GL41" s="38"/>
      <c r="GM41" s="38"/>
      <c r="GN41" s="38"/>
      <c r="GO41" s="38"/>
      <c r="GP41" s="38"/>
      <c r="GQ41" s="38"/>
      <c r="GR41" s="38"/>
      <c r="GS41" s="38"/>
      <c r="GT41" s="38"/>
      <c r="GU41" s="38"/>
      <c r="GV41" s="38"/>
      <c r="GW41" s="38"/>
      <c r="GX41" s="38"/>
      <c r="GY41" s="38"/>
      <c r="GZ41" s="38"/>
      <c r="HA41" s="38"/>
      <c r="HB41" s="38"/>
      <c r="HC41" s="38"/>
      <c r="HD41" s="38"/>
      <c r="HE41" s="38"/>
      <c r="HF41" s="38"/>
      <c r="HG41" s="38"/>
      <c r="HH41" s="38"/>
      <c r="HI41" s="38"/>
      <c r="HJ41" s="38"/>
      <c r="HK41" s="38"/>
      <c r="HL41" s="38"/>
      <c r="HM41" s="38"/>
      <c r="HN41" s="38"/>
      <c r="HO41" s="38"/>
      <c r="HP41" s="38"/>
      <c r="HQ41" s="38"/>
      <c r="HR41" s="38"/>
      <c r="HS41" s="38"/>
      <c r="HT41" s="38"/>
      <c r="HU41" s="38"/>
      <c r="HV41" s="38"/>
      <c r="HW41" s="38"/>
      <c r="HX41" s="38"/>
      <c r="HY41" s="38"/>
      <c r="HZ41" s="38"/>
      <c r="IA41" s="38"/>
      <c r="IB41" s="38"/>
      <c r="IC41" s="38"/>
      <c r="ID41" s="38"/>
      <c r="IE41" s="38"/>
      <c r="IF41" s="38"/>
      <c r="IG41" s="38"/>
      <c r="IH41" s="38"/>
      <c r="II41" s="38"/>
      <c r="IJ41" s="38"/>
      <c r="IK41" s="38"/>
      <c r="IL41" s="38"/>
      <c r="IM41" s="38"/>
      <c r="IN41" s="38"/>
      <c r="IO41" s="38"/>
      <c r="IP41" s="38"/>
      <c r="IQ41" s="38"/>
      <c r="IR41" s="38"/>
      <c r="IS41" s="38"/>
      <c r="IT41" s="38"/>
      <c r="IU41" s="38"/>
      <c r="IV41" s="38"/>
      <c r="IW41" s="38"/>
      <c r="IX41" s="38"/>
      <c r="IY41" s="38"/>
      <c r="IZ41" s="38"/>
      <c r="JA41" s="38"/>
      <c r="JB41" s="38"/>
      <c r="JC41" s="38"/>
      <c r="JD41" s="38"/>
      <c r="JE41" s="38"/>
      <c r="JF41" s="38"/>
      <c r="JG41" s="38"/>
      <c r="JH41" s="38"/>
      <c r="JI41" s="38"/>
      <c r="JJ41" s="38"/>
      <c r="JK41" s="38"/>
      <c r="JL41" s="38"/>
      <c r="JM41" s="38"/>
      <c r="JN41" s="38"/>
      <c r="JO41" s="38"/>
      <c r="JP41" s="38"/>
      <c r="JQ41" s="38"/>
      <c r="JR41" s="38"/>
      <c r="JS41" s="38"/>
      <c r="JT41" s="38"/>
      <c r="JU41" s="38"/>
      <c r="JV41" s="38"/>
      <c r="JW41" s="38"/>
      <c r="JX41" s="38"/>
      <c r="JY41" s="38"/>
      <c r="JZ41" s="38"/>
      <c r="KA41" s="38"/>
      <c r="KB41" s="38"/>
      <c r="KC41" s="38"/>
      <c r="KD41" s="38"/>
      <c r="KE41" s="38"/>
      <c r="KF41" s="38"/>
      <c r="KG41" s="38"/>
      <c r="KH41" s="38"/>
      <c r="KI41" s="38"/>
      <c r="KJ41" s="38"/>
      <c r="KK41" s="38"/>
      <c r="KL41" s="38"/>
      <c r="KM41" s="38"/>
      <c r="KN41" s="38"/>
      <c r="KO41" s="38"/>
      <c r="KP41" s="38"/>
      <c r="KQ41" s="38"/>
      <c r="KR41" s="38"/>
      <c r="KS41" s="38"/>
      <c r="KT41" s="38"/>
      <c r="KU41" s="38"/>
      <c r="KV41" s="38"/>
      <c r="KW41" s="38"/>
      <c r="KX41" s="38"/>
      <c r="KY41" s="38"/>
      <c r="KZ41" s="38"/>
      <c r="LA41" s="38"/>
      <c r="LB41" s="38"/>
      <c r="LC41" s="38"/>
      <c r="LD41" s="38"/>
      <c r="LE41" s="38"/>
      <c r="LF41" s="38"/>
      <c r="LG41" s="38"/>
      <c r="LH41" s="38"/>
      <c r="LI41" s="38"/>
      <c r="LJ41" s="38"/>
      <c r="LK41" s="38"/>
      <c r="LL41" s="38"/>
      <c r="LM41" s="38"/>
      <c r="LN41" s="38"/>
      <c r="LO41" s="38"/>
      <c r="LP41" s="38"/>
      <c r="LQ41" s="38"/>
      <c r="LR41" s="38"/>
      <c r="LS41" s="38"/>
      <c r="LT41" s="38"/>
      <c r="LU41" s="38"/>
      <c r="LV41" s="38"/>
      <c r="LW41" s="38"/>
      <c r="LX41" s="38"/>
      <c r="LY41" s="38"/>
      <c r="LZ41" s="38"/>
      <c r="MA41" s="38"/>
      <c r="MB41" s="38"/>
      <c r="MC41" s="38"/>
      <c r="MD41" s="38"/>
      <c r="ME41" s="38"/>
      <c r="MF41" s="38"/>
      <c r="MG41" s="38"/>
      <c r="MH41" s="38"/>
      <c r="MI41" s="38"/>
      <c r="MJ41" s="38"/>
      <c r="MK41" s="38"/>
      <c r="ML41" s="38"/>
      <c r="MM41" s="38"/>
      <c r="MN41" s="38"/>
      <c r="MO41" s="38"/>
      <c r="MP41" s="38"/>
      <c r="MQ41" s="38"/>
      <c r="MR41" s="38"/>
      <c r="MS41" s="38"/>
      <c r="MT41" s="38"/>
      <c r="MU41" s="38"/>
      <c r="MV41" s="38"/>
      <c r="MW41" s="38"/>
      <c r="MX41" s="38"/>
      <c r="MY41" s="38"/>
      <c r="MZ41" s="38"/>
      <c r="NA41" s="38"/>
      <c r="NB41" s="38"/>
      <c r="NC41" s="38"/>
      <c r="ND41" s="38"/>
      <c r="NE41" s="38"/>
      <c r="NF41" s="38"/>
      <c r="NG41" s="38"/>
      <c r="NH41" s="38"/>
      <c r="NI41" s="38"/>
      <c r="NJ41" s="38"/>
      <c r="NK41" s="38"/>
      <c r="NL41" s="38"/>
      <c r="NM41" s="38"/>
      <c r="NN41" s="38"/>
      <c r="NO41" s="38"/>
      <c r="NP41" s="38"/>
      <c r="NQ41" s="38"/>
      <c r="NR41" s="38"/>
      <c r="NS41" s="38"/>
      <c r="NT41" s="38"/>
      <c r="NU41" s="38"/>
      <c r="NV41" s="38"/>
      <c r="NW41" s="38"/>
      <c r="NX41" s="38"/>
      <c r="NY41" s="38"/>
      <c r="NZ41" s="38"/>
      <c r="OA41" s="38"/>
      <c r="OB41" s="38"/>
      <c r="OC41" s="38"/>
      <c r="OD41" s="38"/>
      <c r="OE41" s="38"/>
      <c r="OF41" s="38"/>
      <c r="OG41" s="38"/>
      <c r="OH41" s="38"/>
      <c r="OI41" s="38"/>
      <c r="OJ41" s="38"/>
      <c r="OK41" s="38"/>
      <c r="OL41" s="38"/>
      <c r="OM41" s="38"/>
      <c r="ON41" s="38"/>
      <c r="OO41" s="38"/>
      <c r="OP41" s="38"/>
      <c r="OQ41" s="38"/>
      <c r="OR41" s="38"/>
      <c r="OS41" s="38"/>
      <c r="OT41" s="38"/>
      <c r="OU41" s="38"/>
      <c r="OV41" s="38"/>
      <c r="OW41" s="38"/>
      <c r="OX41" s="38"/>
      <c r="OY41" s="38"/>
      <c r="OZ41" s="38"/>
      <c r="PA41" s="38"/>
      <c r="PB41" s="38"/>
      <c r="PC41" s="38"/>
      <c r="PD41" s="38"/>
      <c r="PE41" s="38"/>
      <c r="PF41" s="38"/>
      <c r="PG41" s="38"/>
      <c r="PH41" s="38"/>
      <c r="PI41" s="38"/>
      <c r="PJ41" s="38"/>
      <c r="PK41" s="38"/>
      <c r="PL41" s="38"/>
      <c r="PM41" s="38"/>
      <c r="PN41" s="38"/>
      <c r="PO41" s="38"/>
      <c r="PP41" s="38"/>
      <c r="PQ41" s="38"/>
      <c r="PR41" s="38"/>
      <c r="PS41" s="38"/>
      <c r="PT41" s="38"/>
      <c r="PU41" s="38"/>
      <c r="PV41" s="38"/>
      <c r="PW41" s="38"/>
      <c r="PX41" s="38"/>
      <c r="PY41" s="38"/>
      <c r="PZ41" s="38"/>
      <c r="QA41" s="38"/>
      <c r="QB41" s="38"/>
      <c r="QC41" s="38"/>
      <c r="QD41" s="38"/>
      <c r="QE41" s="38"/>
      <c r="QF41" s="38"/>
      <c r="QG41" s="38"/>
      <c r="QH41" s="38"/>
      <c r="QI41" s="38"/>
      <c r="QJ41" s="38"/>
      <c r="QK41" s="38"/>
      <c r="QL41" s="38"/>
      <c r="QM41" s="38"/>
      <c r="QN41" s="38"/>
      <c r="QO41" s="38"/>
      <c r="QP41" s="38"/>
      <c r="QQ41" s="38"/>
      <c r="QR41" s="38"/>
      <c r="QS41" s="38"/>
      <c r="QT41" s="38"/>
      <c r="QU41" s="38"/>
      <c r="QV41" s="38"/>
      <c r="QW41" s="38"/>
      <c r="QX41" s="38"/>
      <c r="QY41" s="38"/>
      <c r="QZ41" s="38"/>
      <c r="RA41" s="38"/>
      <c r="RB41" s="38"/>
      <c r="RC41" s="38"/>
      <c r="RD41" s="38"/>
      <c r="RE41" s="38"/>
      <c r="RF41" s="38"/>
      <c r="RG41" s="38"/>
      <c r="RH41" s="38"/>
      <c r="RI41" s="38"/>
      <c r="RJ41" s="38"/>
      <c r="RK41" s="38"/>
      <c r="RL41" s="38"/>
      <c r="RM41" s="38"/>
      <c r="RN41" s="38"/>
      <c r="RO41" s="38"/>
      <c r="RP41" s="38"/>
      <c r="RQ41" s="38"/>
      <c r="RR41" s="38"/>
      <c r="RS41" s="38"/>
      <c r="RT41" s="38"/>
      <c r="RU41" s="38"/>
      <c r="RV41" s="38"/>
      <c r="RW41" s="38"/>
      <c r="RX41" s="38"/>
      <c r="RY41" s="38"/>
      <c r="RZ41" s="38"/>
      <c r="SA41" s="38"/>
      <c r="SB41" s="38"/>
      <c r="SC41" s="38"/>
      <c r="SD41" s="38"/>
      <c r="SE41" s="38"/>
      <c r="SF41" s="38"/>
      <c r="SG41" s="38"/>
      <c r="SH41" s="38"/>
      <c r="SI41" s="38"/>
      <c r="SJ41" s="38"/>
      <c r="SK41" s="38"/>
      <c r="SL41" s="38"/>
      <c r="SM41" s="38"/>
      <c r="SN41" s="38"/>
      <c r="SO41" s="38"/>
      <c r="SP41" s="38"/>
      <c r="SQ41" s="38"/>
      <c r="SR41" s="38"/>
      <c r="SS41" s="38"/>
      <c r="ST41" s="38"/>
      <c r="SU41" s="38"/>
      <c r="SV41" s="38"/>
      <c r="SW41" s="38"/>
      <c r="SX41" s="38"/>
      <c r="SY41" s="38"/>
      <c r="SZ41" s="38"/>
      <c r="TA41" s="38"/>
      <c r="TB41" s="38"/>
      <c r="TC41" s="38"/>
      <c r="TD41" s="38"/>
      <c r="TE41" s="38"/>
      <c r="TF41" s="38"/>
      <c r="TG41" s="38"/>
      <c r="TH41" s="38"/>
      <c r="TI41" s="38"/>
      <c r="TJ41" s="38"/>
      <c r="TK41" s="38"/>
      <c r="TL41" s="38"/>
      <c r="TM41" s="38"/>
    </row>
    <row r="42" spans="1:533" s="39" customFormat="1" ht="187.5" x14ac:dyDescent="0.25">
      <c r="B42" s="50" t="s">
        <v>92</v>
      </c>
      <c r="C42" s="41"/>
      <c r="D42" s="69" t="s">
        <v>93</v>
      </c>
      <c r="E42" s="70"/>
      <c r="F42" s="53"/>
      <c r="G42" s="54"/>
      <c r="H42" s="46"/>
      <c r="I42" s="55"/>
      <c r="J42" s="48"/>
      <c r="K42" s="47"/>
      <c r="L42" s="49"/>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c r="FU42" s="38"/>
      <c r="FV42" s="38"/>
      <c r="FW42" s="38"/>
      <c r="FX42" s="38"/>
      <c r="FY42" s="38"/>
      <c r="FZ42" s="38"/>
      <c r="GA42" s="38"/>
      <c r="GB42" s="38"/>
      <c r="GC42" s="38"/>
      <c r="GD42" s="38"/>
      <c r="GE42" s="38"/>
      <c r="GF42" s="38"/>
      <c r="GG42" s="38"/>
      <c r="GH42" s="38"/>
      <c r="GI42" s="38"/>
      <c r="GJ42" s="38"/>
      <c r="GK42" s="38"/>
      <c r="GL42" s="38"/>
      <c r="GM42" s="38"/>
      <c r="GN42" s="38"/>
      <c r="GO42" s="38"/>
      <c r="GP42" s="38"/>
      <c r="GQ42" s="38"/>
      <c r="GR42" s="38"/>
      <c r="GS42" s="38"/>
      <c r="GT42" s="38"/>
      <c r="GU42" s="38"/>
      <c r="GV42" s="38"/>
      <c r="GW42" s="38"/>
      <c r="GX42" s="38"/>
      <c r="GY42" s="38"/>
      <c r="GZ42" s="38"/>
      <c r="HA42" s="38"/>
      <c r="HB42" s="38"/>
      <c r="HC42" s="38"/>
      <c r="HD42" s="38"/>
      <c r="HE42" s="38"/>
      <c r="HF42" s="38"/>
      <c r="HG42" s="38"/>
      <c r="HH42" s="38"/>
      <c r="HI42" s="38"/>
      <c r="HJ42" s="38"/>
      <c r="HK42" s="38"/>
      <c r="HL42" s="38"/>
      <c r="HM42" s="38"/>
      <c r="HN42" s="38"/>
      <c r="HO42" s="38"/>
      <c r="HP42" s="38"/>
      <c r="HQ42" s="38"/>
      <c r="HR42" s="38"/>
      <c r="HS42" s="38"/>
      <c r="HT42" s="38"/>
      <c r="HU42" s="38"/>
      <c r="HV42" s="38"/>
      <c r="HW42" s="38"/>
      <c r="HX42" s="38"/>
      <c r="HY42" s="38"/>
      <c r="HZ42" s="38"/>
      <c r="IA42" s="38"/>
      <c r="IB42" s="38"/>
      <c r="IC42" s="38"/>
      <c r="ID42" s="38"/>
      <c r="IE42" s="38"/>
      <c r="IF42" s="38"/>
      <c r="IG42" s="38"/>
      <c r="IH42" s="38"/>
      <c r="II42" s="38"/>
      <c r="IJ42" s="38"/>
      <c r="IK42" s="38"/>
      <c r="IL42" s="38"/>
      <c r="IM42" s="38"/>
      <c r="IN42" s="38"/>
      <c r="IO42" s="38"/>
      <c r="IP42" s="38"/>
      <c r="IQ42" s="38"/>
      <c r="IR42" s="38"/>
      <c r="IS42" s="38"/>
      <c r="IT42" s="38"/>
      <c r="IU42" s="38"/>
      <c r="IV42" s="38"/>
      <c r="IW42" s="38"/>
      <c r="IX42" s="38"/>
      <c r="IY42" s="38"/>
      <c r="IZ42" s="38"/>
      <c r="JA42" s="38"/>
      <c r="JB42" s="38"/>
      <c r="JC42" s="38"/>
      <c r="JD42" s="38"/>
      <c r="JE42" s="38"/>
      <c r="JF42" s="38"/>
      <c r="JG42" s="38"/>
      <c r="JH42" s="38"/>
      <c r="JI42" s="38"/>
      <c r="JJ42" s="38"/>
      <c r="JK42" s="38"/>
      <c r="JL42" s="38"/>
      <c r="JM42" s="38"/>
      <c r="JN42" s="38"/>
      <c r="JO42" s="38"/>
      <c r="JP42" s="38"/>
      <c r="JQ42" s="38"/>
      <c r="JR42" s="38"/>
      <c r="JS42" s="38"/>
      <c r="JT42" s="38"/>
      <c r="JU42" s="38"/>
      <c r="JV42" s="38"/>
      <c r="JW42" s="38"/>
      <c r="JX42" s="38"/>
      <c r="JY42" s="38"/>
      <c r="JZ42" s="38"/>
      <c r="KA42" s="38"/>
      <c r="KB42" s="38"/>
      <c r="KC42" s="38"/>
      <c r="KD42" s="38"/>
      <c r="KE42" s="38"/>
      <c r="KF42" s="38"/>
      <c r="KG42" s="38"/>
      <c r="KH42" s="38"/>
      <c r="KI42" s="38"/>
      <c r="KJ42" s="38"/>
      <c r="KK42" s="38"/>
      <c r="KL42" s="38"/>
      <c r="KM42" s="38"/>
      <c r="KN42" s="38"/>
      <c r="KO42" s="38"/>
      <c r="KP42" s="38"/>
      <c r="KQ42" s="38"/>
      <c r="KR42" s="38"/>
      <c r="KS42" s="38"/>
      <c r="KT42" s="38"/>
      <c r="KU42" s="38"/>
      <c r="KV42" s="38"/>
      <c r="KW42" s="38"/>
      <c r="KX42" s="38"/>
      <c r="KY42" s="38"/>
      <c r="KZ42" s="38"/>
      <c r="LA42" s="38"/>
      <c r="LB42" s="38"/>
      <c r="LC42" s="38"/>
      <c r="LD42" s="38"/>
      <c r="LE42" s="38"/>
      <c r="LF42" s="38"/>
      <c r="LG42" s="38"/>
      <c r="LH42" s="38"/>
      <c r="LI42" s="38"/>
      <c r="LJ42" s="38"/>
      <c r="LK42" s="38"/>
      <c r="LL42" s="38"/>
      <c r="LM42" s="38"/>
      <c r="LN42" s="38"/>
      <c r="LO42" s="38"/>
      <c r="LP42" s="38"/>
      <c r="LQ42" s="38"/>
      <c r="LR42" s="38"/>
      <c r="LS42" s="38"/>
      <c r="LT42" s="38"/>
      <c r="LU42" s="38"/>
      <c r="LV42" s="38"/>
      <c r="LW42" s="38"/>
      <c r="LX42" s="38"/>
      <c r="LY42" s="38"/>
      <c r="LZ42" s="38"/>
      <c r="MA42" s="38"/>
      <c r="MB42" s="38"/>
      <c r="MC42" s="38"/>
      <c r="MD42" s="38"/>
      <c r="ME42" s="38"/>
      <c r="MF42" s="38"/>
      <c r="MG42" s="38"/>
      <c r="MH42" s="38"/>
      <c r="MI42" s="38"/>
      <c r="MJ42" s="38"/>
      <c r="MK42" s="38"/>
      <c r="ML42" s="38"/>
      <c r="MM42" s="38"/>
      <c r="MN42" s="38"/>
      <c r="MO42" s="38"/>
      <c r="MP42" s="38"/>
      <c r="MQ42" s="38"/>
      <c r="MR42" s="38"/>
      <c r="MS42" s="38"/>
      <c r="MT42" s="38"/>
      <c r="MU42" s="38"/>
      <c r="MV42" s="38"/>
      <c r="MW42" s="38"/>
      <c r="MX42" s="38"/>
      <c r="MY42" s="38"/>
      <c r="MZ42" s="38"/>
      <c r="NA42" s="38"/>
      <c r="NB42" s="38"/>
      <c r="NC42" s="38"/>
      <c r="ND42" s="38"/>
      <c r="NE42" s="38"/>
      <c r="NF42" s="38"/>
      <c r="NG42" s="38"/>
      <c r="NH42" s="38"/>
      <c r="NI42" s="38"/>
      <c r="NJ42" s="38"/>
      <c r="NK42" s="38"/>
      <c r="NL42" s="38"/>
      <c r="NM42" s="38"/>
      <c r="NN42" s="38"/>
      <c r="NO42" s="38"/>
      <c r="NP42" s="38"/>
      <c r="NQ42" s="38"/>
      <c r="NR42" s="38"/>
      <c r="NS42" s="38"/>
      <c r="NT42" s="38"/>
      <c r="NU42" s="38"/>
      <c r="NV42" s="38"/>
      <c r="NW42" s="38"/>
      <c r="NX42" s="38"/>
      <c r="NY42" s="38"/>
      <c r="NZ42" s="38"/>
      <c r="OA42" s="38"/>
      <c r="OB42" s="38"/>
      <c r="OC42" s="38"/>
      <c r="OD42" s="38"/>
      <c r="OE42" s="38"/>
      <c r="OF42" s="38"/>
      <c r="OG42" s="38"/>
      <c r="OH42" s="38"/>
      <c r="OI42" s="38"/>
      <c r="OJ42" s="38"/>
      <c r="OK42" s="38"/>
      <c r="OL42" s="38"/>
      <c r="OM42" s="38"/>
      <c r="ON42" s="38"/>
      <c r="OO42" s="38"/>
      <c r="OP42" s="38"/>
      <c r="OQ42" s="38"/>
      <c r="OR42" s="38"/>
      <c r="OS42" s="38"/>
      <c r="OT42" s="38"/>
      <c r="OU42" s="38"/>
      <c r="OV42" s="38"/>
      <c r="OW42" s="38"/>
      <c r="OX42" s="38"/>
      <c r="OY42" s="38"/>
      <c r="OZ42" s="38"/>
      <c r="PA42" s="38"/>
      <c r="PB42" s="38"/>
      <c r="PC42" s="38"/>
      <c r="PD42" s="38"/>
      <c r="PE42" s="38"/>
      <c r="PF42" s="38"/>
      <c r="PG42" s="38"/>
      <c r="PH42" s="38"/>
      <c r="PI42" s="38"/>
      <c r="PJ42" s="38"/>
      <c r="PK42" s="38"/>
      <c r="PL42" s="38"/>
      <c r="PM42" s="38"/>
      <c r="PN42" s="38"/>
      <c r="PO42" s="38"/>
      <c r="PP42" s="38"/>
      <c r="PQ42" s="38"/>
      <c r="PR42" s="38"/>
      <c r="PS42" s="38"/>
      <c r="PT42" s="38"/>
      <c r="PU42" s="38"/>
      <c r="PV42" s="38"/>
      <c r="PW42" s="38"/>
      <c r="PX42" s="38"/>
      <c r="PY42" s="38"/>
      <c r="PZ42" s="38"/>
      <c r="QA42" s="38"/>
      <c r="QB42" s="38"/>
      <c r="QC42" s="38"/>
      <c r="QD42" s="38"/>
      <c r="QE42" s="38"/>
      <c r="QF42" s="38"/>
      <c r="QG42" s="38"/>
      <c r="QH42" s="38"/>
      <c r="QI42" s="38"/>
      <c r="QJ42" s="38"/>
      <c r="QK42" s="38"/>
      <c r="QL42" s="38"/>
      <c r="QM42" s="38"/>
      <c r="QN42" s="38"/>
      <c r="QO42" s="38"/>
      <c r="QP42" s="38"/>
      <c r="QQ42" s="38"/>
      <c r="QR42" s="38"/>
      <c r="QS42" s="38"/>
      <c r="QT42" s="38"/>
      <c r="QU42" s="38"/>
      <c r="QV42" s="38"/>
      <c r="QW42" s="38"/>
      <c r="QX42" s="38"/>
      <c r="QY42" s="38"/>
      <c r="QZ42" s="38"/>
      <c r="RA42" s="38"/>
      <c r="RB42" s="38"/>
      <c r="RC42" s="38"/>
      <c r="RD42" s="38"/>
      <c r="RE42" s="38"/>
      <c r="RF42" s="38"/>
      <c r="RG42" s="38"/>
      <c r="RH42" s="38"/>
      <c r="RI42" s="38"/>
      <c r="RJ42" s="38"/>
      <c r="RK42" s="38"/>
      <c r="RL42" s="38"/>
      <c r="RM42" s="38"/>
      <c r="RN42" s="38"/>
      <c r="RO42" s="38"/>
      <c r="RP42" s="38"/>
      <c r="RQ42" s="38"/>
      <c r="RR42" s="38"/>
      <c r="RS42" s="38"/>
      <c r="RT42" s="38"/>
      <c r="RU42" s="38"/>
      <c r="RV42" s="38"/>
      <c r="RW42" s="38"/>
      <c r="RX42" s="38"/>
      <c r="RY42" s="38"/>
      <c r="RZ42" s="38"/>
      <c r="SA42" s="38"/>
      <c r="SB42" s="38"/>
      <c r="SC42" s="38"/>
      <c r="SD42" s="38"/>
      <c r="SE42" s="38"/>
      <c r="SF42" s="38"/>
      <c r="SG42" s="38"/>
      <c r="SH42" s="38"/>
      <c r="SI42" s="38"/>
      <c r="SJ42" s="38"/>
      <c r="SK42" s="38"/>
      <c r="SL42" s="38"/>
      <c r="SM42" s="38"/>
      <c r="SN42" s="38"/>
      <c r="SO42" s="38"/>
      <c r="SP42" s="38"/>
      <c r="SQ42" s="38"/>
      <c r="SR42" s="38"/>
      <c r="SS42" s="38"/>
      <c r="ST42" s="38"/>
      <c r="SU42" s="38"/>
      <c r="SV42" s="38"/>
      <c r="SW42" s="38"/>
      <c r="SX42" s="38"/>
      <c r="SY42" s="38"/>
      <c r="SZ42" s="38"/>
      <c r="TA42" s="38"/>
      <c r="TB42" s="38"/>
      <c r="TC42" s="38"/>
      <c r="TD42" s="38"/>
      <c r="TE42" s="38"/>
      <c r="TF42" s="38"/>
      <c r="TG42" s="38"/>
      <c r="TH42" s="38"/>
      <c r="TI42" s="38"/>
      <c r="TJ42" s="38"/>
      <c r="TK42" s="38"/>
      <c r="TL42" s="38"/>
      <c r="TM42" s="38"/>
    </row>
    <row r="43" spans="1:533" s="39" customFormat="1" ht="18.75" x14ac:dyDescent="0.25">
      <c r="B43" s="50" t="s">
        <v>92</v>
      </c>
      <c r="C43" s="41" t="s">
        <v>94</v>
      </c>
      <c r="D43" s="42" t="s">
        <v>95</v>
      </c>
      <c r="E43" s="43" t="s">
        <v>60</v>
      </c>
      <c r="F43" s="53">
        <v>24</v>
      </c>
      <c r="G43" s="58"/>
      <c r="H43" s="46"/>
      <c r="I43" s="47">
        <f t="shared" si="2"/>
        <v>0</v>
      </c>
      <c r="J43" s="48">
        <v>2009</v>
      </c>
      <c r="K43" s="47" t="s">
        <v>30</v>
      </c>
      <c r="L43" s="49"/>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c r="FR43" s="38"/>
      <c r="FS43" s="38"/>
      <c r="FT43" s="38"/>
      <c r="FU43" s="38"/>
      <c r="FV43" s="38"/>
      <c r="FW43" s="38"/>
      <c r="FX43" s="38"/>
      <c r="FY43" s="38"/>
      <c r="FZ43" s="38"/>
      <c r="GA43" s="38"/>
      <c r="GB43" s="38"/>
      <c r="GC43" s="38"/>
      <c r="GD43" s="38"/>
      <c r="GE43" s="38"/>
      <c r="GF43" s="38"/>
      <c r="GG43" s="38"/>
      <c r="GH43" s="38"/>
      <c r="GI43" s="38"/>
      <c r="GJ43" s="38"/>
      <c r="GK43" s="38"/>
      <c r="GL43" s="38"/>
      <c r="GM43" s="38"/>
      <c r="GN43" s="38"/>
      <c r="GO43" s="38"/>
      <c r="GP43" s="38"/>
      <c r="GQ43" s="38"/>
      <c r="GR43" s="38"/>
      <c r="GS43" s="38"/>
      <c r="GT43" s="38"/>
      <c r="GU43" s="38"/>
      <c r="GV43" s="38"/>
      <c r="GW43" s="38"/>
      <c r="GX43" s="38"/>
      <c r="GY43" s="38"/>
      <c r="GZ43" s="38"/>
      <c r="HA43" s="38"/>
      <c r="HB43" s="38"/>
      <c r="HC43" s="38"/>
      <c r="HD43" s="38"/>
      <c r="HE43" s="38"/>
      <c r="HF43" s="38"/>
      <c r="HG43" s="38"/>
      <c r="HH43" s="38"/>
      <c r="HI43" s="38"/>
      <c r="HJ43" s="38"/>
      <c r="HK43" s="38"/>
      <c r="HL43" s="38"/>
      <c r="HM43" s="38"/>
      <c r="HN43" s="38"/>
      <c r="HO43" s="38"/>
      <c r="HP43" s="38"/>
      <c r="HQ43" s="38"/>
      <c r="HR43" s="38"/>
      <c r="HS43" s="38"/>
      <c r="HT43" s="38"/>
      <c r="HU43" s="38"/>
      <c r="HV43" s="38"/>
      <c r="HW43" s="38"/>
      <c r="HX43" s="38"/>
      <c r="HY43" s="38"/>
      <c r="HZ43" s="38"/>
      <c r="IA43" s="38"/>
      <c r="IB43" s="38"/>
      <c r="IC43" s="38"/>
      <c r="ID43" s="38"/>
      <c r="IE43" s="38"/>
      <c r="IF43" s="38"/>
      <c r="IG43" s="38"/>
      <c r="IH43" s="38"/>
      <c r="II43" s="38"/>
      <c r="IJ43" s="38"/>
      <c r="IK43" s="38"/>
      <c r="IL43" s="38"/>
      <c r="IM43" s="38"/>
      <c r="IN43" s="38"/>
      <c r="IO43" s="38"/>
      <c r="IP43" s="38"/>
      <c r="IQ43" s="38"/>
      <c r="IR43" s="38"/>
      <c r="IS43" s="38"/>
      <c r="IT43" s="38"/>
      <c r="IU43" s="38"/>
      <c r="IV43" s="38"/>
      <c r="IW43" s="38"/>
      <c r="IX43" s="38"/>
      <c r="IY43" s="38"/>
      <c r="IZ43" s="38"/>
      <c r="JA43" s="38"/>
      <c r="JB43" s="38"/>
      <c r="JC43" s="38"/>
      <c r="JD43" s="38"/>
      <c r="JE43" s="38"/>
      <c r="JF43" s="38"/>
      <c r="JG43" s="38"/>
      <c r="JH43" s="38"/>
      <c r="JI43" s="38"/>
      <c r="JJ43" s="38"/>
      <c r="JK43" s="38"/>
      <c r="JL43" s="38"/>
      <c r="JM43" s="38"/>
      <c r="JN43" s="38"/>
      <c r="JO43" s="38"/>
      <c r="JP43" s="38"/>
      <c r="JQ43" s="38"/>
      <c r="JR43" s="38"/>
      <c r="JS43" s="38"/>
      <c r="JT43" s="38"/>
      <c r="JU43" s="38"/>
      <c r="JV43" s="38"/>
      <c r="JW43" s="38"/>
      <c r="JX43" s="38"/>
      <c r="JY43" s="38"/>
      <c r="JZ43" s="38"/>
      <c r="KA43" s="38"/>
      <c r="KB43" s="38"/>
      <c r="KC43" s="38"/>
      <c r="KD43" s="38"/>
      <c r="KE43" s="38"/>
      <c r="KF43" s="38"/>
      <c r="KG43" s="38"/>
      <c r="KH43" s="38"/>
      <c r="KI43" s="38"/>
      <c r="KJ43" s="38"/>
      <c r="KK43" s="38"/>
      <c r="KL43" s="38"/>
      <c r="KM43" s="38"/>
      <c r="KN43" s="38"/>
      <c r="KO43" s="38"/>
      <c r="KP43" s="38"/>
      <c r="KQ43" s="38"/>
      <c r="KR43" s="38"/>
      <c r="KS43" s="38"/>
      <c r="KT43" s="38"/>
      <c r="KU43" s="38"/>
      <c r="KV43" s="38"/>
      <c r="KW43" s="38"/>
      <c r="KX43" s="38"/>
      <c r="KY43" s="38"/>
      <c r="KZ43" s="38"/>
      <c r="LA43" s="38"/>
      <c r="LB43" s="38"/>
      <c r="LC43" s="38"/>
      <c r="LD43" s="38"/>
      <c r="LE43" s="38"/>
      <c r="LF43" s="38"/>
      <c r="LG43" s="38"/>
      <c r="LH43" s="38"/>
      <c r="LI43" s="38"/>
      <c r="LJ43" s="38"/>
      <c r="LK43" s="38"/>
      <c r="LL43" s="38"/>
      <c r="LM43" s="38"/>
      <c r="LN43" s="38"/>
      <c r="LO43" s="38"/>
      <c r="LP43" s="38"/>
      <c r="LQ43" s="38"/>
      <c r="LR43" s="38"/>
      <c r="LS43" s="38"/>
      <c r="LT43" s="38"/>
      <c r="LU43" s="38"/>
      <c r="LV43" s="38"/>
      <c r="LW43" s="38"/>
      <c r="LX43" s="38"/>
      <c r="LY43" s="38"/>
      <c r="LZ43" s="38"/>
      <c r="MA43" s="38"/>
      <c r="MB43" s="38"/>
      <c r="MC43" s="38"/>
      <c r="MD43" s="38"/>
      <c r="ME43" s="38"/>
      <c r="MF43" s="38"/>
      <c r="MG43" s="38"/>
      <c r="MH43" s="38"/>
      <c r="MI43" s="38"/>
      <c r="MJ43" s="38"/>
      <c r="MK43" s="38"/>
      <c r="ML43" s="38"/>
      <c r="MM43" s="38"/>
      <c r="MN43" s="38"/>
      <c r="MO43" s="38"/>
      <c r="MP43" s="38"/>
      <c r="MQ43" s="38"/>
      <c r="MR43" s="38"/>
      <c r="MS43" s="38"/>
      <c r="MT43" s="38"/>
      <c r="MU43" s="38"/>
      <c r="MV43" s="38"/>
      <c r="MW43" s="38"/>
      <c r="MX43" s="38"/>
      <c r="MY43" s="38"/>
      <c r="MZ43" s="38"/>
      <c r="NA43" s="38"/>
      <c r="NB43" s="38"/>
      <c r="NC43" s="38"/>
      <c r="ND43" s="38"/>
      <c r="NE43" s="38"/>
      <c r="NF43" s="38"/>
      <c r="NG43" s="38"/>
      <c r="NH43" s="38"/>
      <c r="NI43" s="38"/>
      <c r="NJ43" s="38"/>
      <c r="NK43" s="38"/>
      <c r="NL43" s="38"/>
      <c r="NM43" s="38"/>
      <c r="NN43" s="38"/>
      <c r="NO43" s="38"/>
      <c r="NP43" s="38"/>
      <c r="NQ43" s="38"/>
      <c r="NR43" s="38"/>
      <c r="NS43" s="38"/>
      <c r="NT43" s="38"/>
      <c r="NU43" s="38"/>
      <c r="NV43" s="38"/>
      <c r="NW43" s="38"/>
      <c r="NX43" s="38"/>
      <c r="NY43" s="38"/>
      <c r="NZ43" s="38"/>
      <c r="OA43" s="38"/>
      <c r="OB43" s="38"/>
      <c r="OC43" s="38"/>
      <c r="OD43" s="38"/>
      <c r="OE43" s="38"/>
      <c r="OF43" s="38"/>
      <c r="OG43" s="38"/>
      <c r="OH43" s="38"/>
      <c r="OI43" s="38"/>
      <c r="OJ43" s="38"/>
      <c r="OK43" s="38"/>
      <c r="OL43" s="38"/>
      <c r="OM43" s="38"/>
      <c r="ON43" s="38"/>
      <c r="OO43" s="38"/>
      <c r="OP43" s="38"/>
      <c r="OQ43" s="38"/>
      <c r="OR43" s="38"/>
      <c r="OS43" s="38"/>
      <c r="OT43" s="38"/>
      <c r="OU43" s="38"/>
      <c r="OV43" s="38"/>
      <c r="OW43" s="38"/>
      <c r="OX43" s="38"/>
      <c r="OY43" s="38"/>
      <c r="OZ43" s="38"/>
      <c r="PA43" s="38"/>
      <c r="PB43" s="38"/>
      <c r="PC43" s="38"/>
      <c r="PD43" s="38"/>
      <c r="PE43" s="38"/>
      <c r="PF43" s="38"/>
      <c r="PG43" s="38"/>
      <c r="PH43" s="38"/>
      <c r="PI43" s="38"/>
      <c r="PJ43" s="38"/>
      <c r="PK43" s="38"/>
      <c r="PL43" s="38"/>
      <c r="PM43" s="38"/>
      <c r="PN43" s="38"/>
      <c r="PO43" s="38"/>
      <c r="PP43" s="38"/>
      <c r="PQ43" s="38"/>
      <c r="PR43" s="38"/>
      <c r="PS43" s="38"/>
      <c r="PT43" s="38"/>
      <c r="PU43" s="38"/>
      <c r="PV43" s="38"/>
      <c r="PW43" s="38"/>
      <c r="PX43" s="38"/>
      <c r="PY43" s="38"/>
      <c r="PZ43" s="38"/>
      <c r="QA43" s="38"/>
      <c r="QB43" s="38"/>
      <c r="QC43" s="38"/>
      <c r="QD43" s="38"/>
      <c r="QE43" s="38"/>
      <c r="QF43" s="38"/>
      <c r="QG43" s="38"/>
      <c r="QH43" s="38"/>
      <c r="QI43" s="38"/>
      <c r="QJ43" s="38"/>
      <c r="QK43" s="38"/>
      <c r="QL43" s="38"/>
      <c r="QM43" s="38"/>
      <c r="QN43" s="38"/>
      <c r="QO43" s="38"/>
      <c r="QP43" s="38"/>
      <c r="QQ43" s="38"/>
      <c r="QR43" s="38"/>
      <c r="QS43" s="38"/>
      <c r="QT43" s="38"/>
      <c r="QU43" s="38"/>
      <c r="QV43" s="38"/>
      <c r="QW43" s="38"/>
      <c r="QX43" s="38"/>
      <c r="QY43" s="38"/>
      <c r="QZ43" s="38"/>
      <c r="RA43" s="38"/>
      <c r="RB43" s="38"/>
      <c r="RC43" s="38"/>
      <c r="RD43" s="38"/>
      <c r="RE43" s="38"/>
      <c r="RF43" s="38"/>
      <c r="RG43" s="38"/>
      <c r="RH43" s="38"/>
      <c r="RI43" s="38"/>
      <c r="RJ43" s="38"/>
      <c r="RK43" s="38"/>
      <c r="RL43" s="38"/>
      <c r="RM43" s="38"/>
      <c r="RN43" s="38"/>
      <c r="RO43" s="38"/>
      <c r="RP43" s="38"/>
      <c r="RQ43" s="38"/>
      <c r="RR43" s="38"/>
      <c r="RS43" s="38"/>
      <c r="RT43" s="38"/>
      <c r="RU43" s="38"/>
      <c r="RV43" s="38"/>
      <c r="RW43" s="38"/>
      <c r="RX43" s="38"/>
      <c r="RY43" s="38"/>
      <c r="RZ43" s="38"/>
      <c r="SA43" s="38"/>
      <c r="SB43" s="38"/>
      <c r="SC43" s="38"/>
      <c r="SD43" s="38"/>
      <c r="SE43" s="38"/>
      <c r="SF43" s="38"/>
      <c r="SG43" s="38"/>
      <c r="SH43" s="38"/>
      <c r="SI43" s="38"/>
      <c r="SJ43" s="38"/>
      <c r="SK43" s="38"/>
      <c r="SL43" s="38"/>
      <c r="SM43" s="38"/>
      <c r="SN43" s="38"/>
      <c r="SO43" s="38"/>
      <c r="SP43" s="38"/>
      <c r="SQ43" s="38"/>
      <c r="SR43" s="38"/>
      <c r="SS43" s="38"/>
      <c r="ST43" s="38"/>
      <c r="SU43" s="38"/>
      <c r="SV43" s="38"/>
      <c r="SW43" s="38"/>
      <c r="SX43" s="38"/>
      <c r="SY43" s="38"/>
      <c r="SZ43" s="38"/>
      <c r="TA43" s="38"/>
      <c r="TB43" s="38"/>
      <c r="TC43" s="38"/>
      <c r="TD43" s="38"/>
      <c r="TE43" s="38"/>
      <c r="TF43" s="38"/>
      <c r="TG43" s="38"/>
      <c r="TH43" s="38"/>
      <c r="TI43" s="38"/>
      <c r="TJ43" s="38"/>
      <c r="TK43" s="38"/>
      <c r="TL43" s="38"/>
      <c r="TM43" s="38"/>
    </row>
    <row r="44" spans="1:533" s="39" customFormat="1" ht="168.75" x14ac:dyDescent="0.25">
      <c r="B44" s="50" t="s">
        <v>96</v>
      </c>
      <c r="C44" s="41"/>
      <c r="D44" s="67" t="s">
        <v>97</v>
      </c>
      <c r="E44" s="70"/>
      <c r="F44" s="53"/>
      <c r="G44" s="54"/>
      <c r="H44" s="46"/>
      <c r="I44" s="55"/>
      <c r="J44" s="48"/>
      <c r="K44" s="47"/>
      <c r="L44" s="49"/>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c r="FU44" s="38"/>
      <c r="FV44" s="38"/>
      <c r="FW44" s="38"/>
      <c r="FX44" s="38"/>
      <c r="FY44" s="38"/>
      <c r="FZ44" s="38"/>
      <c r="GA44" s="38"/>
      <c r="GB44" s="38"/>
      <c r="GC44" s="38"/>
      <c r="GD44" s="38"/>
      <c r="GE44" s="38"/>
      <c r="GF44" s="38"/>
      <c r="GG44" s="38"/>
      <c r="GH44" s="38"/>
      <c r="GI44" s="38"/>
      <c r="GJ44" s="38"/>
      <c r="GK44" s="38"/>
      <c r="GL44" s="38"/>
      <c r="GM44" s="38"/>
      <c r="GN44" s="38"/>
      <c r="GO44" s="38"/>
      <c r="GP44" s="38"/>
      <c r="GQ44" s="38"/>
      <c r="GR44" s="38"/>
      <c r="GS44" s="38"/>
      <c r="GT44" s="38"/>
      <c r="GU44" s="38"/>
      <c r="GV44" s="38"/>
      <c r="GW44" s="38"/>
      <c r="GX44" s="38"/>
      <c r="GY44" s="38"/>
      <c r="GZ44" s="38"/>
      <c r="HA44" s="38"/>
      <c r="HB44" s="38"/>
      <c r="HC44" s="38"/>
      <c r="HD44" s="38"/>
      <c r="HE44" s="38"/>
      <c r="HF44" s="38"/>
      <c r="HG44" s="38"/>
      <c r="HH44" s="38"/>
      <c r="HI44" s="38"/>
      <c r="HJ44" s="38"/>
      <c r="HK44" s="38"/>
      <c r="HL44" s="38"/>
      <c r="HM44" s="38"/>
      <c r="HN44" s="38"/>
      <c r="HO44" s="38"/>
      <c r="HP44" s="38"/>
      <c r="HQ44" s="38"/>
      <c r="HR44" s="38"/>
      <c r="HS44" s="38"/>
      <c r="HT44" s="38"/>
      <c r="HU44" s="38"/>
      <c r="HV44" s="38"/>
      <c r="HW44" s="38"/>
      <c r="HX44" s="38"/>
      <c r="HY44" s="38"/>
      <c r="HZ44" s="38"/>
      <c r="IA44" s="38"/>
      <c r="IB44" s="38"/>
      <c r="IC44" s="38"/>
      <c r="ID44" s="38"/>
      <c r="IE44" s="38"/>
      <c r="IF44" s="38"/>
      <c r="IG44" s="38"/>
      <c r="IH44" s="38"/>
      <c r="II44" s="38"/>
      <c r="IJ44" s="38"/>
      <c r="IK44" s="38"/>
      <c r="IL44" s="38"/>
      <c r="IM44" s="38"/>
      <c r="IN44" s="38"/>
      <c r="IO44" s="38"/>
      <c r="IP44" s="38"/>
      <c r="IQ44" s="38"/>
      <c r="IR44" s="38"/>
      <c r="IS44" s="38"/>
      <c r="IT44" s="38"/>
      <c r="IU44" s="38"/>
      <c r="IV44" s="38"/>
      <c r="IW44" s="38"/>
      <c r="IX44" s="38"/>
      <c r="IY44" s="38"/>
      <c r="IZ44" s="38"/>
      <c r="JA44" s="38"/>
      <c r="JB44" s="38"/>
      <c r="JC44" s="38"/>
      <c r="JD44" s="38"/>
      <c r="JE44" s="38"/>
      <c r="JF44" s="38"/>
      <c r="JG44" s="38"/>
      <c r="JH44" s="38"/>
      <c r="JI44" s="38"/>
      <c r="JJ44" s="38"/>
      <c r="JK44" s="38"/>
      <c r="JL44" s="38"/>
      <c r="JM44" s="38"/>
      <c r="JN44" s="38"/>
      <c r="JO44" s="38"/>
      <c r="JP44" s="38"/>
      <c r="JQ44" s="38"/>
      <c r="JR44" s="38"/>
      <c r="JS44" s="38"/>
      <c r="JT44" s="38"/>
      <c r="JU44" s="38"/>
      <c r="JV44" s="38"/>
      <c r="JW44" s="38"/>
      <c r="JX44" s="38"/>
      <c r="JY44" s="38"/>
      <c r="JZ44" s="38"/>
      <c r="KA44" s="38"/>
      <c r="KB44" s="38"/>
      <c r="KC44" s="38"/>
      <c r="KD44" s="38"/>
      <c r="KE44" s="38"/>
      <c r="KF44" s="38"/>
      <c r="KG44" s="38"/>
      <c r="KH44" s="38"/>
      <c r="KI44" s="38"/>
      <c r="KJ44" s="38"/>
      <c r="KK44" s="38"/>
      <c r="KL44" s="38"/>
      <c r="KM44" s="38"/>
      <c r="KN44" s="38"/>
      <c r="KO44" s="38"/>
      <c r="KP44" s="38"/>
      <c r="KQ44" s="38"/>
      <c r="KR44" s="38"/>
      <c r="KS44" s="38"/>
      <c r="KT44" s="38"/>
      <c r="KU44" s="38"/>
      <c r="KV44" s="38"/>
      <c r="KW44" s="38"/>
      <c r="KX44" s="38"/>
      <c r="KY44" s="38"/>
      <c r="KZ44" s="38"/>
      <c r="LA44" s="38"/>
      <c r="LB44" s="38"/>
      <c r="LC44" s="38"/>
      <c r="LD44" s="38"/>
      <c r="LE44" s="38"/>
      <c r="LF44" s="38"/>
      <c r="LG44" s="38"/>
      <c r="LH44" s="38"/>
      <c r="LI44" s="38"/>
      <c r="LJ44" s="38"/>
      <c r="LK44" s="38"/>
      <c r="LL44" s="38"/>
      <c r="LM44" s="38"/>
      <c r="LN44" s="38"/>
      <c r="LO44" s="38"/>
      <c r="LP44" s="38"/>
      <c r="LQ44" s="38"/>
      <c r="LR44" s="38"/>
      <c r="LS44" s="38"/>
      <c r="LT44" s="38"/>
      <c r="LU44" s="38"/>
      <c r="LV44" s="38"/>
      <c r="LW44" s="38"/>
      <c r="LX44" s="38"/>
      <c r="LY44" s="38"/>
      <c r="LZ44" s="38"/>
      <c r="MA44" s="38"/>
      <c r="MB44" s="38"/>
      <c r="MC44" s="38"/>
      <c r="MD44" s="38"/>
      <c r="ME44" s="38"/>
      <c r="MF44" s="38"/>
      <c r="MG44" s="38"/>
      <c r="MH44" s="38"/>
      <c r="MI44" s="38"/>
      <c r="MJ44" s="38"/>
      <c r="MK44" s="38"/>
      <c r="ML44" s="38"/>
      <c r="MM44" s="38"/>
      <c r="MN44" s="38"/>
      <c r="MO44" s="38"/>
      <c r="MP44" s="38"/>
      <c r="MQ44" s="38"/>
      <c r="MR44" s="38"/>
      <c r="MS44" s="38"/>
      <c r="MT44" s="38"/>
      <c r="MU44" s="38"/>
      <c r="MV44" s="38"/>
      <c r="MW44" s="38"/>
      <c r="MX44" s="38"/>
      <c r="MY44" s="38"/>
      <c r="MZ44" s="38"/>
      <c r="NA44" s="38"/>
      <c r="NB44" s="38"/>
      <c r="NC44" s="38"/>
      <c r="ND44" s="38"/>
      <c r="NE44" s="38"/>
      <c r="NF44" s="38"/>
      <c r="NG44" s="38"/>
      <c r="NH44" s="38"/>
      <c r="NI44" s="38"/>
      <c r="NJ44" s="38"/>
      <c r="NK44" s="38"/>
      <c r="NL44" s="38"/>
      <c r="NM44" s="38"/>
      <c r="NN44" s="38"/>
      <c r="NO44" s="38"/>
      <c r="NP44" s="38"/>
      <c r="NQ44" s="38"/>
      <c r="NR44" s="38"/>
      <c r="NS44" s="38"/>
      <c r="NT44" s="38"/>
      <c r="NU44" s="38"/>
      <c r="NV44" s="38"/>
      <c r="NW44" s="38"/>
      <c r="NX44" s="38"/>
      <c r="NY44" s="38"/>
      <c r="NZ44" s="38"/>
      <c r="OA44" s="38"/>
      <c r="OB44" s="38"/>
      <c r="OC44" s="38"/>
      <c r="OD44" s="38"/>
      <c r="OE44" s="38"/>
      <c r="OF44" s="38"/>
      <c r="OG44" s="38"/>
      <c r="OH44" s="38"/>
      <c r="OI44" s="38"/>
      <c r="OJ44" s="38"/>
      <c r="OK44" s="38"/>
      <c r="OL44" s="38"/>
      <c r="OM44" s="38"/>
      <c r="ON44" s="38"/>
      <c r="OO44" s="38"/>
      <c r="OP44" s="38"/>
      <c r="OQ44" s="38"/>
      <c r="OR44" s="38"/>
      <c r="OS44" s="38"/>
      <c r="OT44" s="38"/>
      <c r="OU44" s="38"/>
      <c r="OV44" s="38"/>
      <c r="OW44" s="38"/>
      <c r="OX44" s="38"/>
      <c r="OY44" s="38"/>
      <c r="OZ44" s="38"/>
      <c r="PA44" s="38"/>
      <c r="PB44" s="38"/>
      <c r="PC44" s="38"/>
      <c r="PD44" s="38"/>
      <c r="PE44" s="38"/>
      <c r="PF44" s="38"/>
      <c r="PG44" s="38"/>
      <c r="PH44" s="38"/>
      <c r="PI44" s="38"/>
      <c r="PJ44" s="38"/>
      <c r="PK44" s="38"/>
      <c r="PL44" s="38"/>
      <c r="PM44" s="38"/>
      <c r="PN44" s="38"/>
      <c r="PO44" s="38"/>
      <c r="PP44" s="38"/>
      <c r="PQ44" s="38"/>
      <c r="PR44" s="38"/>
      <c r="PS44" s="38"/>
      <c r="PT44" s="38"/>
      <c r="PU44" s="38"/>
      <c r="PV44" s="38"/>
      <c r="PW44" s="38"/>
      <c r="PX44" s="38"/>
      <c r="PY44" s="38"/>
      <c r="PZ44" s="38"/>
      <c r="QA44" s="38"/>
      <c r="QB44" s="38"/>
      <c r="QC44" s="38"/>
      <c r="QD44" s="38"/>
      <c r="QE44" s="38"/>
      <c r="QF44" s="38"/>
      <c r="QG44" s="38"/>
      <c r="QH44" s="38"/>
      <c r="QI44" s="38"/>
      <c r="QJ44" s="38"/>
      <c r="QK44" s="38"/>
      <c r="QL44" s="38"/>
      <c r="QM44" s="38"/>
      <c r="QN44" s="38"/>
      <c r="QO44" s="38"/>
      <c r="QP44" s="38"/>
      <c r="QQ44" s="38"/>
      <c r="QR44" s="38"/>
      <c r="QS44" s="38"/>
      <c r="QT44" s="38"/>
      <c r="QU44" s="38"/>
      <c r="QV44" s="38"/>
      <c r="QW44" s="38"/>
      <c r="QX44" s="38"/>
      <c r="QY44" s="38"/>
      <c r="QZ44" s="38"/>
      <c r="RA44" s="38"/>
      <c r="RB44" s="38"/>
      <c r="RC44" s="38"/>
      <c r="RD44" s="38"/>
      <c r="RE44" s="38"/>
      <c r="RF44" s="38"/>
      <c r="RG44" s="38"/>
      <c r="RH44" s="38"/>
      <c r="RI44" s="38"/>
      <c r="RJ44" s="38"/>
      <c r="RK44" s="38"/>
      <c r="RL44" s="38"/>
      <c r="RM44" s="38"/>
      <c r="RN44" s="38"/>
      <c r="RO44" s="38"/>
      <c r="RP44" s="38"/>
      <c r="RQ44" s="38"/>
      <c r="RR44" s="38"/>
      <c r="RS44" s="38"/>
      <c r="RT44" s="38"/>
      <c r="RU44" s="38"/>
      <c r="RV44" s="38"/>
      <c r="RW44" s="38"/>
      <c r="RX44" s="38"/>
      <c r="RY44" s="38"/>
      <c r="RZ44" s="38"/>
      <c r="SA44" s="38"/>
      <c r="SB44" s="38"/>
      <c r="SC44" s="38"/>
      <c r="SD44" s="38"/>
      <c r="SE44" s="38"/>
      <c r="SF44" s="38"/>
      <c r="SG44" s="38"/>
      <c r="SH44" s="38"/>
      <c r="SI44" s="38"/>
      <c r="SJ44" s="38"/>
      <c r="SK44" s="38"/>
      <c r="SL44" s="38"/>
      <c r="SM44" s="38"/>
      <c r="SN44" s="38"/>
      <c r="SO44" s="38"/>
      <c r="SP44" s="38"/>
      <c r="SQ44" s="38"/>
      <c r="SR44" s="38"/>
      <c r="SS44" s="38"/>
      <c r="ST44" s="38"/>
      <c r="SU44" s="38"/>
      <c r="SV44" s="38"/>
      <c r="SW44" s="38"/>
      <c r="SX44" s="38"/>
      <c r="SY44" s="38"/>
      <c r="SZ44" s="38"/>
      <c r="TA44" s="38"/>
      <c r="TB44" s="38"/>
      <c r="TC44" s="38"/>
      <c r="TD44" s="38"/>
      <c r="TE44" s="38"/>
      <c r="TF44" s="38"/>
      <c r="TG44" s="38"/>
      <c r="TH44" s="38"/>
      <c r="TI44" s="38"/>
      <c r="TJ44" s="38"/>
      <c r="TK44" s="38"/>
      <c r="TL44" s="38"/>
      <c r="TM44" s="38"/>
    </row>
    <row r="45" spans="1:533" s="39" customFormat="1" ht="18.75" x14ac:dyDescent="0.25">
      <c r="B45" s="50" t="s">
        <v>96</v>
      </c>
      <c r="C45" s="41" t="s">
        <v>98</v>
      </c>
      <c r="D45" s="56" t="s">
        <v>99</v>
      </c>
      <c r="E45" s="43" t="s">
        <v>75</v>
      </c>
      <c r="F45" s="53">
        <v>17</v>
      </c>
      <c r="G45" s="58"/>
      <c r="H45" s="46"/>
      <c r="I45" s="47">
        <f t="shared" si="2"/>
        <v>0</v>
      </c>
      <c r="J45" s="48">
        <v>2011</v>
      </c>
      <c r="K45" s="47" t="s">
        <v>30</v>
      </c>
      <c r="L45" s="49"/>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c r="EX45" s="38"/>
      <c r="EY45" s="38"/>
      <c r="EZ45" s="38"/>
      <c r="FA45" s="38"/>
      <c r="FB45" s="38"/>
      <c r="FC45" s="38"/>
      <c r="FD45" s="38"/>
      <c r="FE45" s="38"/>
      <c r="FF45" s="38"/>
      <c r="FG45" s="38"/>
      <c r="FH45" s="38"/>
      <c r="FI45" s="38"/>
      <c r="FJ45" s="38"/>
      <c r="FK45" s="38"/>
      <c r="FL45" s="38"/>
      <c r="FM45" s="38"/>
      <c r="FN45" s="38"/>
      <c r="FO45" s="38"/>
      <c r="FP45" s="38"/>
      <c r="FQ45" s="38"/>
      <c r="FR45" s="38"/>
      <c r="FS45" s="38"/>
      <c r="FT45" s="38"/>
      <c r="FU45" s="38"/>
      <c r="FV45" s="38"/>
      <c r="FW45" s="38"/>
      <c r="FX45" s="38"/>
      <c r="FY45" s="38"/>
      <c r="FZ45" s="38"/>
      <c r="GA45" s="38"/>
      <c r="GB45" s="38"/>
      <c r="GC45" s="38"/>
      <c r="GD45" s="38"/>
      <c r="GE45" s="38"/>
      <c r="GF45" s="38"/>
      <c r="GG45" s="38"/>
      <c r="GH45" s="38"/>
      <c r="GI45" s="38"/>
      <c r="GJ45" s="38"/>
      <c r="GK45" s="38"/>
      <c r="GL45" s="38"/>
      <c r="GM45" s="38"/>
      <c r="GN45" s="38"/>
      <c r="GO45" s="38"/>
      <c r="GP45" s="38"/>
      <c r="GQ45" s="38"/>
      <c r="GR45" s="38"/>
      <c r="GS45" s="38"/>
      <c r="GT45" s="38"/>
      <c r="GU45" s="38"/>
      <c r="GV45" s="38"/>
      <c r="GW45" s="38"/>
      <c r="GX45" s="38"/>
      <c r="GY45" s="38"/>
      <c r="GZ45" s="38"/>
      <c r="HA45" s="38"/>
      <c r="HB45" s="38"/>
      <c r="HC45" s="38"/>
      <c r="HD45" s="38"/>
      <c r="HE45" s="38"/>
      <c r="HF45" s="38"/>
      <c r="HG45" s="38"/>
      <c r="HH45" s="38"/>
      <c r="HI45" s="38"/>
      <c r="HJ45" s="38"/>
      <c r="HK45" s="38"/>
      <c r="HL45" s="38"/>
      <c r="HM45" s="38"/>
      <c r="HN45" s="38"/>
      <c r="HO45" s="38"/>
      <c r="HP45" s="38"/>
      <c r="HQ45" s="38"/>
      <c r="HR45" s="38"/>
      <c r="HS45" s="38"/>
      <c r="HT45" s="38"/>
      <c r="HU45" s="38"/>
      <c r="HV45" s="38"/>
      <c r="HW45" s="38"/>
      <c r="HX45" s="38"/>
      <c r="HY45" s="38"/>
      <c r="HZ45" s="38"/>
      <c r="IA45" s="38"/>
      <c r="IB45" s="38"/>
      <c r="IC45" s="38"/>
      <c r="ID45" s="38"/>
      <c r="IE45" s="38"/>
      <c r="IF45" s="38"/>
      <c r="IG45" s="38"/>
      <c r="IH45" s="38"/>
      <c r="II45" s="38"/>
      <c r="IJ45" s="38"/>
      <c r="IK45" s="38"/>
      <c r="IL45" s="38"/>
      <c r="IM45" s="38"/>
      <c r="IN45" s="38"/>
      <c r="IO45" s="38"/>
      <c r="IP45" s="38"/>
      <c r="IQ45" s="38"/>
      <c r="IR45" s="38"/>
      <c r="IS45" s="38"/>
      <c r="IT45" s="38"/>
      <c r="IU45" s="38"/>
      <c r="IV45" s="38"/>
      <c r="IW45" s="38"/>
      <c r="IX45" s="38"/>
      <c r="IY45" s="38"/>
      <c r="IZ45" s="38"/>
      <c r="JA45" s="38"/>
      <c r="JB45" s="38"/>
      <c r="JC45" s="38"/>
      <c r="JD45" s="38"/>
      <c r="JE45" s="38"/>
      <c r="JF45" s="38"/>
      <c r="JG45" s="38"/>
      <c r="JH45" s="38"/>
      <c r="JI45" s="38"/>
      <c r="JJ45" s="38"/>
      <c r="JK45" s="38"/>
      <c r="JL45" s="38"/>
      <c r="JM45" s="38"/>
      <c r="JN45" s="38"/>
      <c r="JO45" s="38"/>
      <c r="JP45" s="38"/>
      <c r="JQ45" s="38"/>
      <c r="JR45" s="38"/>
      <c r="JS45" s="38"/>
      <c r="JT45" s="38"/>
      <c r="JU45" s="38"/>
      <c r="JV45" s="38"/>
      <c r="JW45" s="38"/>
      <c r="JX45" s="38"/>
      <c r="JY45" s="38"/>
      <c r="JZ45" s="38"/>
      <c r="KA45" s="38"/>
      <c r="KB45" s="38"/>
      <c r="KC45" s="38"/>
      <c r="KD45" s="38"/>
      <c r="KE45" s="38"/>
      <c r="KF45" s="38"/>
      <c r="KG45" s="38"/>
      <c r="KH45" s="38"/>
      <c r="KI45" s="38"/>
      <c r="KJ45" s="38"/>
      <c r="KK45" s="38"/>
      <c r="KL45" s="38"/>
      <c r="KM45" s="38"/>
      <c r="KN45" s="38"/>
      <c r="KO45" s="38"/>
      <c r="KP45" s="38"/>
      <c r="KQ45" s="38"/>
      <c r="KR45" s="38"/>
      <c r="KS45" s="38"/>
      <c r="KT45" s="38"/>
      <c r="KU45" s="38"/>
      <c r="KV45" s="38"/>
      <c r="KW45" s="38"/>
      <c r="KX45" s="38"/>
      <c r="KY45" s="38"/>
      <c r="KZ45" s="38"/>
      <c r="LA45" s="38"/>
      <c r="LB45" s="38"/>
      <c r="LC45" s="38"/>
      <c r="LD45" s="38"/>
      <c r="LE45" s="38"/>
      <c r="LF45" s="38"/>
      <c r="LG45" s="38"/>
      <c r="LH45" s="38"/>
      <c r="LI45" s="38"/>
      <c r="LJ45" s="38"/>
      <c r="LK45" s="38"/>
      <c r="LL45" s="38"/>
      <c r="LM45" s="38"/>
      <c r="LN45" s="38"/>
      <c r="LO45" s="38"/>
      <c r="LP45" s="38"/>
      <c r="LQ45" s="38"/>
      <c r="LR45" s="38"/>
      <c r="LS45" s="38"/>
      <c r="LT45" s="38"/>
      <c r="LU45" s="38"/>
      <c r="LV45" s="38"/>
      <c r="LW45" s="38"/>
      <c r="LX45" s="38"/>
      <c r="LY45" s="38"/>
      <c r="LZ45" s="38"/>
      <c r="MA45" s="38"/>
      <c r="MB45" s="38"/>
      <c r="MC45" s="38"/>
      <c r="MD45" s="38"/>
      <c r="ME45" s="38"/>
      <c r="MF45" s="38"/>
      <c r="MG45" s="38"/>
      <c r="MH45" s="38"/>
      <c r="MI45" s="38"/>
      <c r="MJ45" s="38"/>
      <c r="MK45" s="38"/>
      <c r="ML45" s="38"/>
      <c r="MM45" s="38"/>
      <c r="MN45" s="38"/>
      <c r="MO45" s="38"/>
      <c r="MP45" s="38"/>
      <c r="MQ45" s="38"/>
      <c r="MR45" s="38"/>
      <c r="MS45" s="38"/>
      <c r="MT45" s="38"/>
      <c r="MU45" s="38"/>
      <c r="MV45" s="38"/>
      <c r="MW45" s="38"/>
      <c r="MX45" s="38"/>
      <c r="MY45" s="38"/>
      <c r="MZ45" s="38"/>
      <c r="NA45" s="38"/>
      <c r="NB45" s="38"/>
      <c r="NC45" s="38"/>
      <c r="ND45" s="38"/>
      <c r="NE45" s="38"/>
      <c r="NF45" s="38"/>
      <c r="NG45" s="38"/>
      <c r="NH45" s="38"/>
      <c r="NI45" s="38"/>
      <c r="NJ45" s="38"/>
      <c r="NK45" s="38"/>
      <c r="NL45" s="38"/>
      <c r="NM45" s="38"/>
      <c r="NN45" s="38"/>
      <c r="NO45" s="38"/>
      <c r="NP45" s="38"/>
      <c r="NQ45" s="38"/>
      <c r="NR45" s="38"/>
      <c r="NS45" s="38"/>
      <c r="NT45" s="38"/>
      <c r="NU45" s="38"/>
      <c r="NV45" s="38"/>
      <c r="NW45" s="38"/>
      <c r="NX45" s="38"/>
      <c r="NY45" s="38"/>
      <c r="NZ45" s="38"/>
      <c r="OA45" s="38"/>
      <c r="OB45" s="38"/>
      <c r="OC45" s="38"/>
      <c r="OD45" s="38"/>
      <c r="OE45" s="38"/>
      <c r="OF45" s="38"/>
      <c r="OG45" s="38"/>
      <c r="OH45" s="38"/>
      <c r="OI45" s="38"/>
      <c r="OJ45" s="38"/>
      <c r="OK45" s="38"/>
      <c r="OL45" s="38"/>
      <c r="OM45" s="38"/>
      <c r="ON45" s="38"/>
      <c r="OO45" s="38"/>
      <c r="OP45" s="38"/>
      <c r="OQ45" s="38"/>
      <c r="OR45" s="38"/>
      <c r="OS45" s="38"/>
      <c r="OT45" s="38"/>
      <c r="OU45" s="38"/>
      <c r="OV45" s="38"/>
      <c r="OW45" s="38"/>
      <c r="OX45" s="38"/>
      <c r="OY45" s="38"/>
      <c r="OZ45" s="38"/>
      <c r="PA45" s="38"/>
      <c r="PB45" s="38"/>
      <c r="PC45" s="38"/>
      <c r="PD45" s="38"/>
      <c r="PE45" s="38"/>
      <c r="PF45" s="38"/>
      <c r="PG45" s="38"/>
      <c r="PH45" s="38"/>
      <c r="PI45" s="38"/>
      <c r="PJ45" s="38"/>
      <c r="PK45" s="38"/>
      <c r="PL45" s="38"/>
      <c r="PM45" s="38"/>
      <c r="PN45" s="38"/>
      <c r="PO45" s="38"/>
      <c r="PP45" s="38"/>
      <c r="PQ45" s="38"/>
      <c r="PR45" s="38"/>
      <c r="PS45" s="38"/>
      <c r="PT45" s="38"/>
      <c r="PU45" s="38"/>
      <c r="PV45" s="38"/>
      <c r="PW45" s="38"/>
      <c r="PX45" s="38"/>
      <c r="PY45" s="38"/>
      <c r="PZ45" s="38"/>
      <c r="QA45" s="38"/>
      <c r="QB45" s="38"/>
      <c r="QC45" s="38"/>
      <c r="QD45" s="38"/>
      <c r="QE45" s="38"/>
      <c r="QF45" s="38"/>
      <c r="QG45" s="38"/>
      <c r="QH45" s="38"/>
      <c r="QI45" s="38"/>
      <c r="QJ45" s="38"/>
      <c r="QK45" s="38"/>
      <c r="QL45" s="38"/>
      <c r="QM45" s="38"/>
      <c r="QN45" s="38"/>
      <c r="QO45" s="38"/>
      <c r="QP45" s="38"/>
      <c r="QQ45" s="38"/>
      <c r="QR45" s="38"/>
      <c r="QS45" s="38"/>
      <c r="QT45" s="38"/>
      <c r="QU45" s="38"/>
      <c r="QV45" s="38"/>
      <c r="QW45" s="38"/>
      <c r="QX45" s="38"/>
      <c r="QY45" s="38"/>
      <c r="QZ45" s="38"/>
      <c r="RA45" s="38"/>
      <c r="RB45" s="38"/>
      <c r="RC45" s="38"/>
      <c r="RD45" s="38"/>
      <c r="RE45" s="38"/>
      <c r="RF45" s="38"/>
      <c r="RG45" s="38"/>
      <c r="RH45" s="38"/>
      <c r="RI45" s="38"/>
      <c r="RJ45" s="38"/>
      <c r="RK45" s="38"/>
      <c r="RL45" s="38"/>
      <c r="RM45" s="38"/>
      <c r="RN45" s="38"/>
      <c r="RO45" s="38"/>
      <c r="RP45" s="38"/>
      <c r="RQ45" s="38"/>
      <c r="RR45" s="38"/>
      <c r="RS45" s="38"/>
      <c r="RT45" s="38"/>
      <c r="RU45" s="38"/>
      <c r="RV45" s="38"/>
      <c r="RW45" s="38"/>
      <c r="RX45" s="38"/>
      <c r="RY45" s="38"/>
      <c r="RZ45" s="38"/>
      <c r="SA45" s="38"/>
      <c r="SB45" s="38"/>
      <c r="SC45" s="38"/>
      <c r="SD45" s="38"/>
      <c r="SE45" s="38"/>
      <c r="SF45" s="38"/>
      <c r="SG45" s="38"/>
      <c r="SH45" s="38"/>
      <c r="SI45" s="38"/>
      <c r="SJ45" s="38"/>
      <c r="SK45" s="38"/>
      <c r="SL45" s="38"/>
      <c r="SM45" s="38"/>
      <c r="SN45" s="38"/>
      <c r="SO45" s="38"/>
      <c r="SP45" s="38"/>
      <c r="SQ45" s="38"/>
      <c r="SR45" s="38"/>
      <c r="SS45" s="38"/>
      <c r="ST45" s="38"/>
      <c r="SU45" s="38"/>
      <c r="SV45" s="38"/>
      <c r="SW45" s="38"/>
      <c r="SX45" s="38"/>
      <c r="SY45" s="38"/>
      <c r="SZ45" s="38"/>
      <c r="TA45" s="38"/>
      <c r="TB45" s="38"/>
      <c r="TC45" s="38"/>
      <c r="TD45" s="38"/>
      <c r="TE45" s="38"/>
      <c r="TF45" s="38"/>
      <c r="TG45" s="38"/>
      <c r="TH45" s="38"/>
      <c r="TI45" s="38"/>
      <c r="TJ45" s="38"/>
      <c r="TK45" s="38"/>
      <c r="TL45" s="38"/>
      <c r="TM45" s="38"/>
    </row>
    <row r="46" spans="1:533" s="68" customFormat="1" ht="112.5" x14ac:dyDescent="0.25">
      <c r="A46" s="39"/>
      <c r="B46" s="50" t="s">
        <v>96</v>
      </c>
      <c r="C46" s="41"/>
      <c r="D46" s="57" t="s">
        <v>100</v>
      </c>
      <c r="E46" s="52"/>
      <c r="F46" s="53"/>
      <c r="G46" s="58"/>
      <c r="H46" s="71"/>
      <c r="I46" s="55"/>
      <c r="J46" s="72"/>
      <c r="K46" s="47"/>
      <c r="L46" s="73"/>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c r="EX46" s="38"/>
      <c r="EY46" s="38"/>
      <c r="EZ46" s="38"/>
      <c r="FA46" s="38"/>
      <c r="FB46" s="38"/>
      <c r="FC46" s="38"/>
      <c r="FD46" s="38"/>
      <c r="FE46" s="38"/>
      <c r="FF46" s="38"/>
      <c r="FG46" s="38"/>
      <c r="FH46" s="38"/>
      <c r="FI46" s="38"/>
      <c r="FJ46" s="38"/>
      <c r="FK46" s="38"/>
      <c r="FL46" s="38"/>
      <c r="FM46" s="38"/>
      <c r="FN46" s="38"/>
      <c r="FO46" s="38"/>
      <c r="FP46" s="38"/>
      <c r="FQ46" s="38"/>
      <c r="FR46" s="38"/>
      <c r="FS46" s="38"/>
      <c r="FT46" s="38"/>
      <c r="FU46" s="38"/>
      <c r="FV46" s="38"/>
      <c r="FW46" s="38"/>
      <c r="FX46" s="38"/>
      <c r="FY46" s="38"/>
      <c r="FZ46" s="38"/>
      <c r="GA46" s="38"/>
      <c r="GB46" s="38"/>
      <c r="GC46" s="38"/>
      <c r="GD46" s="38"/>
      <c r="GE46" s="38"/>
      <c r="GF46" s="38"/>
      <c r="GG46" s="38"/>
      <c r="GH46" s="38"/>
      <c r="GI46" s="38"/>
      <c r="GJ46" s="38"/>
      <c r="GK46" s="38"/>
      <c r="GL46" s="38"/>
      <c r="GM46" s="38"/>
      <c r="GN46" s="38"/>
      <c r="GO46" s="38"/>
      <c r="GP46" s="38"/>
      <c r="GQ46" s="38"/>
      <c r="GR46" s="38"/>
      <c r="GS46" s="38"/>
      <c r="GT46" s="38"/>
      <c r="GU46" s="38"/>
      <c r="GV46" s="38"/>
      <c r="GW46" s="38"/>
      <c r="GX46" s="38"/>
      <c r="GY46" s="38"/>
      <c r="GZ46" s="38"/>
      <c r="HA46" s="38"/>
      <c r="HB46" s="38"/>
      <c r="HC46" s="38"/>
      <c r="HD46" s="38"/>
      <c r="HE46" s="38"/>
      <c r="HF46" s="38"/>
      <c r="HG46" s="38"/>
      <c r="HH46" s="38"/>
      <c r="HI46" s="38"/>
      <c r="HJ46" s="38"/>
      <c r="HK46" s="38"/>
      <c r="HL46" s="38"/>
      <c r="HM46" s="38"/>
      <c r="HN46" s="38"/>
      <c r="HO46" s="38"/>
      <c r="HP46" s="38"/>
      <c r="HQ46" s="38"/>
      <c r="HR46" s="38"/>
      <c r="HS46" s="38"/>
      <c r="HT46" s="38"/>
      <c r="HU46" s="38"/>
      <c r="HV46" s="38"/>
      <c r="HW46" s="38"/>
      <c r="HX46" s="38"/>
      <c r="HY46" s="38"/>
      <c r="HZ46" s="38"/>
      <c r="IA46" s="38"/>
      <c r="IB46" s="38"/>
      <c r="IC46" s="38"/>
      <c r="ID46" s="38"/>
      <c r="IE46" s="38"/>
      <c r="IF46" s="38"/>
      <c r="IG46" s="38"/>
      <c r="IH46" s="38"/>
      <c r="II46" s="38"/>
      <c r="IJ46" s="38"/>
      <c r="IK46" s="38"/>
      <c r="IL46" s="38"/>
      <c r="IM46" s="38"/>
      <c r="IN46" s="38"/>
      <c r="IO46" s="38"/>
      <c r="IP46" s="38"/>
      <c r="IQ46" s="38"/>
      <c r="IR46" s="38"/>
      <c r="IS46" s="38"/>
      <c r="IT46" s="38"/>
      <c r="IU46" s="38"/>
      <c r="IV46" s="38"/>
      <c r="IW46" s="38"/>
      <c r="IX46" s="38"/>
      <c r="IY46" s="38"/>
      <c r="IZ46" s="38"/>
      <c r="JA46" s="38"/>
      <c r="JB46" s="38"/>
      <c r="JC46" s="38"/>
      <c r="JD46" s="38"/>
      <c r="JE46" s="38"/>
      <c r="JF46" s="38"/>
      <c r="JG46" s="38"/>
      <c r="JH46" s="38"/>
      <c r="JI46" s="38"/>
      <c r="JJ46" s="38"/>
      <c r="JK46" s="38"/>
      <c r="JL46" s="38"/>
      <c r="JM46" s="38"/>
      <c r="JN46" s="38"/>
      <c r="JO46" s="38"/>
      <c r="JP46" s="38"/>
      <c r="JQ46" s="38"/>
      <c r="JR46" s="38"/>
      <c r="JS46" s="38"/>
      <c r="JT46" s="38"/>
      <c r="JU46" s="38"/>
      <c r="JV46" s="38"/>
      <c r="JW46" s="38"/>
      <c r="JX46" s="38"/>
      <c r="JY46" s="38"/>
      <c r="JZ46" s="38"/>
      <c r="KA46" s="38"/>
      <c r="KB46" s="38"/>
      <c r="KC46" s="38"/>
      <c r="KD46" s="38"/>
      <c r="KE46" s="38"/>
      <c r="KF46" s="38"/>
      <c r="KG46" s="38"/>
      <c r="KH46" s="38"/>
      <c r="KI46" s="38"/>
      <c r="KJ46" s="38"/>
      <c r="KK46" s="38"/>
      <c r="KL46" s="38"/>
      <c r="KM46" s="38"/>
      <c r="KN46" s="38"/>
      <c r="KO46" s="38"/>
      <c r="KP46" s="38"/>
      <c r="KQ46" s="38"/>
      <c r="KR46" s="38"/>
      <c r="KS46" s="38"/>
      <c r="KT46" s="38"/>
      <c r="KU46" s="38"/>
      <c r="KV46" s="38"/>
      <c r="KW46" s="38"/>
      <c r="KX46" s="38"/>
      <c r="KY46" s="38"/>
      <c r="KZ46" s="38"/>
      <c r="LA46" s="38"/>
      <c r="LB46" s="38"/>
      <c r="LC46" s="38"/>
      <c r="LD46" s="38"/>
      <c r="LE46" s="38"/>
      <c r="LF46" s="38"/>
      <c r="LG46" s="38"/>
      <c r="LH46" s="38"/>
      <c r="LI46" s="38"/>
      <c r="LJ46" s="38"/>
      <c r="LK46" s="38"/>
      <c r="LL46" s="38"/>
      <c r="LM46" s="38"/>
      <c r="LN46" s="38"/>
      <c r="LO46" s="38"/>
      <c r="LP46" s="38"/>
      <c r="LQ46" s="38"/>
      <c r="LR46" s="38"/>
      <c r="LS46" s="38"/>
      <c r="LT46" s="38"/>
      <c r="LU46" s="38"/>
      <c r="LV46" s="38"/>
      <c r="LW46" s="38"/>
      <c r="LX46" s="38"/>
      <c r="LY46" s="38"/>
      <c r="LZ46" s="38"/>
      <c r="MA46" s="38"/>
      <c r="MB46" s="38"/>
      <c r="MC46" s="38"/>
      <c r="MD46" s="38"/>
      <c r="ME46" s="38"/>
      <c r="MF46" s="38"/>
      <c r="MG46" s="38"/>
      <c r="MH46" s="38"/>
      <c r="MI46" s="38"/>
      <c r="MJ46" s="38"/>
      <c r="MK46" s="38"/>
      <c r="ML46" s="38"/>
      <c r="MM46" s="38"/>
      <c r="MN46" s="38"/>
      <c r="MO46" s="38"/>
      <c r="MP46" s="38"/>
      <c r="MQ46" s="38"/>
      <c r="MR46" s="38"/>
      <c r="MS46" s="38"/>
      <c r="MT46" s="38"/>
      <c r="MU46" s="38"/>
      <c r="MV46" s="38"/>
      <c r="MW46" s="38"/>
      <c r="MX46" s="38"/>
      <c r="MY46" s="38"/>
      <c r="MZ46" s="38"/>
      <c r="NA46" s="38"/>
      <c r="NB46" s="38"/>
      <c r="NC46" s="38"/>
      <c r="ND46" s="38"/>
      <c r="NE46" s="38"/>
      <c r="NF46" s="38"/>
      <c r="NG46" s="38"/>
      <c r="NH46" s="38"/>
      <c r="NI46" s="38"/>
      <c r="NJ46" s="38"/>
      <c r="NK46" s="38"/>
      <c r="NL46" s="38"/>
      <c r="NM46" s="38"/>
      <c r="NN46" s="38"/>
      <c r="NO46" s="38"/>
      <c r="NP46" s="38"/>
      <c r="NQ46" s="38"/>
      <c r="NR46" s="38"/>
      <c r="NS46" s="38"/>
      <c r="NT46" s="38"/>
      <c r="NU46" s="38"/>
      <c r="NV46" s="38"/>
      <c r="NW46" s="38"/>
      <c r="NX46" s="38"/>
      <c r="NY46" s="38"/>
      <c r="NZ46" s="38"/>
      <c r="OA46" s="38"/>
      <c r="OB46" s="38"/>
      <c r="OC46" s="38"/>
      <c r="OD46" s="38"/>
      <c r="OE46" s="38"/>
      <c r="OF46" s="38"/>
      <c r="OG46" s="38"/>
      <c r="OH46" s="38"/>
      <c r="OI46" s="38"/>
      <c r="OJ46" s="38"/>
      <c r="OK46" s="38"/>
      <c r="OL46" s="38"/>
      <c r="OM46" s="38"/>
      <c r="ON46" s="38"/>
      <c r="OO46" s="38"/>
      <c r="OP46" s="38"/>
      <c r="OQ46" s="38"/>
      <c r="OR46" s="38"/>
      <c r="OS46" s="38"/>
      <c r="OT46" s="38"/>
      <c r="OU46" s="38"/>
      <c r="OV46" s="38"/>
      <c r="OW46" s="38"/>
      <c r="OX46" s="38"/>
      <c r="OY46" s="38"/>
      <c r="OZ46" s="38"/>
      <c r="PA46" s="38"/>
      <c r="PB46" s="38"/>
      <c r="PC46" s="38"/>
      <c r="PD46" s="38"/>
      <c r="PE46" s="38"/>
      <c r="PF46" s="38"/>
      <c r="PG46" s="38"/>
      <c r="PH46" s="38"/>
      <c r="PI46" s="38"/>
      <c r="PJ46" s="38"/>
      <c r="PK46" s="38"/>
      <c r="PL46" s="38"/>
      <c r="PM46" s="38"/>
      <c r="PN46" s="38"/>
      <c r="PO46" s="38"/>
      <c r="PP46" s="38"/>
      <c r="PQ46" s="38"/>
      <c r="PR46" s="38"/>
      <c r="PS46" s="38"/>
      <c r="PT46" s="38"/>
      <c r="PU46" s="38"/>
      <c r="PV46" s="38"/>
      <c r="PW46" s="38"/>
      <c r="PX46" s="38"/>
      <c r="PY46" s="38"/>
      <c r="PZ46" s="38"/>
      <c r="QA46" s="38"/>
      <c r="QB46" s="38"/>
      <c r="QC46" s="38"/>
      <c r="QD46" s="38"/>
      <c r="QE46" s="38"/>
      <c r="QF46" s="38"/>
      <c r="QG46" s="38"/>
      <c r="QH46" s="38"/>
      <c r="QI46" s="38"/>
      <c r="QJ46" s="38"/>
      <c r="QK46" s="38"/>
      <c r="QL46" s="38"/>
      <c r="QM46" s="38"/>
      <c r="QN46" s="38"/>
      <c r="QO46" s="38"/>
      <c r="QP46" s="38"/>
      <c r="QQ46" s="38"/>
      <c r="QR46" s="38"/>
      <c r="QS46" s="38"/>
      <c r="QT46" s="38"/>
      <c r="QU46" s="38"/>
      <c r="QV46" s="38"/>
      <c r="QW46" s="38"/>
      <c r="QX46" s="38"/>
      <c r="QY46" s="38"/>
      <c r="QZ46" s="38"/>
      <c r="RA46" s="38"/>
      <c r="RB46" s="38"/>
      <c r="RC46" s="38"/>
      <c r="RD46" s="38"/>
      <c r="RE46" s="38"/>
      <c r="RF46" s="38"/>
      <c r="RG46" s="38"/>
      <c r="RH46" s="38"/>
      <c r="RI46" s="38"/>
      <c r="RJ46" s="38"/>
      <c r="RK46" s="38"/>
      <c r="RL46" s="38"/>
      <c r="RM46" s="38"/>
      <c r="RN46" s="38"/>
      <c r="RO46" s="38"/>
      <c r="RP46" s="38"/>
      <c r="RQ46" s="38"/>
      <c r="RR46" s="38"/>
      <c r="RS46" s="38"/>
      <c r="RT46" s="38"/>
      <c r="RU46" s="38"/>
      <c r="RV46" s="38"/>
      <c r="RW46" s="38"/>
      <c r="RX46" s="38"/>
      <c r="RY46" s="38"/>
      <c r="RZ46" s="38"/>
      <c r="SA46" s="38"/>
      <c r="SB46" s="38"/>
      <c r="SC46" s="38"/>
      <c r="SD46" s="38"/>
      <c r="SE46" s="38"/>
      <c r="SF46" s="38"/>
      <c r="SG46" s="38"/>
      <c r="SH46" s="38"/>
      <c r="SI46" s="38"/>
      <c r="SJ46" s="38"/>
      <c r="SK46" s="38"/>
      <c r="SL46" s="38"/>
      <c r="SM46" s="38"/>
      <c r="SN46" s="38"/>
      <c r="SO46" s="38"/>
      <c r="SP46" s="38"/>
      <c r="SQ46" s="38"/>
      <c r="SR46" s="38"/>
      <c r="SS46" s="38"/>
      <c r="ST46" s="38"/>
      <c r="SU46" s="38"/>
      <c r="SV46" s="38"/>
      <c r="SW46" s="38"/>
      <c r="SX46" s="38"/>
      <c r="SY46" s="38"/>
      <c r="SZ46" s="38"/>
      <c r="TA46" s="38"/>
      <c r="TB46" s="38"/>
      <c r="TC46" s="38"/>
      <c r="TD46" s="38"/>
      <c r="TE46" s="38"/>
      <c r="TF46" s="38"/>
      <c r="TG46" s="38"/>
      <c r="TH46" s="38"/>
      <c r="TI46" s="38"/>
      <c r="TJ46" s="38"/>
      <c r="TK46" s="38"/>
      <c r="TL46" s="38"/>
      <c r="TM46" s="38"/>
    </row>
    <row r="47" spans="1:533" s="39" customFormat="1" ht="18.75" x14ac:dyDescent="0.25">
      <c r="B47" s="50" t="s">
        <v>96</v>
      </c>
      <c r="C47" s="41" t="s">
        <v>101</v>
      </c>
      <c r="D47" s="56" t="s">
        <v>102</v>
      </c>
      <c r="E47" s="43" t="s">
        <v>103</v>
      </c>
      <c r="F47" s="53">
        <v>1</v>
      </c>
      <c r="G47" s="58"/>
      <c r="H47" s="46"/>
      <c r="I47" s="47">
        <f>F47*G47</f>
        <v>0</v>
      </c>
      <c r="J47" s="48">
        <v>2011</v>
      </c>
      <c r="K47" s="47" t="s">
        <v>30</v>
      </c>
      <c r="L47" s="49"/>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c r="EY47" s="38"/>
      <c r="EZ47" s="38"/>
      <c r="FA47" s="38"/>
      <c r="FB47" s="38"/>
      <c r="FC47" s="38"/>
      <c r="FD47" s="38"/>
      <c r="FE47" s="38"/>
      <c r="FF47" s="38"/>
      <c r="FG47" s="38"/>
      <c r="FH47" s="38"/>
      <c r="FI47" s="38"/>
      <c r="FJ47" s="38"/>
      <c r="FK47" s="38"/>
      <c r="FL47" s="38"/>
      <c r="FM47" s="38"/>
      <c r="FN47" s="38"/>
      <c r="FO47" s="38"/>
      <c r="FP47" s="38"/>
      <c r="FQ47" s="38"/>
      <c r="FR47" s="38"/>
      <c r="FS47" s="38"/>
      <c r="FT47" s="38"/>
      <c r="FU47" s="38"/>
      <c r="FV47" s="38"/>
      <c r="FW47" s="38"/>
      <c r="FX47" s="38"/>
      <c r="FY47" s="38"/>
      <c r="FZ47" s="38"/>
      <c r="GA47" s="38"/>
      <c r="GB47" s="38"/>
      <c r="GC47" s="38"/>
      <c r="GD47" s="38"/>
      <c r="GE47" s="38"/>
      <c r="GF47" s="38"/>
      <c r="GG47" s="38"/>
      <c r="GH47" s="38"/>
      <c r="GI47" s="38"/>
      <c r="GJ47" s="38"/>
      <c r="GK47" s="38"/>
      <c r="GL47" s="38"/>
      <c r="GM47" s="38"/>
      <c r="GN47" s="38"/>
      <c r="GO47" s="38"/>
      <c r="GP47" s="38"/>
      <c r="GQ47" s="38"/>
      <c r="GR47" s="38"/>
      <c r="GS47" s="38"/>
      <c r="GT47" s="38"/>
      <c r="GU47" s="38"/>
      <c r="GV47" s="38"/>
      <c r="GW47" s="38"/>
      <c r="GX47" s="38"/>
      <c r="GY47" s="38"/>
      <c r="GZ47" s="38"/>
      <c r="HA47" s="38"/>
      <c r="HB47" s="38"/>
      <c r="HC47" s="38"/>
      <c r="HD47" s="38"/>
      <c r="HE47" s="38"/>
      <c r="HF47" s="38"/>
      <c r="HG47" s="38"/>
      <c r="HH47" s="38"/>
      <c r="HI47" s="38"/>
      <c r="HJ47" s="38"/>
      <c r="HK47" s="38"/>
      <c r="HL47" s="38"/>
      <c r="HM47" s="38"/>
      <c r="HN47" s="38"/>
      <c r="HO47" s="38"/>
      <c r="HP47" s="38"/>
      <c r="HQ47" s="38"/>
      <c r="HR47" s="38"/>
      <c r="HS47" s="38"/>
      <c r="HT47" s="38"/>
      <c r="HU47" s="38"/>
      <c r="HV47" s="38"/>
      <c r="HW47" s="38"/>
      <c r="HX47" s="38"/>
      <c r="HY47" s="38"/>
      <c r="HZ47" s="38"/>
      <c r="IA47" s="38"/>
      <c r="IB47" s="38"/>
      <c r="IC47" s="38"/>
      <c r="ID47" s="38"/>
      <c r="IE47" s="38"/>
      <c r="IF47" s="38"/>
      <c r="IG47" s="38"/>
      <c r="IH47" s="38"/>
      <c r="II47" s="38"/>
      <c r="IJ47" s="38"/>
      <c r="IK47" s="38"/>
      <c r="IL47" s="38"/>
      <c r="IM47" s="38"/>
      <c r="IN47" s="38"/>
      <c r="IO47" s="38"/>
      <c r="IP47" s="38"/>
      <c r="IQ47" s="38"/>
      <c r="IR47" s="38"/>
      <c r="IS47" s="38"/>
      <c r="IT47" s="38"/>
      <c r="IU47" s="38"/>
      <c r="IV47" s="38"/>
      <c r="IW47" s="38"/>
      <c r="IX47" s="38"/>
      <c r="IY47" s="38"/>
      <c r="IZ47" s="38"/>
      <c r="JA47" s="38"/>
      <c r="JB47" s="38"/>
      <c r="JC47" s="38"/>
      <c r="JD47" s="38"/>
      <c r="JE47" s="38"/>
      <c r="JF47" s="38"/>
      <c r="JG47" s="38"/>
      <c r="JH47" s="38"/>
      <c r="JI47" s="38"/>
      <c r="JJ47" s="38"/>
      <c r="JK47" s="38"/>
      <c r="JL47" s="38"/>
      <c r="JM47" s="38"/>
      <c r="JN47" s="38"/>
      <c r="JO47" s="38"/>
      <c r="JP47" s="38"/>
      <c r="JQ47" s="38"/>
      <c r="JR47" s="38"/>
      <c r="JS47" s="38"/>
      <c r="JT47" s="38"/>
      <c r="JU47" s="38"/>
      <c r="JV47" s="38"/>
      <c r="JW47" s="38"/>
      <c r="JX47" s="38"/>
      <c r="JY47" s="38"/>
      <c r="JZ47" s="38"/>
      <c r="KA47" s="38"/>
      <c r="KB47" s="38"/>
      <c r="KC47" s="38"/>
      <c r="KD47" s="38"/>
      <c r="KE47" s="38"/>
      <c r="KF47" s="38"/>
      <c r="KG47" s="38"/>
      <c r="KH47" s="38"/>
      <c r="KI47" s="38"/>
      <c r="KJ47" s="38"/>
      <c r="KK47" s="38"/>
      <c r="KL47" s="38"/>
      <c r="KM47" s="38"/>
      <c r="KN47" s="38"/>
      <c r="KO47" s="38"/>
      <c r="KP47" s="38"/>
      <c r="KQ47" s="38"/>
      <c r="KR47" s="38"/>
      <c r="KS47" s="38"/>
      <c r="KT47" s="38"/>
      <c r="KU47" s="38"/>
      <c r="KV47" s="38"/>
      <c r="KW47" s="38"/>
      <c r="KX47" s="38"/>
      <c r="KY47" s="38"/>
      <c r="KZ47" s="38"/>
      <c r="LA47" s="38"/>
      <c r="LB47" s="38"/>
      <c r="LC47" s="38"/>
      <c r="LD47" s="38"/>
      <c r="LE47" s="38"/>
      <c r="LF47" s="38"/>
      <c r="LG47" s="38"/>
      <c r="LH47" s="38"/>
      <c r="LI47" s="38"/>
      <c r="LJ47" s="38"/>
      <c r="LK47" s="38"/>
      <c r="LL47" s="38"/>
      <c r="LM47" s="38"/>
      <c r="LN47" s="38"/>
      <c r="LO47" s="38"/>
      <c r="LP47" s="38"/>
      <c r="LQ47" s="38"/>
      <c r="LR47" s="38"/>
      <c r="LS47" s="38"/>
      <c r="LT47" s="38"/>
      <c r="LU47" s="38"/>
      <c r="LV47" s="38"/>
      <c r="LW47" s="38"/>
      <c r="LX47" s="38"/>
      <c r="LY47" s="38"/>
      <c r="LZ47" s="38"/>
      <c r="MA47" s="38"/>
      <c r="MB47" s="38"/>
      <c r="MC47" s="38"/>
      <c r="MD47" s="38"/>
      <c r="ME47" s="38"/>
      <c r="MF47" s="38"/>
      <c r="MG47" s="38"/>
      <c r="MH47" s="38"/>
      <c r="MI47" s="38"/>
      <c r="MJ47" s="38"/>
      <c r="MK47" s="38"/>
      <c r="ML47" s="38"/>
      <c r="MM47" s="38"/>
      <c r="MN47" s="38"/>
      <c r="MO47" s="38"/>
      <c r="MP47" s="38"/>
      <c r="MQ47" s="38"/>
      <c r="MR47" s="38"/>
      <c r="MS47" s="38"/>
      <c r="MT47" s="38"/>
      <c r="MU47" s="38"/>
      <c r="MV47" s="38"/>
      <c r="MW47" s="38"/>
      <c r="MX47" s="38"/>
      <c r="MY47" s="38"/>
      <c r="MZ47" s="38"/>
      <c r="NA47" s="38"/>
      <c r="NB47" s="38"/>
      <c r="NC47" s="38"/>
      <c r="ND47" s="38"/>
      <c r="NE47" s="38"/>
      <c r="NF47" s="38"/>
      <c r="NG47" s="38"/>
      <c r="NH47" s="38"/>
      <c r="NI47" s="38"/>
      <c r="NJ47" s="38"/>
      <c r="NK47" s="38"/>
      <c r="NL47" s="38"/>
      <c r="NM47" s="38"/>
      <c r="NN47" s="38"/>
      <c r="NO47" s="38"/>
      <c r="NP47" s="38"/>
      <c r="NQ47" s="38"/>
      <c r="NR47" s="38"/>
      <c r="NS47" s="38"/>
      <c r="NT47" s="38"/>
      <c r="NU47" s="38"/>
      <c r="NV47" s="38"/>
      <c r="NW47" s="38"/>
      <c r="NX47" s="38"/>
      <c r="NY47" s="38"/>
      <c r="NZ47" s="38"/>
      <c r="OA47" s="38"/>
      <c r="OB47" s="38"/>
      <c r="OC47" s="38"/>
      <c r="OD47" s="38"/>
      <c r="OE47" s="38"/>
      <c r="OF47" s="38"/>
      <c r="OG47" s="38"/>
      <c r="OH47" s="38"/>
      <c r="OI47" s="38"/>
      <c r="OJ47" s="38"/>
      <c r="OK47" s="38"/>
      <c r="OL47" s="38"/>
      <c r="OM47" s="38"/>
      <c r="ON47" s="38"/>
      <c r="OO47" s="38"/>
      <c r="OP47" s="38"/>
      <c r="OQ47" s="38"/>
      <c r="OR47" s="38"/>
      <c r="OS47" s="38"/>
      <c r="OT47" s="38"/>
      <c r="OU47" s="38"/>
      <c r="OV47" s="38"/>
      <c r="OW47" s="38"/>
      <c r="OX47" s="38"/>
      <c r="OY47" s="38"/>
      <c r="OZ47" s="38"/>
      <c r="PA47" s="38"/>
      <c r="PB47" s="38"/>
      <c r="PC47" s="38"/>
      <c r="PD47" s="38"/>
      <c r="PE47" s="38"/>
      <c r="PF47" s="38"/>
      <c r="PG47" s="38"/>
      <c r="PH47" s="38"/>
      <c r="PI47" s="38"/>
      <c r="PJ47" s="38"/>
      <c r="PK47" s="38"/>
      <c r="PL47" s="38"/>
      <c r="PM47" s="38"/>
      <c r="PN47" s="38"/>
      <c r="PO47" s="38"/>
      <c r="PP47" s="38"/>
      <c r="PQ47" s="38"/>
      <c r="PR47" s="38"/>
      <c r="PS47" s="38"/>
      <c r="PT47" s="38"/>
      <c r="PU47" s="38"/>
      <c r="PV47" s="38"/>
      <c r="PW47" s="38"/>
      <c r="PX47" s="38"/>
      <c r="PY47" s="38"/>
      <c r="PZ47" s="38"/>
      <c r="QA47" s="38"/>
      <c r="QB47" s="38"/>
      <c r="QC47" s="38"/>
      <c r="QD47" s="38"/>
      <c r="QE47" s="38"/>
      <c r="QF47" s="38"/>
      <c r="QG47" s="38"/>
      <c r="QH47" s="38"/>
      <c r="QI47" s="38"/>
      <c r="QJ47" s="38"/>
      <c r="QK47" s="38"/>
      <c r="QL47" s="38"/>
      <c r="QM47" s="38"/>
      <c r="QN47" s="38"/>
      <c r="QO47" s="38"/>
      <c r="QP47" s="38"/>
      <c r="QQ47" s="38"/>
      <c r="QR47" s="38"/>
      <c r="QS47" s="38"/>
      <c r="QT47" s="38"/>
      <c r="QU47" s="38"/>
      <c r="QV47" s="38"/>
      <c r="QW47" s="38"/>
      <c r="QX47" s="38"/>
      <c r="QY47" s="38"/>
      <c r="QZ47" s="38"/>
      <c r="RA47" s="38"/>
      <c r="RB47" s="38"/>
      <c r="RC47" s="38"/>
      <c r="RD47" s="38"/>
      <c r="RE47" s="38"/>
      <c r="RF47" s="38"/>
      <c r="RG47" s="38"/>
      <c r="RH47" s="38"/>
      <c r="RI47" s="38"/>
      <c r="RJ47" s="38"/>
      <c r="RK47" s="38"/>
      <c r="RL47" s="38"/>
      <c r="RM47" s="38"/>
      <c r="RN47" s="38"/>
      <c r="RO47" s="38"/>
      <c r="RP47" s="38"/>
      <c r="RQ47" s="38"/>
      <c r="RR47" s="38"/>
      <c r="RS47" s="38"/>
      <c r="RT47" s="38"/>
      <c r="RU47" s="38"/>
      <c r="RV47" s="38"/>
      <c r="RW47" s="38"/>
      <c r="RX47" s="38"/>
      <c r="RY47" s="38"/>
      <c r="RZ47" s="38"/>
      <c r="SA47" s="38"/>
      <c r="SB47" s="38"/>
      <c r="SC47" s="38"/>
      <c r="SD47" s="38"/>
      <c r="SE47" s="38"/>
      <c r="SF47" s="38"/>
      <c r="SG47" s="38"/>
      <c r="SH47" s="38"/>
      <c r="SI47" s="38"/>
      <c r="SJ47" s="38"/>
      <c r="SK47" s="38"/>
      <c r="SL47" s="38"/>
      <c r="SM47" s="38"/>
      <c r="SN47" s="38"/>
      <c r="SO47" s="38"/>
      <c r="SP47" s="38"/>
      <c r="SQ47" s="38"/>
      <c r="SR47" s="38"/>
      <c r="SS47" s="38"/>
      <c r="ST47" s="38"/>
      <c r="SU47" s="38"/>
      <c r="SV47" s="38"/>
      <c r="SW47" s="38"/>
      <c r="SX47" s="38"/>
      <c r="SY47" s="38"/>
      <c r="SZ47" s="38"/>
      <c r="TA47" s="38"/>
      <c r="TB47" s="38"/>
      <c r="TC47" s="38"/>
      <c r="TD47" s="38"/>
      <c r="TE47" s="38"/>
      <c r="TF47" s="38"/>
      <c r="TG47" s="38"/>
      <c r="TH47" s="38"/>
      <c r="TI47" s="38"/>
      <c r="TJ47" s="38"/>
      <c r="TK47" s="38"/>
      <c r="TL47" s="38"/>
      <c r="TM47" s="38"/>
    </row>
    <row r="48" spans="1:533" s="68" customFormat="1" ht="112.5" x14ac:dyDescent="0.25">
      <c r="A48" s="39"/>
      <c r="B48" s="50" t="s">
        <v>96</v>
      </c>
      <c r="C48" s="41"/>
      <c r="D48" s="57" t="s">
        <v>104</v>
      </c>
      <c r="E48" s="52"/>
      <c r="F48" s="53"/>
      <c r="G48" s="54"/>
      <c r="H48" s="71"/>
      <c r="I48" s="55"/>
      <c r="J48" s="72"/>
      <c r="K48" s="47"/>
      <c r="L48" s="73"/>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row>
    <row r="49" spans="1:533" s="39" customFormat="1" ht="18.75" x14ac:dyDescent="0.25">
      <c r="B49" s="50" t="s">
        <v>96</v>
      </c>
      <c r="C49" s="41" t="s">
        <v>105</v>
      </c>
      <c r="D49" s="56" t="s">
        <v>106</v>
      </c>
      <c r="E49" s="43" t="s">
        <v>103</v>
      </c>
      <c r="F49" s="53">
        <v>1</v>
      </c>
      <c r="G49" s="58"/>
      <c r="H49" s="46"/>
      <c r="I49" s="47">
        <f>F49*G49</f>
        <v>0</v>
      </c>
      <c r="J49" s="48">
        <v>2011</v>
      </c>
      <c r="K49" s="47" t="s">
        <v>30</v>
      </c>
      <c r="L49" s="49"/>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c r="GO49" s="38"/>
      <c r="GP49" s="38"/>
      <c r="GQ49" s="38"/>
      <c r="GR49" s="38"/>
      <c r="GS49" s="38"/>
      <c r="GT49" s="38"/>
      <c r="GU49" s="38"/>
      <c r="GV49" s="38"/>
      <c r="GW49" s="38"/>
      <c r="GX49" s="38"/>
      <c r="GY49" s="38"/>
      <c r="GZ49" s="38"/>
      <c r="HA49" s="38"/>
      <c r="HB49" s="38"/>
      <c r="HC49" s="38"/>
      <c r="HD49" s="38"/>
      <c r="HE49" s="38"/>
      <c r="HF49" s="38"/>
      <c r="HG49" s="38"/>
      <c r="HH49" s="38"/>
      <c r="HI49" s="38"/>
      <c r="HJ49" s="38"/>
      <c r="HK49" s="38"/>
      <c r="HL49" s="38"/>
      <c r="HM49" s="38"/>
      <c r="HN49" s="38"/>
      <c r="HO49" s="38"/>
      <c r="HP49" s="38"/>
      <c r="HQ49" s="38"/>
      <c r="HR49" s="38"/>
      <c r="HS49" s="38"/>
      <c r="HT49" s="38"/>
      <c r="HU49" s="38"/>
      <c r="HV49" s="38"/>
      <c r="HW49" s="38"/>
      <c r="HX49" s="38"/>
      <c r="HY49" s="38"/>
      <c r="HZ49" s="38"/>
      <c r="IA49" s="38"/>
      <c r="IB49" s="38"/>
      <c r="IC49" s="38"/>
      <c r="ID49" s="38"/>
      <c r="IE49" s="38"/>
      <c r="IF49" s="38"/>
      <c r="IG49" s="38"/>
      <c r="IH49" s="38"/>
      <c r="II49" s="38"/>
      <c r="IJ49" s="38"/>
      <c r="IK49" s="38"/>
      <c r="IL49" s="38"/>
      <c r="IM49" s="38"/>
      <c r="IN49" s="38"/>
      <c r="IO49" s="38"/>
      <c r="IP49" s="38"/>
      <c r="IQ49" s="38"/>
      <c r="IR49" s="38"/>
      <c r="IS49" s="38"/>
      <c r="IT49" s="38"/>
      <c r="IU49" s="38"/>
      <c r="IV49" s="38"/>
      <c r="IW49" s="38"/>
      <c r="IX49" s="38"/>
      <c r="IY49" s="38"/>
      <c r="IZ49" s="38"/>
      <c r="JA49" s="38"/>
      <c r="JB49" s="38"/>
      <c r="JC49" s="38"/>
      <c r="JD49" s="38"/>
      <c r="JE49" s="38"/>
      <c r="JF49" s="38"/>
      <c r="JG49" s="38"/>
      <c r="JH49" s="38"/>
      <c r="JI49" s="38"/>
      <c r="JJ49" s="38"/>
      <c r="JK49" s="38"/>
      <c r="JL49" s="38"/>
      <c r="JM49" s="38"/>
      <c r="JN49" s="38"/>
      <c r="JO49" s="38"/>
      <c r="JP49" s="38"/>
      <c r="JQ49" s="38"/>
      <c r="JR49" s="38"/>
      <c r="JS49" s="38"/>
      <c r="JT49" s="38"/>
      <c r="JU49" s="38"/>
      <c r="JV49" s="38"/>
      <c r="JW49" s="38"/>
      <c r="JX49" s="38"/>
      <c r="JY49" s="38"/>
      <c r="JZ49" s="38"/>
      <c r="KA49" s="38"/>
      <c r="KB49" s="38"/>
      <c r="KC49" s="38"/>
      <c r="KD49" s="38"/>
      <c r="KE49" s="38"/>
      <c r="KF49" s="38"/>
      <c r="KG49" s="38"/>
      <c r="KH49" s="38"/>
      <c r="KI49" s="38"/>
      <c r="KJ49" s="38"/>
      <c r="KK49" s="38"/>
      <c r="KL49" s="38"/>
      <c r="KM49" s="38"/>
      <c r="KN49" s="38"/>
      <c r="KO49" s="38"/>
      <c r="KP49" s="38"/>
      <c r="KQ49" s="38"/>
      <c r="KR49" s="38"/>
      <c r="KS49" s="38"/>
      <c r="KT49" s="38"/>
      <c r="KU49" s="38"/>
      <c r="KV49" s="38"/>
      <c r="KW49" s="38"/>
      <c r="KX49" s="38"/>
      <c r="KY49" s="38"/>
      <c r="KZ49" s="38"/>
      <c r="LA49" s="38"/>
      <c r="LB49" s="38"/>
      <c r="LC49" s="38"/>
      <c r="LD49" s="38"/>
      <c r="LE49" s="38"/>
      <c r="LF49" s="38"/>
      <c r="LG49" s="38"/>
      <c r="LH49" s="38"/>
      <c r="LI49" s="38"/>
      <c r="LJ49" s="38"/>
      <c r="LK49" s="38"/>
      <c r="LL49" s="38"/>
      <c r="LM49" s="38"/>
      <c r="LN49" s="38"/>
      <c r="LO49" s="38"/>
      <c r="LP49" s="38"/>
      <c r="LQ49" s="38"/>
      <c r="LR49" s="38"/>
      <c r="LS49" s="38"/>
      <c r="LT49" s="38"/>
      <c r="LU49" s="38"/>
      <c r="LV49" s="38"/>
      <c r="LW49" s="38"/>
      <c r="LX49" s="38"/>
      <c r="LY49" s="38"/>
      <c r="LZ49" s="38"/>
      <c r="MA49" s="38"/>
      <c r="MB49" s="38"/>
      <c r="MC49" s="38"/>
      <c r="MD49" s="38"/>
      <c r="ME49" s="38"/>
      <c r="MF49" s="38"/>
      <c r="MG49" s="38"/>
      <c r="MH49" s="38"/>
      <c r="MI49" s="38"/>
      <c r="MJ49" s="38"/>
      <c r="MK49" s="38"/>
      <c r="ML49" s="38"/>
      <c r="MM49" s="38"/>
      <c r="MN49" s="38"/>
      <c r="MO49" s="38"/>
      <c r="MP49" s="38"/>
      <c r="MQ49" s="38"/>
      <c r="MR49" s="38"/>
      <c r="MS49" s="38"/>
      <c r="MT49" s="38"/>
      <c r="MU49" s="38"/>
      <c r="MV49" s="38"/>
      <c r="MW49" s="38"/>
      <c r="MX49" s="38"/>
      <c r="MY49" s="38"/>
      <c r="MZ49" s="38"/>
      <c r="NA49" s="38"/>
      <c r="NB49" s="38"/>
      <c r="NC49" s="38"/>
      <c r="ND49" s="38"/>
      <c r="NE49" s="38"/>
      <c r="NF49" s="38"/>
      <c r="NG49" s="38"/>
      <c r="NH49" s="38"/>
      <c r="NI49" s="38"/>
      <c r="NJ49" s="38"/>
      <c r="NK49" s="38"/>
      <c r="NL49" s="38"/>
      <c r="NM49" s="38"/>
      <c r="NN49" s="38"/>
      <c r="NO49" s="38"/>
      <c r="NP49" s="38"/>
      <c r="NQ49" s="38"/>
      <c r="NR49" s="38"/>
      <c r="NS49" s="38"/>
      <c r="NT49" s="38"/>
      <c r="NU49" s="38"/>
      <c r="NV49" s="38"/>
      <c r="NW49" s="38"/>
      <c r="NX49" s="38"/>
      <c r="NY49" s="38"/>
      <c r="NZ49" s="38"/>
      <c r="OA49" s="38"/>
      <c r="OB49" s="38"/>
      <c r="OC49" s="38"/>
      <c r="OD49" s="38"/>
      <c r="OE49" s="38"/>
      <c r="OF49" s="38"/>
      <c r="OG49" s="38"/>
      <c r="OH49" s="38"/>
      <c r="OI49" s="38"/>
      <c r="OJ49" s="38"/>
      <c r="OK49" s="38"/>
      <c r="OL49" s="38"/>
      <c r="OM49" s="38"/>
      <c r="ON49" s="38"/>
      <c r="OO49" s="38"/>
      <c r="OP49" s="38"/>
      <c r="OQ49" s="38"/>
      <c r="OR49" s="38"/>
      <c r="OS49" s="38"/>
      <c r="OT49" s="38"/>
      <c r="OU49" s="38"/>
      <c r="OV49" s="38"/>
      <c r="OW49" s="38"/>
      <c r="OX49" s="38"/>
      <c r="OY49" s="38"/>
      <c r="OZ49" s="38"/>
      <c r="PA49" s="38"/>
      <c r="PB49" s="38"/>
      <c r="PC49" s="38"/>
      <c r="PD49" s="38"/>
      <c r="PE49" s="38"/>
      <c r="PF49" s="38"/>
      <c r="PG49" s="38"/>
      <c r="PH49" s="38"/>
      <c r="PI49" s="38"/>
      <c r="PJ49" s="38"/>
      <c r="PK49" s="38"/>
      <c r="PL49" s="38"/>
      <c r="PM49" s="38"/>
      <c r="PN49" s="38"/>
      <c r="PO49" s="38"/>
      <c r="PP49" s="38"/>
      <c r="PQ49" s="38"/>
      <c r="PR49" s="38"/>
      <c r="PS49" s="38"/>
      <c r="PT49" s="38"/>
      <c r="PU49" s="38"/>
      <c r="PV49" s="38"/>
      <c r="PW49" s="38"/>
      <c r="PX49" s="38"/>
      <c r="PY49" s="38"/>
      <c r="PZ49" s="38"/>
      <c r="QA49" s="38"/>
      <c r="QB49" s="38"/>
      <c r="QC49" s="38"/>
      <c r="QD49" s="38"/>
      <c r="QE49" s="38"/>
      <c r="QF49" s="38"/>
      <c r="QG49" s="38"/>
      <c r="QH49" s="38"/>
      <c r="QI49" s="38"/>
      <c r="QJ49" s="38"/>
      <c r="QK49" s="38"/>
      <c r="QL49" s="38"/>
      <c r="QM49" s="38"/>
      <c r="QN49" s="38"/>
      <c r="QO49" s="38"/>
      <c r="QP49" s="38"/>
      <c r="QQ49" s="38"/>
      <c r="QR49" s="38"/>
      <c r="QS49" s="38"/>
      <c r="QT49" s="38"/>
      <c r="QU49" s="38"/>
      <c r="QV49" s="38"/>
      <c r="QW49" s="38"/>
      <c r="QX49" s="38"/>
      <c r="QY49" s="38"/>
      <c r="QZ49" s="38"/>
      <c r="RA49" s="38"/>
      <c r="RB49" s="38"/>
      <c r="RC49" s="38"/>
      <c r="RD49" s="38"/>
      <c r="RE49" s="38"/>
      <c r="RF49" s="38"/>
      <c r="RG49" s="38"/>
      <c r="RH49" s="38"/>
      <c r="RI49" s="38"/>
      <c r="RJ49" s="38"/>
      <c r="RK49" s="38"/>
      <c r="RL49" s="38"/>
      <c r="RM49" s="38"/>
      <c r="RN49" s="38"/>
      <c r="RO49" s="38"/>
      <c r="RP49" s="38"/>
      <c r="RQ49" s="38"/>
      <c r="RR49" s="38"/>
      <c r="RS49" s="38"/>
      <c r="RT49" s="38"/>
      <c r="RU49" s="38"/>
      <c r="RV49" s="38"/>
      <c r="RW49" s="38"/>
      <c r="RX49" s="38"/>
      <c r="RY49" s="38"/>
      <c r="RZ49" s="38"/>
      <c r="SA49" s="38"/>
      <c r="SB49" s="38"/>
      <c r="SC49" s="38"/>
      <c r="SD49" s="38"/>
      <c r="SE49" s="38"/>
      <c r="SF49" s="38"/>
      <c r="SG49" s="38"/>
      <c r="SH49" s="38"/>
      <c r="SI49" s="38"/>
      <c r="SJ49" s="38"/>
      <c r="SK49" s="38"/>
      <c r="SL49" s="38"/>
      <c r="SM49" s="38"/>
      <c r="SN49" s="38"/>
      <c r="SO49" s="38"/>
      <c r="SP49" s="38"/>
      <c r="SQ49" s="38"/>
      <c r="SR49" s="38"/>
      <c r="SS49" s="38"/>
      <c r="ST49" s="38"/>
      <c r="SU49" s="38"/>
      <c r="SV49" s="38"/>
      <c r="SW49" s="38"/>
      <c r="SX49" s="38"/>
      <c r="SY49" s="38"/>
      <c r="SZ49" s="38"/>
      <c r="TA49" s="38"/>
      <c r="TB49" s="38"/>
      <c r="TC49" s="38"/>
      <c r="TD49" s="38"/>
      <c r="TE49" s="38"/>
      <c r="TF49" s="38"/>
      <c r="TG49" s="38"/>
      <c r="TH49" s="38"/>
      <c r="TI49" s="38"/>
      <c r="TJ49" s="38"/>
      <c r="TK49" s="38"/>
      <c r="TL49" s="38"/>
      <c r="TM49" s="38"/>
    </row>
    <row r="50" spans="1:533" s="74" customFormat="1" ht="56.25" x14ac:dyDescent="0.25">
      <c r="B50" s="40" t="s">
        <v>107</v>
      </c>
      <c r="C50" s="41"/>
      <c r="D50" s="75" t="s">
        <v>108</v>
      </c>
      <c r="E50" s="60"/>
      <c r="F50" s="44"/>
      <c r="G50" s="54"/>
      <c r="H50" s="76"/>
      <c r="I50" s="60"/>
      <c r="J50" s="77"/>
      <c r="K50" s="60"/>
      <c r="L50" s="78"/>
    </row>
    <row r="51" spans="1:533" s="80" customFormat="1" ht="93.75" x14ac:dyDescent="0.25">
      <c r="A51" s="39"/>
      <c r="B51" s="50" t="s">
        <v>107</v>
      </c>
      <c r="C51" s="41" t="s">
        <v>109</v>
      </c>
      <c r="D51" s="57" t="s">
        <v>110</v>
      </c>
      <c r="E51" s="43" t="s">
        <v>29</v>
      </c>
      <c r="F51" s="53">
        <v>1059</v>
      </c>
      <c r="G51" s="58"/>
      <c r="H51" s="76"/>
      <c r="I51" s="47">
        <f t="shared" ref="I51" si="4">F51*G51</f>
        <v>0</v>
      </c>
      <c r="J51" s="77">
        <v>2019</v>
      </c>
      <c r="K51" s="47" t="s">
        <v>30</v>
      </c>
      <c r="L51" s="78"/>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row>
    <row r="52" spans="1:533" s="80" customFormat="1" ht="56.25" x14ac:dyDescent="0.25">
      <c r="A52" s="39"/>
      <c r="B52" s="50" t="s">
        <v>107</v>
      </c>
      <c r="C52" s="41"/>
      <c r="D52" s="57" t="s">
        <v>111</v>
      </c>
      <c r="E52" s="81"/>
      <c r="F52" s="53"/>
      <c r="G52" s="58"/>
      <c r="H52" s="46"/>
      <c r="I52" s="55"/>
      <c r="J52" s="48"/>
      <c r="K52" s="47"/>
      <c r="L52" s="4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row>
    <row r="53" spans="1:533" s="83" customFormat="1" ht="18.75" x14ac:dyDescent="0.25">
      <c r="A53" s="39"/>
      <c r="B53" s="50" t="s">
        <v>107</v>
      </c>
      <c r="C53" s="41" t="s">
        <v>112</v>
      </c>
      <c r="D53" s="56" t="s">
        <v>113</v>
      </c>
      <c r="E53" s="43" t="s">
        <v>29</v>
      </c>
      <c r="F53" s="53">
        <v>898</v>
      </c>
      <c r="G53" s="58"/>
      <c r="H53" s="46"/>
      <c r="I53" s="47">
        <f t="shared" ref="I53" si="5">F53*G53</f>
        <v>0</v>
      </c>
      <c r="J53" s="48">
        <v>2021</v>
      </c>
      <c r="K53" s="47" t="s">
        <v>30</v>
      </c>
      <c r="L53" s="49"/>
      <c r="M53" s="82"/>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2"/>
      <c r="CC53" s="82"/>
      <c r="CD53" s="82"/>
      <c r="CE53" s="82"/>
      <c r="CF53" s="82"/>
      <c r="CG53" s="82"/>
      <c r="CH53" s="82"/>
      <c r="CI53" s="82"/>
      <c r="CJ53" s="82"/>
      <c r="CK53" s="82"/>
      <c r="CL53" s="82"/>
      <c r="CM53" s="82"/>
      <c r="CN53" s="82"/>
      <c r="CO53" s="82"/>
      <c r="CP53" s="82"/>
      <c r="CQ53" s="82"/>
      <c r="CR53" s="82"/>
      <c r="CS53" s="82"/>
      <c r="CT53" s="82"/>
      <c r="CU53" s="82"/>
      <c r="CV53" s="82"/>
      <c r="CW53" s="82"/>
      <c r="CX53" s="82"/>
      <c r="CY53" s="82"/>
      <c r="CZ53" s="82"/>
      <c r="DA53" s="82"/>
      <c r="DB53" s="82"/>
      <c r="DC53" s="82"/>
      <c r="DD53" s="82"/>
      <c r="DE53" s="82"/>
      <c r="DF53" s="82"/>
      <c r="DG53" s="82"/>
      <c r="DH53" s="82"/>
      <c r="DI53" s="82"/>
      <c r="DJ53" s="82"/>
      <c r="DK53" s="82"/>
      <c r="DL53" s="82"/>
      <c r="DM53" s="82"/>
      <c r="DN53" s="82"/>
      <c r="DO53" s="82"/>
      <c r="DP53" s="82"/>
      <c r="DQ53" s="82"/>
      <c r="DR53" s="82"/>
      <c r="DS53" s="82"/>
      <c r="DT53" s="82"/>
      <c r="DU53" s="82"/>
      <c r="DV53" s="82"/>
      <c r="DW53" s="82"/>
      <c r="DX53" s="82"/>
      <c r="DY53" s="82"/>
      <c r="DZ53" s="82"/>
      <c r="EA53" s="82"/>
      <c r="EB53" s="82"/>
      <c r="EC53" s="82"/>
      <c r="ED53" s="82"/>
      <c r="EE53" s="82"/>
      <c r="EF53" s="82"/>
      <c r="EG53" s="82"/>
      <c r="EH53" s="82"/>
      <c r="EI53" s="82"/>
      <c r="EJ53" s="82"/>
      <c r="EK53" s="82"/>
      <c r="EL53" s="82"/>
      <c r="EM53" s="82"/>
      <c r="EN53" s="82"/>
      <c r="EO53" s="82"/>
      <c r="EP53" s="82"/>
      <c r="EQ53" s="82"/>
      <c r="ER53" s="82"/>
      <c r="ES53" s="82"/>
      <c r="ET53" s="82"/>
      <c r="EU53" s="82"/>
      <c r="EV53" s="82"/>
      <c r="EW53" s="82"/>
      <c r="EX53" s="82"/>
      <c r="EY53" s="82"/>
      <c r="EZ53" s="82"/>
      <c r="FA53" s="82"/>
      <c r="FB53" s="82"/>
      <c r="FC53" s="82"/>
      <c r="FD53" s="82"/>
      <c r="FE53" s="82"/>
      <c r="FF53" s="82"/>
      <c r="FG53" s="82"/>
      <c r="FH53" s="82"/>
      <c r="FI53" s="82"/>
      <c r="FJ53" s="82"/>
      <c r="FK53" s="82"/>
      <c r="FL53" s="82"/>
      <c r="FM53" s="82"/>
      <c r="FN53" s="82"/>
      <c r="FO53" s="82"/>
      <c r="FP53" s="82"/>
      <c r="FQ53" s="82"/>
      <c r="FR53" s="82"/>
      <c r="FS53" s="82"/>
      <c r="FT53" s="82"/>
      <c r="FU53" s="82"/>
      <c r="FV53" s="82"/>
      <c r="FW53" s="82"/>
      <c r="FX53" s="82"/>
      <c r="FY53" s="82"/>
      <c r="FZ53" s="82"/>
      <c r="GA53" s="82"/>
      <c r="GB53" s="82"/>
      <c r="GC53" s="82"/>
      <c r="GD53" s="82"/>
      <c r="GE53" s="82"/>
      <c r="GF53" s="82"/>
      <c r="GG53" s="82"/>
      <c r="GH53" s="82"/>
      <c r="GI53" s="82"/>
      <c r="GJ53" s="82"/>
      <c r="GK53" s="82"/>
      <c r="GL53" s="82"/>
      <c r="GM53" s="82"/>
      <c r="GN53" s="82"/>
      <c r="GO53" s="82"/>
      <c r="GP53" s="82"/>
      <c r="GQ53" s="82"/>
      <c r="GR53" s="82"/>
      <c r="GS53" s="82"/>
      <c r="GT53" s="82"/>
      <c r="GU53" s="82"/>
      <c r="GV53" s="82"/>
      <c r="GW53" s="82"/>
      <c r="GX53" s="82"/>
      <c r="GY53" s="82"/>
      <c r="GZ53" s="82"/>
      <c r="HA53" s="82"/>
      <c r="HB53" s="82"/>
      <c r="HC53" s="82"/>
      <c r="HD53" s="82"/>
      <c r="HE53" s="82"/>
      <c r="HF53" s="82"/>
      <c r="HG53" s="82"/>
      <c r="HH53" s="82"/>
      <c r="HI53" s="82"/>
      <c r="HJ53" s="82"/>
      <c r="HK53" s="82"/>
      <c r="HL53" s="82"/>
      <c r="HM53" s="82"/>
      <c r="HN53" s="82"/>
      <c r="HO53" s="82"/>
      <c r="HP53" s="82"/>
      <c r="HQ53" s="82"/>
      <c r="HR53" s="82"/>
      <c r="HS53" s="82"/>
      <c r="HT53" s="82"/>
      <c r="HU53" s="82"/>
      <c r="HV53" s="82"/>
      <c r="HW53" s="82"/>
      <c r="HX53" s="82"/>
      <c r="HY53" s="82"/>
      <c r="HZ53" s="82"/>
      <c r="IA53" s="82"/>
      <c r="IB53" s="82"/>
      <c r="IC53" s="82"/>
      <c r="ID53" s="82"/>
      <c r="IE53" s="82"/>
      <c r="IF53" s="82"/>
      <c r="IG53" s="82"/>
      <c r="IH53" s="82"/>
      <c r="II53" s="82"/>
      <c r="IJ53" s="82"/>
      <c r="IK53" s="82"/>
      <c r="IL53" s="82"/>
      <c r="IM53" s="82"/>
      <c r="IN53" s="82"/>
      <c r="IO53" s="82"/>
      <c r="IP53" s="82"/>
      <c r="IQ53" s="82"/>
      <c r="IR53" s="82"/>
      <c r="IS53" s="82"/>
      <c r="IT53" s="82"/>
      <c r="IU53" s="82"/>
      <c r="IV53" s="82"/>
      <c r="IW53" s="82"/>
      <c r="IX53" s="82"/>
      <c r="IY53" s="82"/>
      <c r="IZ53" s="82"/>
      <c r="JA53" s="82"/>
      <c r="JB53" s="82"/>
      <c r="JC53" s="82"/>
      <c r="JD53" s="82"/>
      <c r="JE53" s="82"/>
      <c r="JF53" s="82"/>
      <c r="JG53" s="82"/>
      <c r="JH53" s="82"/>
      <c r="JI53" s="82"/>
      <c r="JJ53" s="82"/>
      <c r="JK53" s="82"/>
      <c r="JL53" s="82"/>
      <c r="JM53" s="82"/>
      <c r="JN53" s="82"/>
      <c r="JO53" s="82"/>
      <c r="JP53" s="82"/>
      <c r="JQ53" s="82"/>
      <c r="JR53" s="82"/>
      <c r="JS53" s="82"/>
      <c r="JT53" s="82"/>
      <c r="JU53" s="82"/>
      <c r="JV53" s="82"/>
      <c r="JW53" s="82"/>
      <c r="JX53" s="82"/>
      <c r="JY53" s="82"/>
      <c r="JZ53" s="82"/>
      <c r="KA53" s="82"/>
      <c r="KB53" s="82"/>
      <c r="KC53" s="82"/>
      <c r="KD53" s="82"/>
      <c r="KE53" s="82"/>
      <c r="KF53" s="82"/>
      <c r="KG53" s="82"/>
      <c r="KH53" s="82"/>
      <c r="KI53" s="82"/>
      <c r="KJ53" s="82"/>
      <c r="KK53" s="82"/>
      <c r="KL53" s="82"/>
      <c r="KM53" s="82"/>
      <c r="KN53" s="82"/>
      <c r="KO53" s="82"/>
      <c r="KP53" s="82"/>
      <c r="KQ53" s="82"/>
      <c r="KR53" s="82"/>
      <c r="KS53" s="82"/>
      <c r="KT53" s="82"/>
      <c r="KU53" s="82"/>
      <c r="KV53" s="82"/>
      <c r="KW53" s="82"/>
      <c r="KX53" s="82"/>
      <c r="KY53" s="82"/>
      <c r="KZ53" s="82"/>
      <c r="LA53" s="82"/>
      <c r="LB53" s="82"/>
      <c r="LC53" s="82"/>
      <c r="LD53" s="82"/>
      <c r="LE53" s="82"/>
      <c r="LF53" s="82"/>
      <c r="LG53" s="82"/>
      <c r="LH53" s="82"/>
      <c r="LI53" s="82"/>
      <c r="LJ53" s="82"/>
      <c r="LK53" s="82"/>
      <c r="LL53" s="82"/>
      <c r="LM53" s="82"/>
      <c r="LN53" s="82"/>
      <c r="LO53" s="82"/>
      <c r="LP53" s="82"/>
      <c r="LQ53" s="82"/>
      <c r="LR53" s="82"/>
      <c r="LS53" s="82"/>
      <c r="LT53" s="82"/>
      <c r="LU53" s="82"/>
      <c r="LV53" s="82"/>
      <c r="LW53" s="82"/>
      <c r="LX53" s="82"/>
      <c r="LY53" s="82"/>
      <c r="LZ53" s="82"/>
      <c r="MA53" s="82"/>
      <c r="MB53" s="82"/>
      <c r="MC53" s="82"/>
      <c r="MD53" s="82"/>
      <c r="ME53" s="82"/>
      <c r="MF53" s="82"/>
      <c r="MG53" s="82"/>
      <c r="MH53" s="82"/>
      <c r="MI53" s="82"/>
      <c r="MJ53" s="82"/>
      <c r="MK53" s="82"/>
      <c r="ML53" s="82"/>
      <c r="MM53" s="82"/>
      <c r="MN53" s="82"/>
      <c r="MO53" s="82"/>
      <c r="MP53" s="82"/>
      <c r="MQ53" s="82"/>
      <c r="MR53" s="82"/>
      <c r="MS53" s="82"/>
      <c r="MT53" s="82"/>
      <c r="MU53" s="82"/>
      <c r="MV53" s="82"/>
      <c r="MW53" s="82"/>
      <c r="MX53" s="82"/>
      <c r="MY53" s="82"/>
      <c r="MZ53" s="82"/>
      <c r="NA53" s="82"/>
      <c r="NB53" s="82"/>
      <c r="NC53" s="82"/>
      <c r="ND53" s="82"/>
      <c r="NE53" s="82"/>
      <c r="NF53" s="82"/>
      <c r="NG53" s="82"/>
      <c r="NH53" s="82"/>
      <c r="NI53" s="82"/>
      <c r="NJ53" s="82"/>
      <c r="NK53" s="82"/>
      <c r="NL53" s="82"/>
      <c r="NM53" s="82"/>
      <c r="NN53" s="82"/>
      <c r="NO53" s="82"/>
      <c r="NP53" s="82"/>
      <c r="NQ53" s="82"/>
      <c r="NR53" s="82"/>
      <c r="NS53" s="82"/>
      <c r="NT53" s="82"/>
      <c r="NU53" s="82"/>
      <c r="NV53" s="82"/>
      <c r="NW53" s="82"/>
      <c r="NX53" s="82"/>
      <c r="NY53" s="82"/>
      <c r="NZ53" s="82"/>
      <c r="OA53" s="82"/>
      <c r="OB53" s="82"/>
      <c r="OC53" s="82"/>
      <c r="OD53" s="82"/>
      <c r="OE53" s="82"/>
      <c r="OF53" s="82"/>
      <c r="OG53" s="82"/>
      <c r="OH53" s="82"/>
      <c r="OI53" s="82"/>
      <c r="OJ53" s="82"/>
      <c r="OK53" s="82"/>
      <c r="OL53" s="82"/>
      <c r="OM53" s="82"/>
      <c r="ON53" s="82"/>
      <c r="OO53" s="82"/>
      <c r="OP53" s="82"/>
      <c r="OQ53" s="82"/>
      <c r="OR53" s="82"/>
      <c r="OS53" s="82"/>
      <c r="OT53" s="82"/>
      <c r="OU53" s="82"/>
      <c r="OV53" s="82"/>
      <c r="OW53" s="82"/>
      <c r="OX53" s="82"/>
      <c r="OY53" s="82"/>
      <c r="OZ53" s="82"/>
      <c r="PA53" s="82"/>
      <c r="PB53" s="82"/>
      <c r="PC53" s="82"/>
      <c r="PD53" s="82"/>
      <c r="PE53" s="82"/>
      <c r="PF53" s="82"/>
      <c r="PG53" s="82"/>
      <c r="PH53" s="82"/>
      <c r="PI53" s="82"/>
      <c r="PJ53" s="82"/>
      <c r="PK53" s="82"/>
      <c r="PL53" s="82"/>
      <c r="PM53" s="82"/>
      <c r="PN53" s="82"/>
      <c r="PO53" s="82"/>
      <c r="PP53" s="82"/>
      <c r="PQ53" s="82"/>
      <c r="PR53" s="82"/>
      <c r="PS53" s="82"/>
      <c r="PT53" s="82"/>
      <c r="PU53" s="82"/>
      <c r="PV53" s="82"/>
      <c r="PW53" s="82"/>
      <c r="PX53" s="82"/>
      <c r="PY53" s="82"/>
      <c r="PZ53" s="82"/>
      <c r="QA53" s="82"/>
      <c r="QB53" s="82"/>
      <c r="QC53" s="82"/>
      <c r="QD53" s="82"/>
      <c r="QE53" s="82"/>
      <c r="QF53" s="82"/>
      <c r="QG53" s="82"/>
      <c r="QH53" s="82"/>
      <c r="QI53" s="82"/>
      <c r="QJ53" s="82"/>
      <c r="QK53" s="82"/>
      <c r="QL53" s="82"/>
      <c r="QM53" s="82"/>
      <c r="QN53" s="82"/>
      <c r="QO53" s="82"/>
      <c r="QP53" s="82"/>
      <c r="QQ53" s="82"/>
      <c r="QR53" s="82"/>
      <c r="QS53" s="82"/>
      <c r="QT53" s="82"/>
      <c r="QU53" s="82"/>
      <c r="QV53" s="82"/>
      <c r="QW53" s="82"/>
      <c r="QX53" s="82"/>
      <c r="QY53" s="82"/>
      <c r="QZ53" s="82"/>
      <c r="RA53" s="82"/>
      <c r="RB53" s="82"/>
      <c r="RC53" s="82"/>
      <c r="RD53" s="82"/>
      <c r="RE53" s="82"/>
      <c r="RF53" s="82"/>
      <c r="RG53" s="82"/>
      <c r="RH53" s="82"/>
      <c r="RI53" s="82"/>
      <c r="RJ53" s="82"/>
      <c r="RK53" s="82"/>
      <c r="RL53" s="82"/>
      <c r="RM53" s="82"/>
      <c r="RN53" s="82"/>
      <c r="RO53" s="82"/>
      <c r="RP53" s="82"/>
      <c r="RQ53" s="82"/>
      <c r="RR53" s="82"/>
      <c r="RS53" s="82"/>
      <c r="RT53" s="82"/>
      <c r="RU53" s="82"/>
      <c r="RV53" s="82"/>
      <c r="RW53" s="82"/>
      <c r="RX53" s="82"/>
      <c r="RY53" s="82"/>
      <c r="RZ53" s="82"/>
      <c r="SA53" s="82"/>
      <c r="SB53" s="82"/>
      <c r="SC53" s="82"/>
      <c r="SD53" s="82"/>
      <c r="SE53" s="82"/>
      <c r="SF53" s="82"/>
      <c r="SG53" s="82"/>
      <c r="SH53" s="82"/>
      <c r="SI53" s="82"/>
      <c r="SJ53" s="82"/>
      <c r="SK53" s="82"/>
      <c r="SL53" s="82"/>
      <c r="SM53" s="82"/>
      <c r="SN53" s="82"/>
      <c r="SO53" s="82"/>
      <c r="SP53" s="82"/>
      <c r="SQ53" s="82"/>
      <c r="SR53" s="82"/>
      <c r="SS53" s="82"/>
      <c r="ST53" s="82"/>
      <c r="SU53" s="82"/>
      <c r="SV53" s="82"/>
      <c r="SW53" s="82"/>
      <c r="SX53" s="82"/>
      <c r="SY53" s="82"/>
      <c r="SZ53" s="82"/>
      <c r="TA53" s="82"/>
      <c r="TB53" s="82"/>
      <c r="TC53" s="82"/>
      <c r="TD53" s="82"/>
      <c r="TE53" s="82"/>
      <c r="TF53" s="82"/>
      <c r="TG53" s="82"/>
      <c r="TH53" s="82"/>
      <c r="TI53" s="82"/>
      <c r="TJ53" s="82"/>
      <c r="TK53" s="82"/>
      <c r="TL53" s="82"/>
      <c r="TM53" s="82"/>
    </row>
    <row r="54" spans="1:533" s="39" customFormat="1" ht="206.25" x14ac:dyDescent="0.25">
      <c r="B54" s="40" t="s">
        <v>114</v>
      </c>
      <c r="C54" s="84"/>
      <c r="D54" s="63" t="s">
        <v>115</v>
      </c>
      <c r="E54" s="52"/>
      <c r="F54" s="53"/>
      <c r="G54" s="54"/>
      <c r="H54" s="46"/>
      <c r="I54" s="55"/>
      <c r="J54" s="48"/>
      <c r="K54" s="47"/>
      <c r="L54" s="49"/>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c r="HC54" s="38"/>
      <c r="HD54" s="38"/>
      <c r="HE54" s="38"/>
      <c r="HF54" s="38"/>
      <c r="HG54" s="38"/>
      <c r="HH54" s="38"/>
      <c r="HI54" s="38"/>
      <c r="HJ54" s="38"/>
      <c r="HK54" s="38"/>
      <c r="HL54" s="38"/>
      <c r="HM54" s="38"/>
      <c r="HN54" s="38"/>
      <c r="HO54" s="38"/>
      <c r="HP54" s="38"/>
      <c r="HQ54" s="38"/>
      <c r="HR54" s="38"/>
      <c r="HS54" s="38"/>
      <c r="HT54" s="38"/>
      <c r="HU54" s="38"/>
      <c r="HV54" s="38"/>
      <c r="HW54" s="38"/>
      <c r="HX54" s="38"/>
      <c r="HY54" s="38"/>
      <c r="HZ54" s="38"/>
      <c r="IA54" s="38"/>
      <c r="IB54" s="38"/>
      <c r="IC54" s="38"/>
      <c r="ID54" s="38"/>
      <c r="IE54" s="38"/>
      <c r="IF54" s="38"/>
      <c r="IG54" s="38"/>
      <c r="IH54" s="38"/>
      <c r="II54" s="38"/>
      <c r="IJ54" s="38"/>
      <c r="IK54" s="38"/>
      <c r="IL54" s="38"/>
      <c r="IM54" s="38"/>
      <c r="IN54" s="38"/>
      <c r="IO54" s="38"/>
      <c r="IP54" s="38"/>
      <c r="IQ54" s="38"/>
      <c r="IR54" s="38"/>
      <c r="IS54" s="38"/>
      <c r="IT54" s="38"/>
      <c r="IU54" s="38"/>
      <c r="IV54" s="38"/>
      <c r="IW54" s="38"/>
      <c r="IX54" s="38"/>
      <c r="IY54" s="38"/>
      <c r="IZ54" s="38"/>
      <c r="JA54" s="38"/>
      <c r="JB54" s="38"/>
      <c r="JC54" s="38"/>
      <c r="JD54" s="38"/>
      <c r="JE54" s="38"/>
      <c r="JF54" s="38"/>
      <c r="JG54" s="38"/>
      <c r="JH54" s="38"/>
      <c r="JI54" s="38"/>
      <c r="JJ54" s="38"/>
      <c r="JK54" s="38"/>
      <c r="JL54" s="38"/>
      <c r="JM54" s="38"/>
      <c r="JN54" s="38"/>
      <c r="JO54" s="38"/>
      <c r="JP54" s="38"/>
      <c r="JQ54" s="38"/>
      <c r="JR54" s="38"/>
      <c r="JS54" s="38"/>
      <c r="JT54" s="38"/>
      <c r="JU54" s="38"/>
      <c r="JV54" s="38"/>
      <c r="JW54" s="38"/>
      <c r="JX54" s="38"/>
      <c r="JY54" s="38"/>
      <c r="JZ54" s="38"/>
      <c r="KA54" s="38"/>
      <c r="KB54" s="38"/>
      <c r="KC54" s="38"/>
      <c r="KD54" s="38"/>
      <c r="KE54" s="38"/>
      <c r="KF54" s="38"/>
      <c r="KG54" s="38"/>
      <c r="KH54" s="38"/>
      <c r="KI54" s="38"/>
      <c r="KJ54" s="38"/>
      <c r="KK54" s="38"/>
      <c r="KL54" s="38"/>
      <c r="KM54" s="38"/>
      <c r="KN54" s="38"/>
      <c r="KO54" s="38"/>
      <c r="KP54" s="38"/>
      <c r="KQ54" s="38"/>
      <c r="KR54" s="38"/>
      <c r="KS54" s="38"/>
      <c r="KT54" s="38"/>
      <c r="KU54" s="38"/>
      <c r="KV54" s="38"/>
      <c r="KW54" s="38"/>
      <c r="KX54" s="38"/>
      <c r="KY54" s="38"/>
      <c r="KZ54" s="38"/>
      <c r="LA54" s="38"/>
      <c r="LB54" s="38"/>
      <c r="LC54" s="38"/>
      <c r="LD54" s="38"/>
      <c r="LE54" s="38"/>
      <c r="LF54" s="38"/>
      <c r="LG54" s="38"/>
      <c r="LH54" s="38"/>
      <c r="LI54" s="38"/>
      <c r="LJ54" s="38"/>
      <c r="LK54" s="38"/>
      <c r="LL54" s="38"/>
      <c r="LM54" s="38"/>
      <c r="LN54" s="38"/>
      <c r="LO54" s="38"/>
      <c r="LP54" s="38"/>
      <c r="LQ54" s="38"/>
      <c r="LR54" s="38"/>
      <c r="LS54" s="38"/>
      <c r="LT54" s="38"/>
      <c r="LU54" s="38"/>
      <c r="LV54" s="38"/>
      <c r="LW54" s="38"/>
      <c r="LX54" s="38"/>
      <c r="LY54" s="38"/>
      <c r="LZ54" s="38"/>
      <c r="MA54" s="38"/>
      <c r="MB54" s="38"/>
      <c r="MC54" s="38"/>
      <c r="MD54" s="38"/>
      <c r="ME54" s="38"/>
      <c r="MF54" s="38"/>
      <c r="MG54" s="38"/>
      <c r="MH54" s="38"/>
      <c r="MI54" s="38"/>
      <c r="MJ54" s="38"/>
      <c r="MK54" s="38"/>
      <c r="ML54" s="38"/>
      <c r="MM54" s="38"/>
      <c r="MN54" s="38"/>
      <c r="MO54" s="38"/>
      <c r="MP54" s="38"/>
      <c r="MQ54" s="38"/>
      <c r="MR54" s="38"/>
      <c r="MS54" s="38"/>
      <c r="MT54" s="38"/>
      <c r="MU54" s="38"/>
      <c r="MV54" s="38"/>
      <c r="MW54" s="38"/>
      <c r="MX54" s="38"/>
      <c r="MY54" s="38"/>
      <c r="MZ54" s="38"/>
      <c r="NA54" s="38"/>
      <c r="NB54" s="38"/>
      <c r="NC54" s="38"/>
      <c r="ND54" s="38"/>
      <c r="NE54" s="38"/>
      <c r="NF54" s="38"/>
      <c r="NG54" s="38"/>
      <c r="NH54" s="38"/>
      <c r="NI54" s="38"/>
      <c r="NJ54" s="38"/>
      <c r="NK54" s="38"/>
      <c r="NL54" s="38"/>
      <c r="NM54" s="38"/>
      <c r="NN54" s="38"/>
      <c r="NO54" s="38"/>
      <c r="NP54" s="38"/>
      <c r="NQ54" s="38"/>
      <c r="NR54" s="38"/>
      <c r="NS54" s="38"/>
      <c r="NT54" s="38"/>
      <c r="NU54" s="38"/>
      <c r="NV54" s="38"/>
      <c r="NW54" s="38"/>
      <c r="NX54" s="38"/>
      <c r="NY54" s="38"/>
      <c r="NZ54" s="38"/>
      <c r="OA54" s="38"/>
      <c r="OB54" s="38"/>
      <c r="OC54" s="38"/>
      <c r="OD54" s="38"/>
      <c r="OE54" s="38"/>
      <c r="OF54" s="38"/>
      <c r="OG54" s="38"/>
      <c r="OH54" s="38"/>
      <c r="OI54" s="38"/>
      <c r="OJ54" s="38"/>
      <c r="OK54" s="38"/>
      <c r="OL54" s="38"/>
      <c r="OM54" s="38"/>
      <c r="ON54" s="38"/>
      <c r="OO54" s="38"/>
      <c r="OP54" s="38"/>
      <c r="OQ54" s="38"/>
      <c r="OR54" s="38"/>
      <c r="OS54" s="38"/>
      <c r="OT54" s="38"/>
      <c r="OU54" s="38"/>
      <c r="OV54" s="38"/>
      <c r="OW54" s="38"/>
      <c r="OX54" s="38"/>
      <c r="OY54" s="38"/>
      <c r="OZ54" s="38"/>
      <c r="PA54" s="38"/>
      <c r="PB54" s="38"/>
      <c r="PC54" s="38"/>
      <c r="PD54" s="38"/>
      <c r="PE54" s="38"/>
      <c r="PF54" s="38"/>
      <c r="PG54" s="38"/>
      <c r="PH54" s="38"/>
      <c r="PI54" s="38"/>
      <c r="PJ54" s="38"/>
      <c r="PK54" s="38"/>
      <c r="PL54" s="38"/>
      <c r="PM54" s="38"/>
      <c r="PN54" s="38"/>
      <c r="PO54" s="38"/>
      <c r="PP54" s="38"/>
      <c r="PQ54" s="38"/>
      <c r="PR54" s="38"/>
      <c r="PS54" s="38"/>
      <c r="PT54" s="38"/>
      <c r="PU54" s="38"/>
      <c r="PV54" s="38"/>
      <c r="PW54" s="38"/>
      <c r="PX54" s="38"/>
      <c r="PY54" s="38"/>
      <c r="PZ54" s="38"/>
      <c r="QA54" s="38"/>
      <c r="QB54" s="38"/>
      <c r="QC54" s="38"/>
      <c r="QD54" s="38"/>
      <c r="QE54" s="38"/>
      <c r="QF54" s="38"/>
      <c r="QG54" s="38"/>
      <c r="QH54" s="38"/>
      <c r="QI54" s="38"/>
      <c r="QJ54" s="38"/>
      <c r="QK54" s="38"/>
      <c r="QL54" s="38"/>
      <c r="QM54" s="38"/>
      <c r="QN54" s="38"/>
      <c r="QO54" s="38"/>
      <c r="QP54" s="38"/>
      <c r="QQ54" s="38"/>
      <c r="QR54" s="38"/>
      <c r="QS54" s="38"/>
      <c r="QT54" s="38"/>
      <c r="QU54" s="38"/>
      <c r="QV54" s="38"/>
      <c r="QW54" s="38"/>
      <c r="QX54" s="38"/>
      <c r="QY54" s="38"/>
      <c r="QZ54" s="38"/>
      <c r="RA54" s="38"/>
      <c r="RB54" s="38"/>
      <c r="RC54" s="38"/>
      <c r="RD54" s="38"/>
      <c r="RE54" s="38"/>
      <c r="RF54" s="38"/>
      <c r="RG54" s="38"/>
      <c r="RH54" s="38"/>
      <c r="RI54" s="38"/>
      <c r="RJ54" s="38"/>
      <c r="RK54" s="38"/>
      <c r="RL54" s="38"/>
      <c r="RM54" s="38"/>
      <c r="RN54" s="38"/>
      <c r="RO54" s="38"/>
      <c r="RP54" s="38"/>
      <c r="RQ54" s="38"/>
      <c r="RR54" s="38"/>
      <c r="RS54" s="38"/>
      <c r="RT54" s="38"/>
      <c r="RU54" s="38"/>
      <c r="RV54" s="38"/>
      <c r="RW54" s="38"/>
      <c r="RX54" s="38"/>
      <c r="RY54" s="38"/>
      <c r="RZ54" s="38"/>
      <c r="SA54" s="38"/>
      <c r="SB54" s="38"/>
      <c r="SC54" s="38"/>
      <c r="SD54" s="38"/>
      <c r="SE54" s="38"/>
      <c r="SF54" s="38"/>
      <c r="SG54" s="38"/>
      <c r="SH54" s="38"/>
      <c r="SI54" s="38"/>
      <c r="SJ54" s="38"/>
      <c r="SK54" s="38"/>
      <c r="SL54" s="38"/>
      <c r="SM54" s="38"/>
      <c r="SN54" s="38"/>
      <c r="SO54" s="38"/>
      <c r="SP54" s="38"/>
      <c r="SQ54" s="38"/>
      <c r="SR54" s="38"/>
      <c r="SS54" s="38"/>
      <c r="ST54" s="38"/>
      <c r="SU54" s="38"/>
      <c r="SV54" s="38"/>
      <c r="SW54" s="38"/>
      <c r="SX54" s="38"/>
      <c r="SY54" s="38"/>
      <c r="SZ54" s="38"/>
      <c r="TA54" s="38"/>
      <c r="TB54" s="38"/>
      <c r="TC54" s="38"/>
      <c r="TD54" s="38"/>
      <c r="TE54" s="38"/>
      <c r="TF54" s="38"/>
      <c r="TG54" s="38"/>
      <c r="TH54" s="38"/>
      <c r="TI54" s="38"/>
      <c r="TJ54" s="38"/>
      <c r="TK54" s="38"/>
      <c r="TL54" s="38"/>
      <c r="TM54" s="38"/>
    </row>
    <row r="55" spans="1:533" s="39" customFormat="1" ht="18.75" x14ac:dyDescent="0.25">
      <c r="B55" s="40" t="s">
        <v>114</v>
      </c>
      <c r="C55" s="84" t="s">
        <v>116</v>
      </c>
      <c r="D55" s="56" t="s">
        <v>117</v>
      </c>
      <c r="E55" s="43" t="s">
        <v>29</v>
      </c>
      <c r="F55" s="53">
        <v>751</v>
      </c>
      <c r="G55" s="85"/>
      <c r="H55" s="46"/>
      <c r="I55" s="47">
        <f t="shared" ref="I55" si="6">F55*G55</f>
        <v>0</v>
      </c>
      <c r="J55" s="48">
        <v>2017</v>
      </c>
      <c r="K55" s="47" t="s">
        <v>30</v>
      </c>
      <c r="L55" s="49"/>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c r="DJ55" s="38"/>
      <c r="DK55" s="38"/>
      <c r="DL55" s="38"/>
      <c r="DM55" s="38"/>
      <c r="DN55" s="38"/>
      <c r="DO55" s="38"/>
      <c r="DP55" s="38"/>
      <c r="DQ55" s="38"/>
      <c r="DR55" s="38"/>
      <c r="DS55" s="38"/>
      <c r="DT55" s="38"/>
      <c r="DU55" s="38"/>
      <c r="DV55" s="38"/>
      <c r="DW55" s="38"/>
      <c r="DX55" s="38"/>
      <c r="DY55" s="38"/>
      <c r="DZ55" s="38"/>
      <c r="EA55" s="38"/>
      <c r="EB55" s="38"/>
      <c r="EC55" s="38"/>
      <c r="ED55" s="38"/>
      <c r="EE55" s="38"/>
      <c r="EF55" s="38"/>
      <c r="EG55" s="38"/>
      <c r="EH55" s="38"/>
      <c r="EI55" s="38"/>
      <c r="EJ55" s="38"/>
      <c r="EK55" s="38"/>
      <c r="EL55" s="38"/>
      <c r="EM55" s="38"/>
      <c r="EN55" s="38"/>
      <c r="EO55" s="38"/>
      <c r="EP55" s="38"/>
      <c r="EQ55" s="38"/>
      <c r="ER55" s="38"/>
      <c r="ES55" s="38"/>
      <c r="ET55" s="38"/>
      <c r="EU55" s="38"/>
      <c r="EV55" s="38"/>
      <c r="EW55" s="38"/>
      <c r="EX55" s="38"/>
      <c r="EY55" s="38"/>
      <c r="EZ55" s="38"/>
      <c r="FA55" s="38"/>
      <c r="FB55" s="38"/>
      <c r="FC55" s="38"/>
      <c r="FD55" s="38"/>
      <c r="FE55" s="38"/>
      <c r="FF55" s="38"/>
      <c r="FG55" s="38"/>
      <c r="FH55" s="38"/>
      <c r="FI55" s="38"/>
      <c r="FJ55" s="38"/>
      <c r="FK55" s="38"/>
      <c r="FL55" s="38"/>
      <c r="FM55" s="38"/>
      <c r="FN55" s="38"/>
      <c r="FO55" s="38"/>
      <c r="FP55" s="38"/>
      <c r="FQ55" s="38"/>
      <c r="FR55" s="38"/>
      <c r="FS55" s="38"/>
      <c r="FT55" s="38"/>
      <c r="FU55" s="38"/>
      <c r="FV55" s="38"/>
      <c r="FW55" s="38"/>
      <c r="FX55" s="38"/>
      <c r="FY55" s="38"/>
      <c r="FZ55" s="38"/>
      <c r="GA55" s="38"/>
      <c r="GB55" s="38"/>
      <c r="GC55" s="38"/>
      <c r="GD55" s="38"/>
      <c r="GE55" s="38"/>
      <c r="GF55" s="38"/>
      <c r="GG55" s="38"/>
      <c r="GH55" s="38"/>
      <c r="GI55" s="38"/>
      <c r="GJ55" s="38"/>
      <c r="GK55" s="38"/>
      <c r="GL55" s="38"/>
      <c r="GM55" s="38"/>
      <c r="GN55" s="38"/>
      <c r="GO55" s="38"/>
      <c r="GP55" s="38"/>
      <c r="GQ55" s="38"/>
      <c r="GR55" s="38"/>
      <c r="GS55" s="38"/>
      <c r="GT55" s="38"/>
      <c r="GU55" s="38"/>
      <c r="GV55" s="38"/>
      <c r="GW55" s="38"/>
      <c r="GX55" s="38"/>
      <c r="GY55" s="38"/>
      <c r="GZ55" s="38"/>
      <c r="HA55" s="38"/>
      <c r="HB55" s="38"/>
      <c r="HC55" s="38"/>
      <c r="HD55" s="38"/>
      <c r="HE55" s="38"/>
      <c r="HF55" s="38"/>
      <c r="HG55" s="38"/>
      <c r="HH55" s="38"/>
      <c r="HI55" s="38"/>
      <c r="HJ55" s="38"/>
      <c r="HK55" s="38"/>
      <c r="HL55" s="38"/>
      <c r="HM55" s="38"/>
      <c r="HN55" s="38"/>
      <c r="HO55" s="38"/>
      <c r="HP55" s="38"/>
      <c r="HQ55" s="38"/>
      <c r="HR55" s="38"/>
      <c r="HS55" s="38"/>
      <c r="HT55" s="38"/>
      <c r="HU55" s="38"/>
      <c r="HV55" s="38"/>
      <c r="HW55" s="38"/>
      <c r="HX55" s="38"/>
      <c r="HY55" s="38"/>
      <c r="HZ55" s="38"/>
      <c r="IA55" s="38"/>
      <c r="IB55" s="38"/>
      <c r="IC55" s="38"/>
      <c r="ID55" s="38"/>
      <c r="IE55" s="38"/>
      <c r="IF55" s="38"/>
      <c r="IG55" s="38"/>
      <c r="IH55" s="38"/>
      <c r="II55" s="38"/>
      <c r="IJ55" s="38"/>
      <c r="IK55" s="38"/>
      <c r="IL55" s="38"/>
      <c r="IM55" s="38"/>
      <c r="IN55" s="38"/>
      <c r="IO55" s="38"/>
      <c r="IP55" s="38"/>
      <c r="IQ55" s="38"/>
      <c r="IR55" s="38"/>
      <c r="IS55" s="38"/>
      <c r="IT55" s="38"/>
      <c r="IU55" s="38"/>
      <c r="IV55" s="38"/>
      <c r="IW55" s="38"/>
      <c r="IX55" s="38"/>
      <c r="IY55" s="38"/>
      <c r="IZ55" s="38"/>
      <c r="JA55" s="38"/>
      <c r="JB55" s="38"/>
      <c r="JC55" s="38"/>
      <c r="JD55" s="38"/>
      <c r="JE55" s="38"/>
      <c r="JF55" s="38"/>
      <c r="JG55" s="38"/>
      <c r="JH55" s="38"/>
      <c r="JI55" s="38"/>
      <c r="JJ55" s="38"/>
      <c r="JK55" s="38"/>
      <c r="JL55" s="38"/>
      <c r="JM55" s="38"/>
      <c r="JN55" s="38"/>
      <c r="JO55" s="38"/>
      <c r="JP55" s="38"/>
      <c r="JQ55" s="38"/>
      <c r="JR55" s="38"/>
      <c r="JS55" s="38"/>
      <c r="JT55" s="38"/>
      <c r="JU55" s="38"/>
      <c r="JV55" s="38"/>
      <c r="JW55" s="38"/>
      <c r="JX55" s="38"/>
      <c r="JY55" s="38"/>
      <c r="JZ55" s="38"/>
      <c r="KA55" s="38"/>
      <c r="KB55" s="38"/>
      <c r="KC55" s="38"/>
      <c r="KD55" s="38"/>
      <c r="KE55" s="38"/>
      <c r="KF55" s="38"/>
      <c r="KG55" s="38"/>
      <c r="KH55" s="38"/>
      <c r="KI55" s="38"/>
      <c r="KJ55" s="38"/>
      <c r="KK55" s="38"/>
      <c r="KL55" s="38"/>
      <c r="KM55" s="38"/>
      <c r="KN55" s="38"/>
      <c r="KO55" s="38"/>
      <c r="KP55" s="38"/>
      <c r="KQ55" s="38"/>
      <c r="KR55" s="38"/>
      <c r="KS55" s="38"/>
      <c r="KT55" s="38"/>
      <c r="KU55" s="38"/>
      <c r="KV55" s="38"/>
      <c r="KW55" s="38"/>
      <c r="KX55" s="38"/>
      <c r="KY55" s="38"/>
      <c r="KZ55" s="38"/>
      <c r="LA55" s="38"/>
      <c r="LB55" s="38"/>
      <c r="LC55" s="38"/>
      <c r="LD55" s="38"/>
      <c r="LE55" s="38"/>
      <c r="LF55" s="38"/>
      <c r="LG55" s="38"/>
      <c r="LH55" s="38"/>
      <c r="LI55" s="38"/>
      <c r="LJ55" s="38"/>
      <c r="LK55" s="38"/>
      <c r="LL55" s="38"/>
      <c r="LM55" s="38"/>
      <c r="LN55" s="38"/>
      <c r="LO55" s="38"/>
      <c r="LP55" s="38"/>
      <c r="LQ55" s="38"/>
      <c r="LR55" s="38"/>
      <c r="LS55" s="38"/>
      <c r="LT55" s="38"/>
      <c r="LU55" s="38"/>
      <c r="LV55" s="38"/>
      <c r="LW55" s="38"/>
      <c r="LX55" s="38"/>
      <c r="LY55" s="38"/>
      <c r="LZ55" s="38"/>
      <c r="MA55" s="38"/>
      <c r="MB55" s="38"/>
      <c r="MC55" s="38"/>
      <c r="MD55" s="38"/>
      <c r="ME55" s="38"/>
      <c r="MF55" s="38"/>
      <c r="MG55" s="38"/>
      <c r="MH55" s="38"/>
      <c r="MI55" s="38"/>
      <c r="MJ55" s="38"/>
      <c r="MK55" s="38"/>
      <c r="ML55" s="38"/>
      <c r="MM55" s="38"/>
      <c r="MN55" s="38"/>
      <c r="MO55" s="38"/>
      <c r="MP55" s="38"/>
      <c r="MQ55" s="38"/>
      <c r="MR55" s="38"/>
      <c r="MS55" s="38"/>
      <c r="MT55" s="38"/>
      <c r="MU55" s="38"/>
      <c r="MV55" s="38"/>
      <c r="MW55" s="38"/>
      <c r="MX55" s="38"/>
      <c r="MY55" s="38"/>
      <c r="MZ55" s="38"/>
      <c r="NA55" s="38"/>
      <c r="NB55" s="38"/>
      <c r="NC55" s="38"/>
      <c r="ND55" s="38"/>
      <c r="NE55" s="38"/>
      <c r="NF55" s="38"/>
      <c r="NG55" s="38"/>
      <c r="NH55" s="38"/>
      <c r="NI55" s="38"/>
      <c r="NJ55" s="38"/>
      <c r="NK55" s="38"/>
      <c r="NL55" s="38"/>
      <c r="NM55" s="38"/>
      <c r="NN55" s="38"/>
      <c r="NO55" s="38"/>
      <c r="NP55" s="38"/>
      <c r="NQ55" s="38"/>
      <c r="NR55" s="38"/>
      <c r="NS55" s="38"/>
      <c r="NT55" s="38"/>
      <c r="NU55" s="38"/>
      <c r="NV55" s="38"/>
      <c r="NW55" s="38"/>
      <c r="NX55" s="38"/>
      <c r="NY55" s="38"/>
      <c r="NZ55" s="38"/>
      <c r="OA55" s="38"/>
      <c r="OB55" s="38"/>
      <c r="OC55" s="38"/>
      <c r="OD55" s="38"/>
      <c r="OE55" s="38"/>
      <c r="OF55" s="38"/>
      <c r="OG55" s="38"/>
      <c r="OH55" s="38"/>
      <c r="OI55" s="38"/>
      <c r="OJ55" s="38"/>
      <c r="OK55" s="38"/>
      <c r="OL55" s="38"/>
      <c r="OM55" s="38"/>
      <c r="ON55" s="38"/>
      <c r="OO55" s="38"/>
      <c r="OP55" s="38"/>
      <c r="OQ55" s="38"/>
      <c r="OR55" s="38"/>
      <c r="OS55" s="38"/>
      <c r="OT55" s="38"/>
      <c r="OU55" s="38"/>
      <c r="OV55" s="38"/>
      <c r="OW55" s="38"/>
      <c r="OX55" s="38"/>
      <c r="OY55" s="38"/>
      <c r="OZ55" s="38"/>
      <c r="PA55" s="38"/>
      <c r="PB55" s="38"/>
      <c r="PC55" s="38"/>
      <c r="PD55" s="38"/>
      <c r="PE55" s="38"/>
      <c r="PF55" s="38"/>
      <c r="PG55" s="38"/>
      <c r="PH55" s="38"/>
      <c r="PI55" s="38"/>
      <c r="PJ55" s="38"/>
      <c r="PK55" s="38"/>
      <c r="PL55" s="38"/>
      <c r="PM55" s="38"/>
      <c r="PN55" s="38"/>
      <c r="PO55" s="38"/>
      <c r="PP55" s="38"/>
      <c r="PQ55" s="38"/>
      <c r="PR55" s="38"/>
      <c r="PS55" s="38"/>
      <c r="PT55" s="38"/>
      <c r="PU55" s="38"/>
      <c r="PV55" s="38"/>
      <c r="PW55" s="38"/>
      <c r="PX55" s="38"/>
      <c r="PY55" s="38"/>
      <c r="PZ55" s="38"/>
      <c r="QA55" s="38"/>
      <c r="QB55" s="38"/>
      <c r="QC55" s="38"/>
      <c r="QD55" s="38"/>
      <c r="QE55" s="38"/>
      <c r="QF55" s="38"/>
      <c r="QG55" s="38"/>
      <c r="QH55" s="38"/>
      <c r="QI55" s="38"/>
      <c r="QJ55" s="38"/>
      <c r="QK55" s="38"/>
      <c r="QL55" s="38"/>
      <c r="QM55" s="38"/>
      <c r="QN55" s="38"/>
      <c r="QO55" s="38"/>
      <c r="QP55" s="38"/>
      <c r="QQ55" s="38"/>
      <c r="QR55" s="38"/>
      <c r="QS55" s="38"/>
      <c r="QT55" s="38"/>
      <c r="QU55" s="38"/>
      <c r="QV55" s="38"/>
      <c r="QW55" s="38"/>
      <c r="QX55" s="38"/>
      <c r="QY55" s="38"/>
      <c r="QZ55" s="38"/>
      <c r="RA55" s="38"/>
      <c r="RB55" s="38"/>
      <c r="RC55" s="38"/>
      <c r="RD55" s="38"/>
      <c r="RE55" s="38"/>
      <c r="RF55" s="38"/>
      <c r="RG55" s="38"/>
      <c r="RH55" s="38"/>
      <c r="RI55" s="38"/>
      <c r="RJ55" s="38"/>
      <c r="RK55" s="38"/>
      <c r="RL55" s="38"/>
      <c r="RM55" s="38"/>
      <c r="RN55" s="38"/>
      <c r="RO55" s="38"/>
      <c r="RP55" s="38"/>
      <c r="RQ55" s="38"/>
      <c r="RR55" s="38"/>
      <c r="RS55" s="38"/>
      <c r="RT55" s="38"/>
      <c r="RU55" s="38"/>
      <c r="RV55" s="38"/>
      <c r="RW55" s="38"/>
      <c r="RX55" s="38"/>
      <c r="RY55" s="38"/>
      <c r="RZ55" s="38"/>
      <c r="SA55" s="38"/>
      <c r="SB55" s="38"/>
      <c r="SC55" s="38"/>
      <c r="SD55" s="38"/>
      <c r="SE55" s="38"/>
      <c r="SF55" s="38"/>
      <c r="SG55" s="38"/>
      <c r="SH55" s="38"/>
      <c r="SI55" s="38"/>
      <c r="SJ55" s="38"/>
      <c r="SK55" s="38"/>
      <c r="SL55" s="38"/>
      <c r="SM55" s="38"/>
      <c r="SN55" s="38"/>
      <c r="SO55" s="38"/>
      <c r="SP55" s="38"/>
      <c r="SQ55" s="38"/>
      <c r="SR55" s="38"/>
      <c r="SS55" s="38"/>
      <c r="ST55" s="38"/>
      <c r="SU55" s="38"/>
      <c r="SV55" s="38"/>
      <c r="SW55" s="38"/>
      <c r="SX55" s="38"/>
      <c r="SY55" s="38"/>
      <c r="SZ55" s="38"/>
      <c r="TA55" s="38"/>
      <c r="TB55" s="38"/>
      <c r="TC55" s="38"/>
      <c r="TD55" s="38"/>
      <c r="TE55" s="38"/>
      <c r="TF55" s="38"/>
      <c r="TG55" s="38"/>
      <c r="TH55" s="38"/>
      <c r="TI55" s="38"/>
      <c r="TJ55" s="38"/>
      <c r="TK55" s="38"/>
      <c r="TL55" s="38"/>
      <c r="TM55" s="38"/>
    </row>
    <row r="56" spans="1:533" s="39" customFormat="1" ht="93.75" x14ac:dyDescent="0.25">
      <c r="B56" s="40" t="s">
        <v>114</v>
      </c>
      <c r="C56" s="84"/>
      <c r="D56" s="63" t="s">
        <v>118</v>
      </c>
      <c r="E56" s="86"/>
      <c r="F56" s="53"/>
      <c r="G56" s="85"/>
      <c r="H56" s="46"/>
      <c r="I56" s="55"/>
      <c r="J56" s="48"/>
      <c r="K56" s="47"/>
      <c r="L56" s="49"/>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c r="ET56" s="38"/>
      <c r="EU56" s="38"/>
      <c r="EV56" s="38"/>
      <c r="EW56" s="38"/>
      <c r="EX56" s="38"/>
      <c r="EY56" s="38"/>
      <c r="EZ56" s="38"/>
      <c r="FA56" s="38"/>
      <c r="FB56" s="38"/>
      <c r="FC56" s="38"/>
      <c r="FD56" s="38"/>
      <c r="FE56" s="38"/>
      <c r="FF56" s="38"/>
      <c r="FG56" s="38"/>
      <c r="FH56" s="38"/>
      <c r="FI56" s="38"/>
      <c r="FJ56" s="38"/>
      <c r="FK56" s="38"/>
      <c r="FL56" s="38"/>
      <c r="FM56" s="38"/>
      <c r="FN56" s="38"/>
      <c r="FO56" s="38"/>
      <c r="FP56" s="38"/>
      <c r="FQ56" s="38"/>
      <c r="FR56" s="38"/>
      <c r="FS56" s="38"/>
      <c r="FT56" s="38"/>
      <c r="FU56" s="38"/>
      <c r="FV56" s="38"/>
      <c r="FW56" s="38"/>
      <c r="FX56" s="38"/>
      <c r="FY56" s="38"/>
      <c r="FZ56" s="38"/>
      <c r="GA56" s="38"/>
      <c r="GB56" s="38"/>
      <c r="GC56" s="38"/>
      <c r="GD56" s="38"/>
      <c r="GE56" s="38"/>
      <c r="GF56" s="38"/>
      <c r="GG56" s="38"/>
      <c r="GH56" s="38"/>
      <c r="GI56" s="38"/>
      <c r="GJ56" s="38"/>
      <c r="GK56" s="38"/>
      <c r="GL56" s="38"/>
      <c r="GM56" s="38"/>
      <c r="GN56" s="38"/>
      <c r="GO56" s="38"/>
      <c r="GP56" s="38"/>
      <c r="GQ56" s="38"/>
      <c r="GR56" s="38"/>
      <c r="GS56" s="38"/>
      <c r="GT56" s="38"/>
      <c r="GU56" s="38"/>
      <c r="GV56" s="38"/>
      <c r="GW56" s="38"/>
      <c r="GX56" s="38"/>
      <c r="GY56" s="38"/>
      <c r="GZ56" s="38"/>
      <c r="HA56" s="38"/>
      <c r="HB56" s="38"/>
      <c r="HC56" s="38"/>
      <c r="HD56" s="38"/>
      <c r="HE56" s="38"/>
      <c r="HF56" s="38"/>
      <c r="HG56" s="38"/>
      <c r="HH56" s="38"/>
      <c r="HI56" s="38"/>
      <c r="HJ56" s="38"/>
      <c r="HK56" s="38"/>
      <c r="HL56" s="38"/>
      <c r="HM56" s="38"/>
      <c r="HN56" s="38"/>
      <c r="HO56" s="38"/>
      <c r="HP56" s="38"/>
      <c r="HQ56" s="38"/>
      <c r="HR56" s="38"/>
      <c r="HS56" s="38"/>
      <c r="HT56" s="38"/>
      <c r="HU56" s="38"/>
      <c r="HV56" s="38"/>
      <c r="HW56" s="38"/>
      <c r="HX56" s="38"/>
      <c r="HY56" s="38"/>
      <c r="HZ56" s="38"/>
      <c r="IA56" s="38"/>
      <c r="IB56" s="38"/>
      <c r="IC56" s="38"/>
      <c r="ID56" s="38"/>
      <c r="IE56" s="38"/>
      <c r="IF56" s="38"/>
      <c r="IG56" s="38"/>
      <c r="IH56" s="38"/>
      <c r="II56" s="38"/>
      <c r="IJ56" s="38"/>
      <c r="IK56" s="38"/>
      <c r="IL56" s="38"/>
      <c r="IM56" s="38"/>
      <c r="IN56" s="38"/>
      <c r="IO56" s="38"/>
      <c r="IP56" s="38"/>
      <c r="IQ56" s="38"/>
      <c r="IR56" s="38"/>
      <c r="IS56" s="38"/>
      <c r="IT56" s="38"/>
      <c r="IU56" s="38"/>
      <c r="IV56" s="38"/>
      <c r="IW56" s="38"/>
      <c r="IX56" s="38"/>
      <c r="IY56" s="38"/>
      <c r="IZ56" s="38"/>
      <c r="JA56" s="38"/>
      <c r="JB56" s="38"/>
      <c r="JC56" s="38"/>
      <c r="JD56" s="38"/>
      <c r="JE56" s="38"/>
      <c r="JF56" s="38"/>
      <c r="JG56" s="38"/>
      <c r="JH56" s="38"/>
      <c r="JI56" s="38"/>
      <c r="JJ56" s="38"/>
      <c r="JK56" s="38"/>
      <c r="JL56" s="38"/>
      <c r="JM56" s="38"/>
      <c r="JN56" s="38"/>
      <c r="JO56" s="38"/>
      <c r="JP56" s="38"/>
      <c r="JQ56" s="38"/>
      <c r="JR56" s="38"/>
      <c r="JS56" s="38"/>
      <c r="JT56" s="38"/>
      <c r="JU56" s="38"/>
      <c r="JV56" s="38"/>
      <c r="JW56" s="38"/>
      <c r="JX56" s="38"/>
      <c r="JY56" s="38"/>
      <c r="JZ56" s="38"/>
      <c r="KA56" s="38"/>
      <c r="KB56" s="38"/>
      <c r="KC56" s="38"/>
      <c r="KD56" s="38"/>
      <c r="KE56" s="38"/>
      <c r="KF56" s="38"/>
      <c r="KG56" s="38"/>
      <c r="KH56" s="38"/>
      <c r="KI56" s="38"/>
      <c r="KJ56" s="38"/>
      <c r="KK56" s="38"/>
      <c r="KL56" s="38"/>
      <c r="KM56" s="38"/>
      <c r="KN56" s="38"/>
      <c r="KO56" s="38"/>
      <c r="KP56" s="38"/>
      <c r="KQ56" s="38"/>
      <c r="KR56" s="38"/>
      <c r="KS56" s="38"/>
      <c r="KT56" s="38"/>
      <c r="KU56" s="38"/>
      <c r="KV56" s="38"/>
      <c r="KW56" s="38"/>
      <c r="KX56" s="38"/>
      <c r="KY56" s="38"/>
      <c r="KZ56" s="38"/>
      <c r="LA56" s="38"/>
      <c r="LB56" s="38"/>
      <c r="LC56" s="38"/>
      <c r="LD56" s="38"/>
      <c r="LE56" s="38"/>
      <c r="LF56" s="38"/>
      <c r="LG56" s="38"/>
      <c r="LH56" s="38"/>
      <c r="LI56" s="38"/>
      <c r="LJ56" s="38"/>
      <c r="LK56" s="38"/>
      <c r="LL56" s="38"/>
      <c r="LM56" s="38"/>
      <c r="LN56" s="38"/>
      <c r="LO56" s="38"/>
      <c r="LP56" s="38"/>
      <c r="LQ56" s="38"/>
      <c r="LR56" s="38"/>
      <c r="LS56" s="38"/>
      <c r="LT56" s="38"/>
      <c r="LU56" s="38"/>
      <c r="LV56" s="38"/>
      <c r="LW56" s="38"/>
      <c r="LX56" s="38"/>
      <c r="LY56" s="38"/>
      <c r="LZ56" s="38"/>
      <c r="MA56" s="38"/>
      <c r="MB56" s="38"/>
      <c r="MC56" s="38"/>
      <c r="MD56" s="38"/>
      <c r="ME56" s="38"/>
      <c r="MF56" s="38"/>
      <c r="MG56" s="38"/>
      <c r="MH56" s="38"/>
      <c r="MI56" s="38"/>
      <c r="MJ56" s="38"/>
      <c r="MK56" s="38"/>
      <c r="ML56" s="38"/>
      <c r="MM56" s="38"/>
      <c r="MN56" s="38"/>
      <c r="MO56" s="38"/>
      <c r="MP56" s="38"/>
      <c r="MQ56" s="38"/>
      <c r="MR56" s="38"/>
      <c r="MS56" s="38"/>
      <c r="MT56" s="38"/>
      <c r="MU56" s="38"/>
      <c r="MV56" s="38"/>
      <c r="MW56" s="38"/>
      <c r="MX56" s="38"/>
      <c r="MY56" s="38"/>
      <c r="MZ56" s="38"/>
      <c r="NA56" s="38"/>
      <c r="NB56" s="38"/>
      <c r="NC56" s="38"/>
      <c r="ND56" s="38"/>
      <c r="NE56" s="38"/>
      <c r="NF56" s="38"/>
      <c r="NG56" s="38"/>
      <c r="NH56" s="38"/>
      <c r="NI56" s="38"/>
      <c r="NJ56" s="38"/>
      <c r="NK56" s="38"/>
      <c r="NL56" s="38"/>
      <c r="NM56" s="38"/>
      <c r="NN56" s="38"/>
      <c r="NO56" s="38"/>
      <c r="NP56" s="38"/>
      <c r="NQ56" s="38"/>
      <c r="NR56" s="38"/>
      <c r="NS56" s="38"/>
      <c r="NT56" s="38"/>
      <c r="NU56" s="38"/>
      <c r="NV56" s="38"/>
      <c r="NW56" s="38"/>
      <c r="NX56" s="38"/>
      <c r="NY56" s="38"/>
      <c r="NZ56" s="38"/>
      <c r="OA56" s="38"/>
      <c r="OB56" s="38"/>
      <c r="OC56" s="38"/>
      <c r="OD56" s="38"/>
      <c r="OE56" s="38"/>
      <c r="OF56" s="38"/>
      <c r="OG56" s="38"/>
      <c r="OH56" s="38"/>
      <c r="OI56" s="38"/>
      <c r="OJ56" s="38"/>
      <c r="OK56" s="38"/>
      <c r="OL56" s="38"/>
      <c r="OM56" s="38"/>
      <c r="ON56" s="38"/>
      <c r="OO56" s="38"/>
      <c r="OP56" s="38"/>
      <c r="OQ56" s="38"/>
      <c r="OR56" s="38"/>
      <c r="OS56" s="38"/>
      <c r="OT56" s="38"/>
      <c r="OU56" s="38"/>
      <c r="OV56" s="38"/>
      <c r="OW56" s="38"/>
      <c r="OX56" s="38"/>
      <c r="OY56" s="38"/>
      <c r="OZ56" s="38"/>
      <c r="PA56" s="38"/>
      <c r="PB56" s="38"/>
      <c r="PC56" s="38"/>
      <c r="PD56" s="38"/>
      <c r="PE56" s="38"/>
      <c r="PF56" s="38"/>
      <c r="PG56" s="38"/>
      <c r="PH56" s="38"/>
      <c r="PI56" s="38"/>
      <c r="PJ56" s="38"/>
      <c r="PK56" s="38"/>
      <c r="PL56" s="38"/>
      <c r="PM56" s="38"/>
      <c r="PN56" s="38"/>
      <c r="PO56" s="38"/>
      <c r="PP56" s="38"/>
      <c r="PQ56" s="38"/>
      <c r="PR56" s="38"/>
      <c r="PS56" s="38"/>
      <c r="PT56" s="38"/>
      <c r="PU56" s="38"/>
      <c r="PV56" s="38"/>
      <c r="PW56" s="38"/>
      <c r="PX56" s="38"/>
      <c r="PY56" s="38"/>
      <c r="PZ56" s="38"/>
      <c r="QA56" s="38"/>
      <c r="QB56" s="38"/>
      <c r="QC56" s="38"/>
      <c r="QD56" s="38"/>
      <c r="QE56" s="38"/>
      <c r="QF56" s="38"/>
      <c r="QG56" s="38"/>
      <c r="QH56" s="38"/>
      <c r="QI56" s="38"/>
      <c r="QJ56" s="38"/>
      <c r="QK56" s="38"/>
      <c r="QL56" s="38"/>
      <c r="QM56" s="38"/>
      <c r="QN56" s="38"/>
      <c r="QO56" s="38"/>
      <c r="QP56" s="38"/>
      <c r="QQ56" s="38"/>
      <c r="QR56" s="38"/>
      <c r="QS56" s="38"/>
      <c r="QT56" s="38"/>
      <c r="QU56" s="38"/>
      <c r="QV56" s="38"/>
      <c r="QW56" s="38"/>
      <c r="QX56" s="38"/>
      <c r="QY56" s="38"/>
      <c r="QZ56" s="38"/>
      <c r="RA56" s="38"/>
      <c r="RB56" s="38"/>
      <c r="RC56" s="38"/>
      <c r="RD56" s="38"/>
      <c r="RE56" s="38"/>
      <c r="RF56" s="38"/>
      <c r="RG56" s="38"/>
      <c r="RH56" s="38"/>
      <c r="RI56" s="38"/>
      <c r="RJ56" s="38"/>
      <c r="RK56" s="38"/>
      <c r="RL56" s="38"/>
      <c r="RM56" s="38"/>
      <c r="RN56" s="38"/>
      <c r="RO56" s="38"/>
      <c r="RP56" s="38"/>
      <c r="RQ56" s="38"/>
      <c r="RR56" s="38"/>
      <c r="RS56" s="38"/>
      <c r="RT56" s="38"/>
      <c r="RU56" s="38"/>
      <c r="RV56" s="38"/>
      <c r="RW56" s="38"/>
      <c r="RX56" s="38"/>
      <c r="RY56" s="38"/>
      <c r="RZ56" s="38"/>
      <c r="SA56" s="38"/>
      <c r="SB56" s="38"/>
      <c r="SC56" s="38"/>
      <c r="SD56" s="38"/>
      <c r="SE56" s="38"/>
      <c r="SF56" s="38"/>
      <c r="SG56" s="38"/>
      <c r="SH56" s="38"/>
      <c r="SI56" s="38"/>
      <c r="SJ56" s="38"/>
      <c r="SK56" s="38"/>
      <c r="SL56" s="38"/>
      <c r="SM56" s="38"/>
      <c r="SN56" s="38"/>
      <c r="SO56" s="38"/>
      <c r="SP56" s="38"/>
      <c r="SQ56" s="38"/>
      <c r="SR56" s="38"/>
      <c r="SS56" s="38"/>
      <c r="ST56" s="38"/>
      <c r="SU56" s="38"/>
      <c r="SV56" s="38"/>
      <c r="SW56" s="38"/>
      <c r="SX56" s="38"/>
      <c r="SY56" s="38"/>
      <c r="SZ56" s="38"/>
      <c r="TA56" s="38"/>
      <c r="TB56" s="38"/>
      <c r="TC56" s="38"/>
      <c r="TD56" s="38"/>
      <c r="TE56" s="38"/>
      <c r="TF56" s="38"/>
      <c r="TG56" s="38"/>
      <c r="TH56" s="38"/>
      <c r="TI56" s="38"/>
      <c r="TJ56" s="38"/>
      <c r="TK56" s="38"/>
      <c r="TL56" s="38"/>
      <c r="TM56" s="38"/>
    </row>
    <row r="57" spans="1:533" s="39" customFormat="1" ht="18.75" x14ac:dyDescent="0.25">
      <c r="B57" s="40" t="s">
        <v>114</v>
      </c>
      <c r="C57" s="84" t="s">
        <v>119</v>
      </c>
      <c r="D57" s="56" t="s">
        <v>120</v>
      </c>
      <c r="E57" s="43" t="s">
        <v>75</v>
      </c>
      <c r="F57" s="53">
        <v>155</v>
      </c>
      <c r="G57" s="85"/>
      <c r="H57" s="46"/>
      <c r="I57" s="47">
        <f t="shared" ref="I57" si="7">F57*G57</f>
        <v>0</v>
      </c>
      <c r="J57" s="48">
        <v>2017</v>
      </c>
      <c r="K57" s="47" t="s">
        <v>30</v>
      </c>
      <c r="L57" s="49"/>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c r="FU57" s="38"/>
      <c r="FV57" s="38"/>
      <c r="FW57" s="38"/>
      <c r="FX57" s="38"/>
      <c r="FY57" s="38"/>
      <c r="FZ57" s="38"/>
      <c r="GA57" s="38"/>
      <c r="GB57" s="38"/>
      <c r="GC57" s="38"/>
      <c r="GD57" s="38"/>
      <c r="GE57" s="38"/>
      <c r="GF57" s="38"/>
      <c r="GG57" s="38"/>
      <c r="GH57" s="38"/>
      <c r="GI57" s="38"/>
      <c r="GJ57" s="38"/>
      <c r="GK57" s="38"/>
      <c r="GL57" s="38"/>
      <c r="GM57" s="38"/>
      <c r="GN57" s="38"/>
      <c r="GO57" s="38"/>
      <c r="GP57" s="38"/>
      <c r="GQ57" s="38"/>
      <c r="GR57" s="38"/>
      <c r="GS57" s="38"/>
      <c r="GT57" s="38"/>
      <c r="GU57" s="38"/>
      <c r="GV57" s="38"/>
      <c r="GW57" s="38"/>
      <c r="GX57" s="38"/>
      <c r="GY57" s="38"/>
      <c r="GZ57" s="38"/>
      <c r="HA57" s="38"/>
      <c r="HB57" s="38"/>
      <c r="HC57" s="38"/>
      <c r="HD57" s="38"/>
      <c r="HE57" s="38"/>
      <c r="HF57" s="38"/>
      <c r="HG57" s="38"/>
      <c r="HH57" s="38"/>
      <c r="HI57" s="38"/>
      <c r="HJ57" s="38"/>
      <c r="HK57" s="38"/>
      <c r="HL57" s="38"/>
      <c r="HM57" s="38"/>
      <c r="HN57" s="38"/>
      <c r="HO57" s="38"/>
      <c r="HP57" s="38"/>
      <c r="HQ57" s="38"/>
      <c r="HR57" s="38"/>
      <c r="HS57" s="38"/>
      <c r="HT57" s="38"/>
      <c r="HU57" s="38"/>
      <c r="HV57" s="38"/>
      <c r="HW57" s="38"/>
      <c r="HX57" s="38"/>
      <c r="HY57" s="38"/>
      <c r="HZ57" s="38"/>
      <c r="IA57" s="38"/>
      <c r="IB57" s="38"/>
      <c r="IC57" s="38"/>
      <c r="ID57" s="38"/>
      <c r="IE57" s="38"/>
      <c r="IF57" s="38"/>
      <c r="IG57" s="38"/>
      <c r="IH57" s="38"/>
      <c r="II57" s="38"/>
      <c r="IJ57" s="38"/>
      <c r="IK57" s="38"/>
      <c r="IL57" s="38"/>
      <c r="IM57" s="38"/>
      <c r="IN57" s="38"/>
      <c r="IO57" s="38"/>
      <c r="IP57" s="38"/>
      <c r="IQ57" s="38"/>
      <c r="IR57" s="38"/>
      <c r="IS57" s="38"/>
      <c r="IT57" s="38"/>
      <c r="IU57" s="38"/>
      <c r="IV57" s="38"/>
      <c r="IW57" s="38"/>
      <c r="IX57" s="38"/>
      <c r="IY57" s="38"/>
      <c r="IZ57" s="38"/>
      <c r="JA57" s="38"/>
      <c r="JB57" s="38"/>
      <c r="JC57" s="38"/>
      <c r="JD57" s="38"/>
      <c r="JE57" s="38"/>
      <c r="JF57" s="38"/>
      <c r="JG57" s="38"/>
      <c r="JH57" s="38"/>
      <c r="JI57" s="38"/>
      <c r="JJ57" s="38"/>
      <c r="JK57" s="38"/>
      <c r="JL57" s="38"/>
      <c r="JM57" s="38"/>
      <c r="JN57" s="38"/>
      <c r="JO57" s="38"/>
      <c r="JP57" s="38"/>
      <c r="JQ57" s="38"/>
      <c r="JR57" s="38"/>
      <c r="JS57" s="38"/>
      <c r="JT57" s="38"/>
      <c r="JU57" s="38"/>
      <c r="JV57" s="38"/>
      <c r="JW57" s="38"/>
      <c r="JX57" s="38"/>
      <c r="JY57" s="38"/>
      <c r="JZ57" s="38"/>
      <c r="KA57" s="38"/>
      <c r="KB57" s="38"/>
      <c r="KC57" s="38"/>
      <c r="KD57" s="38"/>
      <c r="KE57" s="38"/>
      <c r="KF57" s="38"/>
      <c r="KG57" s="38"/>
      <c r="KH57" s="38"/>
      <c r="KI57" s="38"/>
      <c r="KJ57" s="38"/>
      <c r="KK57" s="38"/>
      <c r="KL57" s="38"/>
      <c r="KM57" s="38"/>
      <c r="KN57" s="38"/>
      <c r="KO57" s="38"/>
      <c r="KP57" s="38"/>
      <c r="KQ57" s="38"/>
      <c r="KR57" s="38"/>
      <c r="KS57" s="38"/>
      <c r="KT57" s="38"/>
      <c r="KU57" s="38"/>
      <c r="KV57" s="38"/>
      <c r="KW57" s="38"/>
      <c r="KX57" s="38"/>
      <c r="KY57" s="38"/>
      <c r="KZ57" s="38"/>
      <c r="LA57" s="38"/>
      <c r="LB57" s="38"/>
      <c r="LC57" s="38"/>
      <c r="LD57" s="38"/>
      <c r="LE57" s="38"/>
      <c r="LF57" s="38"/>
      <c r="LG57" s="38"/>
      <c r="LH57" s="38"/>
      <c r="LI57" s="38"/>
      <c r="LJ57" s="38"/>
      <c r="LK57" s="38"/>
      <c r="LL57" s="38"/>
      <c r="LM57" s="38"/>
      <c r="LN57" s="38"/>
      <c r="LO57" s="38"/>
      <c r="LP57" s="38"/>
      <c r="LQ57" s="38"/>
      <c r="LR57" s="38"/>
      <c r="LS57" s="38"/>
      <c r="LT57" s="38"/>
      <c r="LU57" s="38"/>
      <c r="LV57" s="38"/>
      <c r="LW57" s="38"/>
      <c r="LX57" s="38"/>
      <c r="LY57" s="38"/>
      <c r="LZ57" s="38"/>
      <c r="MA57" s="38"/>
      <c r="MB57" s="38"/>
      <c r="MC57" s="38"/>
      <c r="MD57" s="38"/>
      <c r="ME57" s="38"/>
      <c r="MF57" s="38"/>
      <c r="MG57" s="38"/>
      <c r="MH57" s="38"/>
      <c r="MI57" s="38"/>
      <c r="MJ57" s="38"/>
      <c r="MK57" s="38"/>
      <c r="ML57" s="38"/>
      <c r="MM57" s="38"/>
      <c r="MN57" s="38"/>
      <c r="MO57" s="38"/>
      <c r="MP57" s="38"/>
      <c r="MQ57" s="38"/>
      <c r="MR57" s="38"/>
      <c r="MS57" s="38"/>
      <c r="MT57" s="38"/>
      <c r="MU57" s="38"/>
      <c r="MV57" s="38"/>
      <c r="MW57" s="38"/>
      <c r="MX57" s="38"/>
      <c r="MY57" s="38"/>
      <c r="MZ57" s="38"/>
      <c r="NA57" s="38"/>
      <c r="NB57" s="38"/>
      <c r="NC57" s="38"/>
      <c r="ND57" s="38"/>
      <c r="NE57" s="38"/>
      <c r="NF57" s="38"/>
      <c r="NG57" s="38"/>
      <c r="NH57" s="38"/>
      <c r="NI57" s="38"/>
      <c r="NJ57" s="38"/>
      <c r="NK57" s="38"/>
      <c r="NL57" s="38"/>
      <c r="NM57" s="38"/>
      <c r="NN57" s="38"/>
      <c r="NO57" s="38"/>
      <c r="NP57" s="38"/>
      <c r="NQ57" s="38"/>
      <c r="NR57" s="38"/>
      <c r="NS57" s="38"/>
      <c r="NT57" s="38"/>
      <c r="NU57" s="38"/>
      <c r="NV57" s="38"/>
      <c r="NW57" s="38"/>
      <c r="NX57" s="38"/>
      <c r="NY57" s="38"/>
      <c r="NZ57" s="38"/>
      <c r="OA57" s="38"/>
      <c r="OB57" s="38"/>
      <c r="OC57" s="38"/>
      <c r="OD57" s="38"/>
      <c r="OE57" s="38"/>
      <c r="OF57" s="38"/>
      <c r="OG57" s="38"/>
      <c r="OH57" s="38"/>
      <c r="OI57" s="38"/>
      <c r="OJ57" s="38"/>
      <c r="OK57" s="38"/>
      <c r="OL57" s="38"/>
      <c r="OM57" s="38"/>
      <c r="ON57" s="38"/>
      <c r="OO57" s="38"/>
      <c r="OP57" s="38"/>
      <c r="OQ57" s="38"/>
      <c r="OR57" s="38"/>
      <c r="OS57" s="38"/>
      <c r="OT57" s="38"/>
      <c r="OU57" s="38"/>
      <c r="OV57" s="38"/>
      <c r="OW57" s="38"/>
      <c r="OX57" s="38"/>
      <c r="OY57" s="38"/>
      <c r="OZ57" s="38"/>
      <c r="PA57" s="38"/>
      <c r="PB57" s="38"/>
      <c r="PC57" s="38"/>
      <c r="PD57" s="38"/>
      <c r="PE57" s="38"/>
      <c r="PF57" s="38"/>
      <c r="PG57" s="38"/>
      <c r="PH57" s="38"/>
      <c r="PI57" s="38"/>
      <c r="PJ57" s="38"/>
      <c r="PK57" s="38"/>
      <c r="PL57" s="38"/>
      <c r="PM57" s="38"/>
      <c r="PN57" s="38"/>
      <c r="PO57" s="38"/>
      <c r="PP57" s="38"/>
      <c r="PQ57" s="38"/>
      <c r="PR57" s="38"/>
      <c r="PS57" s="38"/>
      <c r="PT57" s="38"/>
      <c r="PU57" s="38"/>
      <c r="PV57" s="38"/>
      <c r="PW57" s="38"/>
      <c r="PX57" s="38"/>
      <c r="PY57" s="38"/>
      <c r="PZ57" s="38"/>
      <c r="QA57" s="38"/>
      <c r="QB57" s="38"/>
      <c r="QC57" s="38"/>
      <c r="QD57" s="38"/>
      <c r="QE57" s="38"/>
      <c r="QF57" s="38"/>
      <c r="QG57" s="38"/>
      <c r="QH57" s="38"/>
      <c r="QI57" s="38"/>
      <c r="QJ57" s="38"/>
      <c r="QK57" s="38"/>
      <c r="QL57" s="38"/>
      <c r="QM57" s="38"/>
      <c r="QN57" s="38"/>
      <c r="QO57" s="38"/>
      <c r="QP57" s="38"/>
      <c r="QQ57" s="38"/>
      <c r="QR57" s="38"/>
      <c r="QS57" s="38"/>
      <c r="QT57" s="38"/>
      <c r="QU57" s="38"/>
      <c r="QV57" s="38"/>
      <c r="QW57" s="38"/>
      <c r="QX57" s="38"/>
      <c r="QY57" s="38"/>
      <c r="QZ57" s="38"/>
      <c r="RA57" s="38"/>
      <c r="RB57" s="38"/>
      <c r="RC57" s="38"/>
      <c r="RD57" s="38"/>
      <c r="RE57" s="38"/>
      <c r="RF57" s="38"/>
      <c r="RG57" s="38"/>
      <c r="RH57" s="38"/>
      <c r="RI57" s="38"/>
      <c r="RJ57" s="38"/>
      <c r="RK57" s="38"/>
      <c r="RL57" s="38"/>
      <c r="RM57" s="38"/>
      <c r="RN57" s="38"/>
      <c r="RO57" s="38"/>
      <c r="RP57" s="38"/>
      <c r="RQ57" s="38"/>
      <c r="RR57" s="38"/>
      <c r="RS57" s="38"/>
      <c r="RT57" s="38"/>
      <c r="RU57" s="38"/>
      <c r="RV57" s="38"/>
      <c r="RW57" s="38"/>
      <c r="RX57" s="38"/>
      <c r="RY57" s="38"/>
      <c r="RZ57" s="38"/>
      <c r="SA57" s="38"/>
      <c r="SB57" s="38"/>
      <c r="SC57" s="38"/>
      <c r="SD57" s="38"/>
      <c r="SE57" s="38"/>
      <c r="SF57" s="38"/>
      <c r="SG57" s="38"/>
      <c r="SH57" s="38"/>
      <c r="SI57" s="38"/>
      <c r="SJ57" s="38"/>
      <c r="SK57" s="38"/>
      <c r="SL57" s="38"/>
      <c r="SM57" s="38"/>
      <c r="SN57" s="38"/>
      <c r="SO57" s="38"/>
      <c r="SP57" s="38"/>
      <c r="SQ57" s="38"/>
      <c r="SR57" s="38"/>
      <c r="SS57" s="38"/>
      <c r="ST57" s="38"/>
      <c r="SU57" s="38"/>
      <c r="SV57" s="38"/>
      <c r="SW57" s="38"/>
      <c r="SX57" s="38"/>
      <c r="SY57" s="38"/>
      <c r="SZ57" s="38"/>
      <c r="TA57" s="38"/>
      <c r="TB57" s="38"/>
      <c r="TC57" s="38"/>
      <c r="TD57" s="38"/>
      <c r="TE57" s="38"/>
      <c r="TF57" s="38"/>
      <c r="TG57" s="38"/>
      <c r="TH57" s="38"/>
      <c r="TI57" s="38"/>
      <c r="TJ57" s="38"/>
      <c r="TK57" s="38"/>
      <c r="TL57" s="38"/>
      <c r="TM57" s="38"/>
    </row>
    <row r="58" spans="1:533" s="39" customFormat="1" ht="93.75" x14ac:dyDescent="0.25">
      <c r="B58" s="40" t="s">
        <v>121</v>
      </c>
      <c r="C58" s="84"/>
      <c r="D58" s="63" t="s">
        <v>122</v>
      </c>
      <c r="E58" s="86"/>
      <c r="F58" s="53"/>
      <c r="G58" s="54"/>
      <c r="H58" s="46"/>
      <c r="I58" s="55"/>
      <c r="J58" s="48"/>
      <c r="K58" s="47"/>
      <c r="L58" s="49"/>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c r="DS58" s="38"/>
      <c r="DT58" s="38"/>
      <c r="DU58" s="38"/>
      <c r="DV58" s="38"/>
      <c r="DW58" s="38"/>
      <c r="DX58" s="38"/>
      <c r="DY58" s="38"/>
      <c r="DZ58" s="38"/>
      <c r="EA58" s="38"/>
      <c r="EB58" s="38"/>
      <c r="EC58" s="38"/>
      <c r="ED58" s="38"/>
      <c r="EE58" s="38"/>
      <c r="EF58" s="38"/>
      <c r="EG58" s="38"/>
      <c r="EH58" s="38"/>
      <c r="EI58" s="38"/>
      <c r="EJ58" s="38"/>
      <c r="EK58" s="38"/>
      <c r="EL58" s="38"/>
      <c r="EM58" s="38"/>
      <c r="EN58" s="38"/>
      <c r="EO58" s="38"/>
      <c r="EP58" s="38"/>
      <c r="EQ58" s="38"/>
      <c r="ER58" s="38"/>
      <c r="ES58" s="38"/>
      <c r="ET58" s="38"/>
      <c r="EU58" s="38"/>
      <c r="EV58" s="38"/>
      <c r="EW58" s="38"/>
      <c r="EX58" s="38"/>
      <c r="EY58" s="38"/>
      <c r="EZ58" s="38"/>
      <c r="FA58" s="38"/>
      <c r="FB58" s="38"/>
      <c r="FC58" s="38"/>
      <c r="FD58" s="38"/>
      <c r="FE58" s="38"/>
      <c r="FF58" s="38"/>
      <c r="FG58" s="38"/>
      <c r="FH58" s="38"/>
      <c r="FI58" s="38"/>
      <c r="FJ58" s="38"/>
      <c r="FK58" s="38"/>
      <c r="FL58" s="38"/>
      <c r="FM58" s="38"/>
      <c r="FN58" s="38"/>
      <c r="FO58" s="38"/>
      <c r="FP58" s="38"/>
      <c r="FQ58" s="38"/>
      <c r="FR58" s="38"/>
      <c r="FS58" s="38"/>
      <c r="FT58" s="38"/>
      <c r="FU58" s="38"/>
      <c r="FV58" s="38"/>
      <c r="FW58" s="38"/>
      <c r="FX58" s="38"/>
      <c r="FY58" s="38"/>
      <c r="FZ58" s="38"/>
      <c r="GA58" s="38"/>
      <c r="GB58" s="38"/>
      <c r="GC58" s="38"/>
      <c r="GD58" s="38"/>
      <c r="GE58" s="38"/>
      <c r="GF58" s="38"/>
      <c r="GG58" s="38"/>
      <c r="GH58" s="38"/>
      <c r="GI58" s="38"/>
      <c r="GJ58" s="38"/>
      <c r="GK58" s="38"/>
      <c r="GL58" s="38"/>
      <c r="GM58" s="38"/>
      <c r="GN58" s="38"/>
      <c r="GO58" s="38"/>
      <c r="GP58" s="38"/>
      <c r="GQ58" s="38"/>
      <c r="GR58" s="38"/>
      <c r="GS58" s="38"/>
      <c r="GT58" s="38"/>
      <c r="GU58" s="38"/>
      <c r="GV58" s="38"/>
      <c r="GW58" s="38"/>
      <c r="GX58" s="38"/>
      <c r="GY58" s="38"/>
      <c r="GZ58" s="38"/>
      <c r="HA58" s="38"/>
      <c r="HB58" s="38"/>
      <c r="HC58" s="38"/>
      <c r="HD58" s="38"/>
      <c r="HE58" s="38"/>
      <c r="HF58" s="38"/>
      <c r="HG58" s="38"/>
      <c r="HH58" s="38"/>
      <c r="HI58" s="38"/>
      <c r="HJ58" s="38"/>
      <c r="HK58" s="38"/>
      <c r="HL58" s="38"/>
      <c r="HM58" s="38"/>
      <c r="HN58" s="38"/>
      <c r="HO58" s="38"/>
      <c r="HP58" s="38"/>
      <c r="HQ58" s="38"/>
      <c r="HR58" s="38"/>
      <c r="HS58" s="38"/>
      <c r="HT58" s="38"/>
      <c r="HU58" s="38"/>
      <c r="HV58" s="38"/>
      <c r="HW58" s="38"/>
      <c r="HX58" s="38"/>
      <c r="HY58" s="38"/>
      <c r="HZ58" s="38"/>
      <c r="IA58" s="38"/>
      <c r="IB58" s="38"/>
      <c r="IC58" s="38"/>
      <c r="ID58" s="38"/>
      <c r="IE58" s="38"/>
      <c r="IF58" s="38"/>
      <c r="IG58" s="38"/>
      <c r="IH58" s="38"/>
      <c r="II58" s="38"/>
      <c r="IJ58" s="38"/>
      <c r="IK58" s="38"/>
      <c r="IL58" s="38"/>
      <c r="IM58" s="38"/>
      <c r="IN58" s="38"/>
      <c r="IO58" s="38"/>
      <c r="IP58" s="38"/>
      <c r="IQ58" s="38"/>
      <c r="IR58" s="38"/>
      <c r="IS58" s="38"/>
      <c r="IT58" s="38"/>
      <c r="IU58" s="38"/>
      <c r="IV58" s="38"/>
      <c r="IW58" s="38"/>
      <c r="IX58" s="38"/>
      <c r="IY58" s="38"/>
      <c r="IZ58" s="38"/>
      <c r="JA58" s="38"/>
      <c r="JB58" s="38"/>
      <c r="JC58" s="38"/>
      <c r="JD58" s="38"/>
      <c r="JE58" s="38"/>
      <c r="JF58" s="38"/>
      <c r="JG58" s="38"/>
      <c r="JH58" s="38"/>
      <c r="JI58" s="38"/>
      <c r="JJ58" s="38"/>
      <c r="JK58" s="38"/>
      <c r="JL58" s="38"/>
      <c r="JM58" s="38"/>
      <c r="JN58" s="38"/>
      <c r="JO58" s="38"/>
      <c r="JP58" s="38"/>
      <c r="JQ58" s="38"/>
      <c r="JR58" s="38"/>
      <c r="JS58" s="38"/>
      <c r="JT58" s="38"/>
      <c r="JU58" s="38"/>
      <c r="JV58" s="38"/>
      <c r="JW58" s="38"/>
      <c r="JX58" s="38"/>
      <c r="JY58" s="38"/>
      <c r="JZ58" s="38"/>
      <c r="KA58" s="38"/>
      <c r="KB58" s="38"/>
      <c r="KC58" s="38"/>
      <c r="KD58" s="38"/>
      <c r="KE58" s="38"/>
      <c r="KF58" s="38"/>
      <c r="KG58" s="38"/>
      <c r="KH58" s="38"/>
      <c r="KI58" s="38"/>
      <c r="KJ58" s="38"/>
      <c r="KK58" s="38"/>
      <c r="KL58" s="38"/>
      <c r="KM58" s="38"/>
      <c r="KN58" s="38"/>
      <c r="KO58" s="38"/>
      <c r="KP58" s="38"/>
      <c r="KQ58" s="38"/>
      <c r="KR58" s="38"/>
      <c r="KS58" s="38"/>
      <c r="KT58" s="38"/>
      <c r="KU58" s="38"/>
      <c r="KV58" s="38"/>
      <c r="KW58" s="38"/>
      <c r="KX58" s="38"/>
      <c r="KY58" s="38"/>
      <c r="KZ58" s="38"/>
      <c r="LA58" s="38"/>
      <c r="LB58" s="38"/>
      <c r="LC58" s="38"/>
      <c r="LD58" s="38"/>
      <c r="LE58" s="38"/>
      <c r="LF58" s="38"/>
      <c r="LG58" s="38"/>
      <c r="LH58" s="38"/>
      <c r="LI58" s="38"/>
      <c r="LJ58" s="38"/>
      <c r="LK58" s="38"/>
      <c r="LL58" s="38"/>
      <c r="LM58" s="38"/>
      <c r="LN58" s="38"/>
      <c r="LO58" s="38"/>
      <c r="LP58" s="38"/>
      <c r="LQ58" s="38"/>
      <c r="LR58" s="38"/>
      <c r="LS58" s="38"/>
      <c r="LT58" s="38"/>
      <c r="LU58" s="38"/>
      <c r="LV58" s="38"/>
      <c r="LW58" s="38"/>
      <c r="LX58" s="38"/>
      <c r="LY58" s="38"/>
      <c r="LZ58" s="38"/>
      <c r="MA58" s="38"/>
      <c r="MB58" s="38"/>
      <c r="MC58" s="38"/>
      <c r="MD58" s="38"/>
      <c r="ME58" s="38"/>
      <c r="MF58" s="38"/>
      <c r="MG58" s="38"/>
      <c r="MH58" s="38"/>
      <c r="MI58" s="38"/>
      <c r="MJ58" s="38"/>
      <c r="MK58" s="38"/>
      <c r="ML58" s="38"/>
      <c r="MM58" s="38"/>
      <c r="MN58" s="38"/>
      <c r="MO58" s="38"/>
      <c r="MP58" s="38"/>
      <c r="MQ58" s="38"/>
      <c r="MR58" s="38"/>
      <c r="MS58" s="38"/>
      <c r="MT58" s="38"/>
      <c r="MU58" s="38"/>
      <c r="MV58" s="38"/>
      <c r="MW58" s="38"/>
      <c r="MX58" s="38"/>
      <c r="MY58" s="38"/>
      <c r="MZ58" s="38"/>
      <c r="NA58" s="38"/>
      <c r="NB58" s="38"/>
      <c r="NC58" s="38"/>
      <c r="ND58" s="38"/>
      <c r="NE58" s="38"/>
      <c r="NF58" s="38"/>
      <c r="NG58" s="38"/>
      <c r="NH58" s="38"/>
      <c r="NI58" s="38"/>
      <c r="NJ58" s="38"/>
      <c r="NK58" s="38"/>
      <c r="NL58" s="38"/>
      <c r="NM58" s="38"/>
      <c r="NN58" s="38"/>
      <c r="NO58" s="38"/>
      <c r="NP58" s="38"/>
      <c r="NQ58" s="38"/>
      <c r="NR58" s="38"/>
      <c r="NS58" s="38"/>
      <c r="NT58" s="38"/>
      <c r="NU58" s="38"/>
      <c r="NV58" s="38"/>
      <c r="NW58" s="38"/>
      <c r="NX58" s="38"/>
      <c r="NY58" s="38"/>
      <c r="NZ58" s="38"/>
      <c r="OA58" s="38"/>
      <c r="OB58" s="38"/>
      <c r="OC58" s="38"/>
      <c r="OD58" s="38"/>
      <c r="OE58" s="38"/>
      <c r="OF58" s="38"/>
      <c r="OG58" s="38"/>
      <c r="OH58" s="38"/>
      <c r="OI58" s="38"/>
      <c r="OJ58" s="38"/>
      <c r="OK58" s="38"/>
      <c r="OL58" s="38"/>
      <c r="OM58" s="38"/>
      <c r="ON58" s="38"/>
      <c r="OO58" s="38"/>
      <c r="OP58" s="38"/>
      <c r="OQ58" s="38"/>
      <c r="OR58" s="38"/>
      <c r="OS58" s="38"/>
      <c r="OT58" s="38"/>
      <c r="OU58" s="38"/>
      <c r="OV58" s="38"/>
      <c r="OW58" s="38"/>
      <c r="OX58" s="38"/>
      <c r="OY58" s="38"/>
      <c r="OZ58" s="38"/>
      <c r="PA58" s="38"/>
      <c r="PB58" s="38"/>
      <c r="PC58" s="38"/>
      <c r="PD58" s="38"/>
      <c r="PE58" s="38"/>
      <c r="PF58" s="38"/>
      <c r="PG58" s="38"/>
      <c r="PH58" s="38"/>
      <c r="PI58" s="38"/>
      <c r="PJ58" s="38"/>
      <c r="PK58" s="38"/>
      <c r="PL58" s="38"/>
      <c r="PM58" s="38"/>
      <c r="PN58" s="38"/>
      <c r="PO58" s="38"/>
      <c r="PP58" s="38"/>
      <c r="PQ58" s="38"/>
      <c r="PR58" s="38"/>
      <c r="PS58" s="38"/>
      <c r="PT58" s="38"/>
      <c r="PU58" s="38"/>
      <c r="PV58" s="38"/>
      <c r="PW58" s="38"/>
      <c r="PX58" s="38"/>
      <c r="PY58" s="38"/>
      <c r="PZ58" s="38"/>
      <c r="QA58" s="38"/>
      <c r="QB58" s="38"/>
      <c r="QC58" s="38"/>
      <c r="QD58" s="38"/>
      <c r="QE58" s="38"/>
      <c r="QF58" s="38"/>
      <c r="QG58" s="38"/>
      <c r="QH58" s="38"/>
      <c r="QI58" s="38"/>
      <c r="QJ58" s="38"/>
      <c r="QK58" s="38"/>
      <c r="QL58" s="38"/>
      <c r="QM58" s="38"/>
      <c r="QN58" s="38"/>
      <c r="QO58" s="38"/>
      <c r="QP58" s="38"/>
      <c r="QQ58" s="38"/>
      <c r="QR58" s="38"/>
      <c r="QS58" s="38"/>
      <c r="QT58" s="38"/>
      <c r="QU58" s="38"/>
      <c r="QV58" s="38"/>
      <c r="QW58" s="38"/>
      <c r="QX58" s="38"/>
      <c r="QY58" s="38"/>
      <c r="QZ58" s="38"/>
      <c r="RA58" s="38"/>
      <c r="RB58" s="38"/>
      <c r="RC58" s="38"/>
      <c r="RD58" s="38"/>
      <c r="RE58" s="38"/>
      <c r="RF58" s="38"/>
      <c r="RG58" s="38"/>
      <c r="RH58" s="38"/>
      <c r="RI58" s="38"/>
      <c r="RJ58" s="38"/>
      <c r="RK58" s="38"/>
      <c r="RL58" s="38"/>
      <c r="RM58" s="38"/>
      <c r="RN58" s="38"/>
      <c r="RO58" s="38"/>
      <c r="RP58" s="38"/>
      <c r="RQ58" s="38"/>
      <c r="RR58" s="38"/>
      <c r="RS58" s="38"/>
      <c r="RT58" s="38"/>
      <c r="RU58" s="38"/>
      <c r="RV58" s="38"/>
      <c r="RW58" s="38"/>
      <c r="RX58" s="38"/>
      <c r="RY58" s="38"/>
      <c r="RZ58" s="38"/>
      <c r="SA58" s="38"/>
      <c r="SB58" s="38"/>
      <c r="SC58" s="38"/>
      <c r="SD58" s="38"/>
      <c r="SE58" s="38"/>
      <c r="SF58" s="38"/>
      <c r="SG58" s="38"/>
      <c r="SH58" s="38"/>
      <c r="SI58" s="38"/>
      <c r="SJ58" s="38"/>
      <c r="SK58" s="38"/>
      <c r="SL58" s="38"/>
      <c r="SM58" s="38"/>
      <c r="SN58" s="38"/>
      <c r="SO58" s="38"/>
      <c r="SP58" s="38"/>
      <c r="SQ58" s="38"/>
      <c r="SR58" s="38"/>
      <c r="SS58" s="38"/>
      <c r="ST58" s="38"/>
      <c r="SU58" s="38"/>
      <c r="SV58" s="38"/>
      <c r="SW58" s="38"/>
      <c r="SX58" s="38"/>
      <c r="SY58" s="38"/>
      <c r="SZ58" s="38"/>
      <c r="TA58" s="38"/>
      <c r="TB58" s="38"/>
      <c r="TC58" s="38"/>
      <c r="TD58" s="38"/>
      <c r="TE58" s="38"/>
      <c r="TF58" s="38"/>
      <c r="TG58" s="38"/>
      <c r="TH58" s="38"/>
      <c r="TI58" s="38"/>
      <c r="TJ58" s="38"/>
      <c r="TK58" s="38"/>
      <c r="TL58" s="38"/>
      <c r="TM58" s="38"/>
    </row>
    <row r="59" spans="1:533" s="39" customFormat="1" ht="18.75" x14ac:dyDescent="0.25">
      <c r="B59" s="40" t="s">
        <v>121</v>
      </c>
      <c r="C59" s="84" t="s">
        <v>123</v>
      </c>
      <c r="D59" s="56" t="s">
        <v>124</v>
      </c>
      <c r="E59" s="43" t="s">
        <v>29</v>
      </c>
      <c r="F59" s="53">
        <v>164</v>
      </c>
      <c r="G59" s="58"/>
      <c r="H59" s="46"/>
      <c r="I59" s="47">
        <f t="shared" ref="I59" si="8">F59*G59</f>
        <v>0</v>
      </c>
      <c r="J59" s="48">
        <v>2017</v>
      </c>
      <c r="K59" s="47" t="s">
        <v>30</v>
      </c>
      <c r="L59" s="49"/>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c r="DA59" s="38"/>
      <c r="DB59" s="38"/>
      <c r="DC59" s="38"/>
      <c r="DD59" s="38"/>
      <c r="DE59" s="38"/>
      <c r="DF59" s="38"/>
      <c r="DG59" s="38"/>
      <c r="DH59" s="38"/>
      <c r="DI59" s="38"/>
      <c r="DJ59" s="38"/>
      <c r="DK59" s="38"/>
      <c r="DL59" s="38"/>
      <c r="DM59" s="38"/>
      <c r="DN59" s="38"/>
      <c r="DO59" s="38"/>
      <c r="DP59" s="38"/>
      <c r="DQ59" s="38"/>
      <c r="DR59" s="38"/>
      <c r="DS59" s="38"/>
      <c r="DT59" s="38"/>
      <c r="DU59" s="38"/>
      <c r="DV59" s="38"/>
      <c r="DW59" s="38"/>
      <c r="DX59" s="38"/>
      <c r="DY59" s="38"/>
      <c r="DZ59" s="38"/>
      <c r="EA59" s="38"/>
      <c r="EB59" s="38"/>
      <c r="EC59" s="38"/>
      <c r="ED59" s="38"/>
      <c r="EE59" s="38"/>
      <c r="EF59" s="38"/>
      <c r="EG59" s="38"/>
      <c r="EH59" s="38"/>
      <c r="EI59" s="38"/>
      <c r="EJ59" s="38"/>
      <c r="EK59" s="38"/>
      <c r="EL59" s="38"/>
      <c r="EM59" s="38"/>
      <c r="EN59" s="38"/>
      <c r="EO59" s="38"/>
      <c r="EP59" s="38"/>
      <c r="EQ59" s="38"/>
      <c r="ER59" s="38"/>
      <c r="ES59" s="38"/>
      <c r="ET59" s="38"/>
      <c r="EU59" s="38"/>
      <c r="EV59" s="38"/>
      <c r="EW59" s="38"/>
      <c r="EX59" s="38"/>
      <c r="EY59" s="38"/>
      <c r="EZ59" s="38"/>
      <c r="FA59" s="38"/>
      <c r="FB59" s="38"/>
      <c r="FC59" s="38"/>
      <c r="FD59" s="38"/>
      <c r="FE59" s="38"/>
      <c r="FF59" s="38"/>
      <c r="FG59" s="38"/>
      <c r="FH59" s="38"/>
      <c r="FI59" s="38"/>
      <c r="FJ59" s="38"/>
      <c r="FK59" s="38"/>
      <c r="FL59" s="38"/>
      <c r="FM59" s="38"/>
      <c r="FN59" s="38"/>
      <c r="FO59" s="38"/>
      <c r="FP59" s="38"/>
      <c r="FQ59" s="38"/>
      <c r="FR59" s="38"/>
      <c r="FS59" s="38"/>
      <c r="FT59" s="38"/>
      <c r="FU59" s="38"/>
      <c r="FV59" s="38"/>
      <c r="FW59" s="38"/>
      <c r="FX59" s="38"/>
      <c r="FY59" s="38"/>
      <c r="FZ59" s="38"/>
      <c r="GA59" s="38"/>
      <c r="GB59" s="38"/>
      <c r="GC59" s="38"/>
      <c r="GD59" s="38"/>
      <c r="GE59" s="38"/>
      <c r="GF59" s="38"/>
      <c r="GG59" s="38"/>
      <c r="GH59" s="38"/>
      <c r="GI59" s="38"/>
      <c r="GJ59" s="38"/>
      <c r="GK59" s="38"/>
      <c r="GL59" s="38"/>
      <c r="GM59" s="38"/>
      <c r="GN59" s="38"/>
      <c r="GO59" s="38"/>
      <c r="GP59" s="38"/>
      <c r="GQ59" s="38"/>
      <c r="GR59" s="38"/>
      <c r="GS59" s="38"/>
      <c r="GT59" s="38"/>
      <c r="GU59" s="38"/>
      <c r="GV59" s="38"/>
      <c r="GW59" s="38"/>
      <c r="GX59" s="38"/>
      <c r="GY59" s="38"/>
      <c r="GZ59" s="38"/>
      <c r="HA59" s="38"/>
      <c r="HB59" s="38"/>
      <c r="HC59" s="38"/>
      <c r="HD59" s="38"/>
      <c r="HE59" s="38"/>
      <c r="HF59" s="38"/>
      <c r="HG59" s="38"/>
      <c r="HH59" s="38"/>
      <c r="HI59" s="38"/>
      <c r="HJ59" s="38"/>
      <c r="HK59" s="38"/>
      <c r="HL59" s="38"/>
      <c r="HM59" s="38"/>
      <c r="HN59" s="38"/>
      <c r="HO59" s="38"/>
      <c r="HP59" s="38"/>
      <c r="HQ59" s="38"/>
      <c r="HR59" s="38"/>
      <c r="HS59" s="38"/>
      <c r="HT59" s="38"/>
      <c r="HU59" s="38"/>
      <c r="HV59" s="38"/>
      <c r="HW59" s="38"/>
      <c r="HX59" s="38"/>
      <c r="HY59" s="38"/>
      <c r="HZ59" s="38"/>
      <c r="IA59" s="38"/>
      <c r="IB59" s="38"/>
      <c r="IC59" s="38"/>
      <c r="ID59" s="38"/>
      <c r="IE59" s="38"/>
      <c r="IF59" s="38"/>
      <c r="IG59" s="38"/>
      <c r="IH59" s="38"/>
      <c r="II59" s="38"/>
      <c r="IJ59" s="38"/>
      <c r="IK59" s="38"/>
      <c r="IL59" s="38"/>
      <c r="IM59" s="38"/>
      <c r="IN59" s="38"/>
      <c r="IO59" s="38"/>
      <c r="IP59" s="38"/>
      <c r="IQ59" s="38"/>
      <c r="IR59" s="38"/>
      <c r="IS59" s="38"/>
      <c r="IT59" s="38"/>
      <c r="IU59" s="38"/>
      <c r="IV59" s="38"/>
      <c r="IW59" s="38"/>
      <c r="IX59" s="38"/>
      <c r="IY59" s="38"/>
      <c r="IZ59" s="38"/>
      <c r="JA59" s="38"/>
      <c r="JB59" s="38"/>
      <c r="JC59" s="38"/>
      <c r="JD59" s="38"/>
      <c r="JE59" s="38"/>
      <c r="JF59" s="38"/>
      <c r="JG59" s="38"/>
      <c r="JH59" s="38"/>
      <c r="JI59" s="38"/>
      <c r="JJ59" s="38"/>
      <c r="JK59" s="38"/>
      <c r="JL59" s="38"/>
      <c r="JM59" s="38"/>
      <c r="JN59" s="38"/>
      <c r="JO59" s="38"/>
      <c r="JP59" s="38"/>
      <c r="JQ59" s="38"/>
      <c r="JR59" s="38"/>
      <c r="JS59" s="38"/>
      <c r="JT59" s="38"/>
      <c r="JU59" s="38"/>
      <c r="JV59" s="38"/>
      <c r="JW59" s="38"/>
      <c r="JX59" s="38"/>
      <c r="JY59" s="38"/>
      <c r="JZ59" s="38"/>
      <c r="KA59" s="38"/>
      <c r="KB59" s="38"/>
      <c r="KC59" s="38"/>
      <c r="KD59" s="38"/>
      <c r="KE59" s="38"/>
      <c r="KF59" s="38"/>
      <c r="KG59" s="38"/>
      <c r="KH59" s="38"/>
      <c r="KI59" s="38"/>
      <c r="KJ59" s="38"/>
      <c r="KK59" s="38"/>
      <c r="KL59" s="38"/>
      <c r="KM59" s="38"/>
      <c r="KN59" s="38"/>
      <c r="KO59" s="38"/>
      <c r="KP59" s="38"/>
      <c r="KQ59" s="38"/>
      <c r="KR59" s="38"/>
      <c r="KS59" s="38"/>
      <c r="KT59" s="38"/>
      <c r="KU59" s="38"/>
      <c r="KV59" s="38"/>
      <c r="KW59" s="38"/>
      <c r="KX59" s="38"/>
      <c r="KY59" s="38"/>
      <c r="KZ59" s="38"/>
      <c r="LA59" s="38"/>
      <c r="LB59" s="38"/>
      <c r="LC59" s="38"/>
      <c r="LD59" s="38"/>
      <c r="LE59" s="38"/>
      <c r="LF59" s="38"/>
      <c r="LG59" s="38"/>
      <c r="LH59" s="38"/>
      <c r="LI59" s="38"/>
      <c r="LJ59" s="38"/>
      <c r="LK59" s="38"/>
      <c r="LL59" s="38"/>
      <c r="LM59" s="38"/>
      <c r="LN59" s="38"/>
      <c r="LO59" s="38"/>
      <c r="LP59" s="38"/>
      <c r="LQ59" s="38"/>
      <c r="LR59" s="38"/>
      <c r="LS59" s="38"/>
      <c r="LT59" s="38"/>
      <c r="LU59" s="38"/>
      <c r="LV59" s="38"/>
      <c r="LW59" s="38"/>
      <c r="LX59" s="38"/>
      <c r="LY59" s="38"/>
      <c r="LZ59" s="38"/>
      <c r="MA59" s="38"/>
      <c r="MB59" s="38"/>
      <c r="MC59" s="38"/>
      <c r="MD59" s="38"/>
      <c r="ME59" s="38"/>
      <c r="MF59" s="38"/>
      <c r="MG59" s="38"/>
      <c r="MH59" s="38"/>
      <c r="MI59" s="38"/>
      <c r="MJ59" s="38"/>
      <c r="MK59" s="38"/>
      <c r="ML59" s="38"/>
      <c r="MM59" s="38"/>
      <c r="MN59" s="38"/>
      <c r="MO59" s="38"/>
      <c r="MP59" s="38"/>
      <c r="MQ59" s="38"/>
      <c r="MR59" s="38"/>
      <c r="MS59" s="38"/>
      <c r="MT59" s="38"/>
      <c r="MU59" s="38"/>
      <c r="MV59" s="38"/>
      <c r="MW59" s="38"/>
      <c r="MX59" s="38"/>
      <c r="MY59" s="38"/>
      <c r="MZ59" s="38"/>
      <c r="NA59" s="38"/>
      <c r="NB59" s="38"/>
      <c r="NC59" s="38"/>
      <c r="ND59" s="38"/>
      <c r="NE59" s="38"/>
      <c r="NF59" s="38"/>
      <c r="NG59" s="38"/>
      <c r="NH59" s="38"/>
      <c r="NI59" s="38"/>
      <c r="NJ59" s="38"/>
      <c r="NK59" s="38"/>
      <c r="NL59" s="38"/>
      <c r="NM59" s="38"/>
      <c r="NN59" s="38"/>
      <c r="NO59" s="38"/>
      <c r="NP59" s="38"/>
      <c r="NQ59" s="38"/>
      <c r="NR59" s="38"/>
      <c r="NS59" s="38"/>
      <c r="NT59" s="38"/>
      <c r="NU59" s="38"/>
      <c r="NV59" s="38"/>
      <c r="NW59" s="38"/>
      <c r="NX59" s="38"/>
      <c r="NY59" s="38"/>
      <c r="NZ59" s="38"/>
      <c r="OA59" s="38"/>
      <c r="OB59" s="38"/>
      <c r="OC59" s="38"/>
      <c r="OD59" s="38"/>
      <c r="OE59" s="38"/>
      <c r="OF59" s="38"/>
      <c r="OG59" s="38"/>
      <c r="OH59" s="38"/>
      <c r="OI59" s="38"/>
      <c r="OJ59" s="38"/>
      <c r="OK59" s="38"/>
      <c r="OL59" s="38"/>
      <c r="OM59" s="38"/>
      <c r="ON59" s="38"/>
      <c r="OO59" s="38"/>
      <c r="OP59" s="38"/>
      <c r="OQ59" s="38"/>
      <c r="OR59" s="38"/>
      <c r="OS59" s="38"/>
      <c r="OT59" s="38"/>
      <c r="OU59" s="38"/>
      <c r="OV59" s="38"/>
      <c r="OW59" s="38"/>
      <c r="OX59" s="38"/>
      <c r="OY59" s="38"/>
      <c r="OZ59" s="38"/>
      <c r="PA59" s="38"/>
      <c r="PB59" s="38"/>
      <c r="PC59" s="38"/>
      <c r="PD59" s="38"/>
      <c r="PE59" s="38"/>
      <c r="PF59" s="38"/>
      <c r="PG59" s="38"/>
      <c r="PH59" s="38"/>
      <c r="PI59" s="38"/>
      <c r="PJ59" s="38"/>
      <c r="PK59" s="38"/>
      <c r="PL59" s="38"/>
      <c r="PM59" s="38"/>
      <c r="PN59" s="38"/>
      <c r="PO59" s="38"/>
      <c r="PP59" s="38"/>
      <c r="PQ59" s="38"/>
      <c r="PR59" s="38"/>
      <c r="PS59" s="38"/>
      <c r="PT59" s="38"/>
      <c r="PU59" s="38"/>
      <c r="PV59" s="38"/>
      <c r="PW59" s="38"/>
      <c r="PX59" s="38"/>
      <c r="PY59" s="38"/>
      <c r="PZ59" s="38"/>
      <c r="QA59" s="38"/>
      <c r="QB59" s="38"/>
      <c r="QC59" s="38"/>
      <c r="QD59" s="38"/>
      <c r="QE59" s="38"/>
      <c r="QF59" s="38"/>
      <c r="QG59" s="38"/>
      <c r="QH59" s="38"/>
      <c r="QI59" s="38"/>
      <c r="QJ59" s="38"/>
      <c r="QK59" s="38"/>
      <c r="QL59" s="38"/>
      <c r="QM59" s="38"/>
      <c r="QN59" s="38"/>
      <c r="QO59" s="38"/>
      <c r="QP59" s="38"/>
      <c r="QQ59" s="38"/>
      <c r="QR59" s="38"/>
      <c r="QS59" s="38"/>
      <c r="QT59" s="38"/>
      <c r="QU59" s="38"/>
      <c r="QV59" s="38"/>
      <c r="QW59" s="38"/>
      <c r="QX59" s="38"/>
      <c r="QY59" s="38"/>
      <c r="QZ59" s="38"/>
      <c r="RA59" s="38"/>
      <c r="RB59" s="38"/>
      <c r="RC59" s="38"/>
      <c r="RD59" s="38"/>
      <c r="RE59" s="38"/>
      <c r="RF59" s="38"/>
      <c r="RG59" s="38"/>
      <c r="RH59" s="38"/>
      <c r="RI59" s="38"/>
      <c r="RJ59" s="38"/>
      <c r="RK59" s="38"/>
      <c r="RL59" s="38"/>
      <c r="RM59" s="38"/>
      <c r="RN59" s="38"/>
      <c r="RO59" s="38"/>
      <c r="RP59" s="38"/>
      <c r="RQ59" s="38"/>
      <c r="RR59" s="38"/>
      <c r="RS59" s="38"/>
      <c r="RT59" s="38"/>
      <c r="RU59" s="38"/>
      <c r="RV59" s="38"/>
      <c r="RW59" s="38"/>
      <c r="RX59" s="38"/>
      <c r="RY59" s="38"/>
      <c r="RZ59" s="38"/>
      <c r="SA59" s="38"/>
      <c r="SB59" s="38"/>
      <c r="SC59" s="38"/>
      <c r="SD59" s="38"/>
      <c r="SE59" s="38"/>
      <c r="SF59" s="38"/>
      <c r="SG59" s="38"/>
      <c r="SH59" s="38"/>
      <c r="SI59" s="38"/>
      <c r="SJ59" s="38"/>
      <c r="SK59" s="38"/>
      <c r="SL59" s="38"/>
      <c r="SM59" s="38"/>
      <c r="SN59" s="38"/>
      <c r="SO59" s="38"/>
      <c r="SP59" s="38"/>
      <c r="SQ59" s="38"/>
      <c r="SR59" s="38"/>
      <c r="SS59" s="38"/>
      <c r="ST59" s="38"/>
      <c r="SU59" s="38"/>
      <c r="SV59" s="38"/>
      <c r="SW59" s="38"/>
      <c r="SX59" s="38"/>
      <c r="SY59" s="38"/>
      <c r="SZ59" s="38"/>
      <c r="TA59" s="38"/>
      <c r="TB59" s="38"/>
      <c r="TC59" s="38"/>
      <c r="TD59" s="38"/>
      <c r="TE59" s="38"/>
      <c r="TF59" s="38"/>
      <c r="TG59" s="38"/>
      <c r="TH59" s="38"/>
      <c r="TI59" s="38"/>
      <c r="TJ59" s="38"/>
      <c r="TK59" s="38"/>
      <c r="TL59" s="38"/>
      <c r="TM59" s="38"/>
    </row>
    <row r="60" spans="1:533" s="39" customFormat="1" ht="187.5" x14ac:dyDescent="0.25">
      <c r="B60" s="50" t="s">
        <v>125</v>
      </c>
      <c r="C60" s="41"/>
      <c r="D60" s="63" t="s">
        <v>126</v>
      </c>
      <c r="E60" s="86"/>
      <c r="F60" s="53"/>
      <c r="G60" s="58"/>
      <c r="H60" s="46"/>
      <c r="I60" s="55"/>
      <c r="J60" s="48"/>
      <c r="K60" s="47"/>
      <c r="L60" s="49"/>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c r="DA60" s="38"/>
      <c r="DB60" s="38"/>
      <c r="DC60" s="38"/>
      <c r="DD60" s="38"/>
      <c r="DE60" s="38"/>
      <c r="DF60" s="38"/>
      <c r="DG60" s="38"/>
      <c r="DH60" s="38"/>
      <c r="DI60" s="38"/>
      <c r="DJ60" s="38"/>
      <c r="DK60" s="38"/>
      <c r="DL60" s="38"/>
      <c r="DM60" s="38"/>
      <c r="DN60" s="38"/>
      <c r="DO60" s="38"/>
      <c r="DP60" s="38"/>
      <c r="DQ60" s="38"/>
      <c r="DR60" s="38"/>
      <c r="DS60" s="38"/>
      <c r="DT60" s="38"/>
      <c r="DU60" s="38"/>
      <c r="DV60" s="38"/>
      <c r="DW60" s="38"/>
      <c r="DX60" s="38"/>
      <c r="DY60" s="38"/>
      <c r="DZ60" s="38"/>
      <c r="EA60" s="38"/>
      <c r="EB60" s="38"/>
      <c r="EC60" s="38"/>
      <c r="ED60" s="38"/>
      <c r="EE60" s="38"/>
      <c r="EF60" s="38"/>
      <c r="EG60" s="38"/>
      <c r="EH60" s="38"/>
      <c r="EI60" s="38"/>
      <c r="EJ60" s="38"/>
      <c r="EK60" s="38"/>
      <c r="EL60" s="38"/>
      <c r="EM60" s="38"/>
      <c r="EN60" s="38"/>
      <c r="EO60" s="38"/>
      <c r="EP60" s="38"/>
      <c r="EQ60" s="38"/>
      <c r="ER60" s="38"/>
      <c r="ES60" s="38"/>
      <c r="ET60" s="38"/>
      <c r="EU60" s="38"/>
      <c r="EV60" s="38"/>
      <c r="EW60" s="38"/>
      <c r="EX60" s="38"/>
      <c r="EY60" s="38"/>
      <c r="EZ60" s="38"/>
      <c r="FA60" s="38"/>
      <c r="FB60" s="38"/>
      <c r="FC60" s="38"/>
      <c r="FD60" s="38"/>
      <c r="FE60" s="38"/>
      <c r="FF60" s="38"/>
      <c r="FG60" s="38"/>
      <c r="FH60" s="38"/>
      <c r="FI60" s="38"/>
      <c r="FJ60" s="38"/>
      <c r="FK60" s="38"/>
      <c r="FL60" s="38"/>
      <c r="FM60" s="38"/>
      <c r="FN60" s="38"/>
      <c r="FO60" s="38"/>
      <c r="FP60" s="38"/>
      <c r="FQ60" s="38"/>
      <c r="FR60" s="38"/>
      <c r="FS60" s="38"/>
      <c r="FT60" s="38"/>
      <c r="FU60" s="38"/>
      <c r="FV60" s="38"/>
      <c r="FW60" s="38"/>
      <c r="FX60" s="38"/>
      <c r="FY60" s="38"/>
      <c r="FZ60" s="38"/>
      <c r="GA60" s="38"/>
      <c r="GB60" s="38"/>
      <c r="GC60" s="38"/>
      <c r="GD60" s="38"/>
      <c r="GE60" s="38"/>
      <c r="GF60" s="38"/>
      <c r="GG60" s="38"/>
      <c r="GH60" s="38"/>
      <c r="GI60" s="38"/>
      <c r="GJ60" s="38"/>
      <c r="GK60" s="38"/>
      <c r="GL60" s="38"/>
      <c r="GM60" s="38"/>
      <c r="GN60" s="38"/>
      <c r="GO60" s="38"/>
      <c r="GP60" s="38"/>
      <c r="GQ60" s="38"/>
      <c r="GR60" s="38"/>
      <c r="GS60" s="38"/>
      <c r="GT60" s="38"/>
      <c r="GU60" s="38"/>
      <c r="GV60" s="38"/>
      <c r="GW60" s="38"/>
      <c r="GX60" s="38"/>
      <c r="GY60" s="38"/>
      <c r="GZ60" s="38"/>
      <c r="HA60" s="38"/>
      <c r="HB60" s="38"/>
      <c r="HC60" s="38"/>
      <c r="HD60" s="38"/>
      <c r="HE60" s="38"/>
      <c r="HF60" s="38"/>
      <c r="HG60" s="38"/>
      <c r="HH60" s="38"/>
      <c r="HI60" s="38"/>
      <c r="HJ60" s="38"/>
      <c r="HK60" s="38"/>
      <c r="HL60" s="38"/>
      <c r="HM60" s="38"/>
      <c r="HN60" s="38"/>
      <c r="HO60" s="38"/>
      <c r="HP60" s="38"/>
      <c r="HQ60" s="38"/>
      <c r="HR60" s="38"/>
      <c r="HS60" s="38"/>
      <c r="HT60" s="38"/>
      <c r="HU60" s="38"/>
      <c r="HV60" s="38"/>
      <c r="HW60" s="38"/>
      <c r="HX60" s="38"/>
      <c r="HY60" s="38"/>
      <c r="HZ60" s="38"/>
      <c r="IA60" s="38"/>
      <c r="IB60" s="38"/>
      <c r="IC60" s="38"/>
      <c r="ID60" s="38"/>
      <c r="IE60" s="38"/>
      <c r="IF60" s="38"/>
      <c r="IG60" s="38"/>
      <c r="IH60" s="38"/>
      <c r="II60" s="38"/>
      <c r="IJ60" s="38"/>
      <c r="IK60" s="38"/>
      <c r="IL60" s="38"/>
      <c r="IM60" s="38"/>
      <c r="IN60" s="38"/>
      <c r="IO60" s="38"/>
      <c r="IP60" s="38"/>
      <c r="IQ60" s="38"/>
      <c r="IR60" s="38"/>
      <c r="IS60" s="38"/>
      <c r="IT60" s="38"/>
      <c r="IU60" s="38"/>
      <c r="IV60" s="38"/>
      <c r="IW60" s="38"/>
      <c r="IX60" s="38"/>
      <c r="IY60" s="38"/>
      <c r="IZ60" s="38"/>
      <c r="JA60" s="38"/>
      <c r="JB60" s="38"/>
      <c r="JC60" s="38"/>
      <c r="JD60" s="38"/>
      <c r="JE60" s="38"/>
      <c r="JF60" s="38"/>
      <c r="JG60" s="38"/>
      <c r="JH60" s="38"/>
      <c r="JI60" s="38"/>
      <c r="JJ60" s="38"/>
      <c r="JK60" s="38"/>
      <c r="JL60" s="38"/>
      <c r="JM60" s="38"/>
      <c r="JN60" s="38"/>
      <c r="JO60" s="38"/>
      <c r="JP60" s="38"/>
      <c r="JQ60" s="38"/>
      <c r="JR60" s="38"/>
      <c r="JS60" s="38"/>
      <c r="JT60" s="38"/>
      <c r="JU60" s="38"/>
      <c r="JV60" s="38"/>
      <c r="JW60" s="38"/>
      <c r="JX60" s="38"/>
      <c r="JY60" s="38"/>
      <c r="JZ60" s="38"/>
      <c r="KA60" s="38"/>
      <c r="KB60" s="38"/>
      <c r="KC60" s="38"/>
      <c r="KD60" s="38"/>
      <c r="KE60" s="38"/>
      <c r="KF60" s="38"/>
      <c r="KG60" s="38"/>
      <c r="KH60" s="38"/>
      <c r="KI60" s="38"/>
      <c r="KJ60" s="38"/>
      <c r="KK60" s="38"/>
      <c r="KL60" s="38"/>
      <c r="KM60" s="38"/>
      <c r="KN60" s="38"/>
      <c r="KO60" s="38"/>
      <c r="KP60" s="38"/>
      <c r="KQ60" s="38"/>
      <c r="KR60" s="38"/>
      <c r="KS60" s="38"/>
      <c r="KT60" s="38"/>
      <c r="KU60" s="38"/>
      <c r="KV60" s="38"/>
      <c r="KW60" s="38"/>
      <c r="KX60" s="38"/>
      <c r="KY60" s="38"/>
      <c r="KZ60" s="38"/>
      <c r="LA60" s="38"/>
      <c r="LB60" s="38"/>
      <c r="LC60" s="38"/>
      <c r="LD60" s="38"/>
      <c r="LE60" s="38"/>
      <c r="LF60" s="38"/>
      <c r="LG60" s="38"/>
      <c r="LH60" s="38"/>
      <c r="LI60" s="38"/>
      <c r="LJ60" s="38"/>
      <c r="LK60" s="38"/>
      <c r="LL60" s="38"/>
      <c r="LM60" s="38"/>
      <c r="LN60" s="38"/>
      <c r="LO60" s="38"/>
      <c r="LP60" s="38"/>
      <c r="LQ60" s="38"/>
      <c r="LR60" s="38"/>
      <c r="LS60" s="38"/>
      <c r="LT60" s="38"/>
      <c r="LU60" s="38"/>
      <c r="LV60" s="38"/>
      <c r="LW60" s="38"/>
      <c r="LX60" s="38"/>
      <c r="LY60" s="38"/>
      <c r="LZ60" s="38"/>
      <c r="MA60" s="38"/>
      <c r="MB60" s="38"/>
      <c r="MC60" s="38"/>
      <c r="MD60" s="38"/>
      <c r="ME60" s="38"/>
      <c r="MF60" s="38"/>
      <c r="MG60" s="38"/>
      <c r="MH60" s="38"/>
      <c r="MI60" s="38"/>
      <c r="MJ60" s="38"/>
      <c r="MK60" s="38"/>
      <c r="ML60" s="38"/>
      <c r="MM60" s="38"/>
      <c r="MN60" s="38"/>
      <c r="MO60" s="38"/>
      <c r="MP60" s="38"/>
      <c r="MQ60" s="38"/>
      <c r="MR60" s="38"/>
      <c r="MS60" s="38"/>
      <c r="MT60" s="38"/>
      <c r="MU60" s="38"/>
      <c r="MV60" s="38"/>
      <c r="MW60" s="38"/>
      <c r="MX60" s="38"/>
      <c r="MY60" s="38"/>
      <c r="MZ60" s="38"/>
      <c r="NA60" s="38"/>
      <c r="NB60" s="38"/>
      <c r="NC60" s="38"/>
      <c r="ND60" s="38"/>
      <c r="NE60" s="38"/>
      <c r="NF60" s="38"/>
      <c r="NG60" s="38"/>
      <c r="NH60" s="38"/>
      <c r="NI60" s="38"/>
      <c r="NJ60" s="38"/>
      <c r="NK60" s="38"/>
      <c r="NL60" s="38"/>
      <c r="NM60" s="38"/>
      <c r="NN60" s="38"/>
      <c r="NO60" s="38"/>
      <c r="NP60" s="38"/>
      <c r="NQ60" s="38"/>
      <c r="NR60" s="38"/>
      <c r="NS60" s="38"/>
      <c r="NT60" s="38"/>
      <c r="NU60" s="38"/>
      <c r="NV60" s="38"/>
      <c r="NW60" s="38"/>
      <c r="NX60" s="38"/>
      <c r="NY60" s="38"/>
      <c r="NZ60" s="38"/>
      <c r="OA60" s="38"/>
      <c r="OB60" s="38"/>
      <c r="OC60" s="38"/>
      <c r="OD60" s="38"/>
      <c r="OE60" s="38"/>
      <c r="OF60" s="38"/>
      <c r="OG60" s="38"/>
      <c r="OH60" s="38"/>
      <c r="OI60" s="38"/>
      <c r="OJ60" s="38"/>
      <c r="OK60" s="38"/>
      <c r="OL60" s="38"/>
      <c r="OM60" s="38"/>
      <c r="ON60" s="38"/>
      <c r="OO60" s="38"/>
      <c r="OP60" s="38"/>
      <c r="OQ60" s="38"/>
      <c r="OR60" s="38"/>
      <c r="OS60" s="38"/>
      <c r="OT60" s="38"/>
      <c r="OU60" s="38"/>
      <c r="OV60" s="38"/>
      <c r="OW60" s="38"/>
      <c r="OX60" s="38"/>
      <c r="OY60" s="38"/>
      <c r="OZ60" s="38"/>
      <c r="PA60" s="38"/>
      <c r="PB60" s="38"/>
      <c r="PC60" s="38"/>
      <c r="PD60" s="38"/>
      <c r="PE60" s="38"/>
      <c r="PF60" s="38"/>
      <c r="PG60" s="38"/>
      <c r="PH60" s="38"/>
      <c r="PI60" s="38"/>
      <c r="PJ60" s="38"/>
      <c r="PK60" s="38"/>
      <c r="PL60" s="38"/>
      <c r="PM60" s="38"/>
      <c r="PN60" s="38"/>
      <c r="PO60" s="38"/>
      <c r="PP60" s="38"/>
      <c r="PQ60" s="38"/>
      <c r="PR60" s="38"/>
      <c r="PS60" s="38"/>
      <c r="PT60" s="38"/>
      <c r="PU60" s="38"/>
      <c r="PV60" s="38"/>
      <c r="PW60" s="38"/>
      <c r="PX60" s="38"/>
      <c r="PY60" s="38"/>
      <c r="PZ60" s="38"/>
      <c r="QA60" s="38"/>
      <c r="QB60" s="38"/>
      <c r="QC60" s="38"/>
      <c r="QD60" s="38"/>
      <c r="QE60" s="38"/>
      <c r="QF60" s="38"/>
      <c r="QG60" s="38"/>
      <c r="QH60" s="38"/>
      <c r="QI60" s="38"/>
      <c r="QJ60" s="38"/>
      <c r="QK60" s="38"/>
      <c r="QL60" s="38"/>
      <c r="QM60" s="38"/>
      <c r="QN60" s="38"/>
      <c r="QO60" s="38"/>
      <c r="QP60" s="38"/>
      <c r="QQ60" s="38"/>
      <c r="QR60" s="38"/>
      <c r="QS60" s="38"/>
      <c r="QT60" s="38"/>
      <c r="QU60" s="38"/>
      <c r="QV60" s="38"/>
      <c r="QW60" s="38"/>
      <c r="QX60" s="38"/>
      <c r="QY60" s="38"/>
      <c r="QZ60" s="38"/>
      <c r="RA60" s="38"/>
      <c r="RB60" s="38"/>
      <c r="RC60" s="38"/>
      <c r="RD60" s="38"/>
      <c r="RE60" s="38"/>
      <c r="RF60" s="38"/>
      <c r="RG60" s="38"/>
      <c r="RH60" s="38"/>
      <c r="RI60" s="38"/>
      <c r="RJ60" s="38"/>
      <c r="RK60" s="38"/>
      <c r="RL60" s="38"/>
      <c r="RM60" s="38"/>
      <c r="RN60" s="38"/>
      <c r="RO60" s="38"/>
      <c r="RP60" s="38"/>
      <c r="RQ60" s="38"/>
      <c r="RR60" s="38"/>
      <c r="RS60" s="38"/>
      <c r="RT60" s="38"/>
      <c r="RU60" s="38"/>
      <c r="RV60" s="38"/>
      <c r="RW60" s="38"/>
      <c r="RX60" s="38"/>
      <c r="RY60" s="38"/>
      <c r="RZ60" s="38"/>
      <c r="SA60" s="38"/>
      <c r="SB60" s="38"/>
      <c r="SC60" s="38"/>
      <c r="SD60" s="38"/>
      <c r="SE60" s="38"/>
      <c r="SF60" s="38"/>
      <c r="SG60" s="38"/>
      <c r="SH60" s="38"/>
      <c r="SI60" s="38"/>
      <c r="SJ60" s="38"/>
      <c r="SK60" s="38"/>
      <c r="SL60" s="38"/>
      <c r="SM60" s="38"/>
      <c r="SN60" s="38"/>
      <c r="SO60" s="38"/>
      <c r="SP60" s="38"/>
      <c r="SQ60" s="38"/>
      <c r="SR60" s="38"/>
      <c r="SS60" s="38"/>
      <c r="ST60" s="38"/>
      <c r="SU60" s="38"/>
      <c r="SV60" s="38"/>
      <c r="SW60" s="38"/>
      <c r="SX60" s="38"/>
      <c r="SY60" s="38"/>
      <c r="SZ60" s="38"/>
      <c r="TA60" s="38"/>
      <c r="TB60" s="38"/>
      <c r="TC60" s="38"/>
      <c r="TD60" s="38"/>
      <c r="TE60" s="38"/>
      <c r="TF60" s="38"/>
      <c r="TG60" s="38"/>
      <c r="TH60" s="38"/>
      <c r="TI60" s="38"/>
      <c r="TJ60" s="38"/>
      <c r="TK60" s="38"/>
      <c r="TL60" s="38"/>
      <c r="TM60" s="38"/>
    </row>
    <row r="61" spans="1:533" s="39" customFormat="1" ht="18.75" x14ac:dyDescent="0.25">
      <c r="B61" s="50" t="s">
        <v>125</v>
      </c>
      <c r="C61" s="41" t="s">
        <v>127</v>
      </c>
      <c r="D61" s="63" t="s">
        <v>128</v>
      </c>
      <c r="E61" s="87"/>
      <c r="F61" s="53"/>
      <c r="G61" s="59"/>
      <c r="H61" s="46"/>
      <c r="I61" s="47"/>
      <c r="J61" s="48"/>
      <c r="K61" s="47" t="s">
        <v>30</v>
      </c>
      <c r="L61" s="49"/>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c r="DA61" s="38"/>
      <c r="DB61" s="38"/>
      <c r="DC61" s="38"/>
      <c r="DD61" s="38"/>
      <c r="DE61" s="38"/>
      <c r="DF61" s="38"/>
      <c r="DG61" s="38"/>
      <c r="DH61" s="38"/>
      <c r="DI61" s="38"/>
      <c r="DJ61" s="38"/>
      <c r="DK61" s="38"/>
      <c r="DL61" s="38"/>
      <c r="DM61" s="38"/>
      <c r="DN61" s="38"/>
      <c r="DO61" s="38"/>
      <c r="DP61" s="38"/>
      <c r="DQ61" s="38"/>
      <c r="DR61" s="38"/>
      <c r="DS61" s="38"/>
      <c r="DT61" s="38"/>
      <c r="DU61" s="38"/>
      <c r="DV61" s="38"/>
      <c r="DW61" s="38"/>
      <c r="DX61" s="38"/>
      <c r="DY61" s="38"/>
      <c r="DZ61" s="38"/>
      <c r="EA61" s="38"/>
      <c r="EB61" s="38"/>
      <c r="EC61" s="38"/>
      <c r="ED61" s="38"/>
      <c r="EE61" s="38"/>
      <c r="EF61" s="38"/>
      <c r="EG61" s="38"/>
      <c r="EH61" s="38"/>
      <c r="EI61" s="38"/>
      <c r="EJ61" s="38"/>
      <c r="EK61" s="38"/>
      <c r="EL61" s="38"/>
      <c r="EM61" s="38"/>
      <c r="EN61" s="38"/>
      <c r="EO61" s="38"/>
      <c r="EP61" s="38"/>
      <c r="EQ61" s="38"/>
      <c r="ER61" s="38"/>
      <c r="ES61" s="38"/>
      <c r="ET61" s="38"/>
      <c r="EU61" s="38"/>
      <c r="EV61" s="38"/>
      <c r="EW61" s="38"/>
      <c r="EX61" s="38"/>
      <c r="EY61" s="38"/>
      <c r="EZ61" s="38"/>
      <c r="FA61" s="38"/>
      <c r="FB61" s="38"/>
      <c r="FC61" s="38"/>
      <c r="FD61" s="38"/>
      <c r="FE61" s="38"/>
      <c r="FF61" s="38"/>
      <c r="FG61" s="38"/>
      <c r="FH61" s="38"/>
      <c r="FI61" s="38"/>
      <c r="FJ61" s="38"/>
      <c r="FK61" s="38"/>
      <c r="FL61" s="38"/>
      <c r="FM61" s="38"/>
      <c r="FN61" s="38"/>
      <c r="FO61" s="38"/>
      <c r="FP61" s="38"/>
      <c r="FQ61" s="38"/>
      <c r="FR61" s="38"/>
      <c r="FS61" s="38"/>
      <c r="FT61" s="38"/>
      <c r="FU61" s="38"/>
      <c r="FV61" s="38"/>
      <c r="FW61" s="38"/>
      <c r="FX61" s="38"/>
      <c r="FY61" s="38"/>
      <c r="FZ61" s="38"/>
      <c r="GA61" s="38"/>
      <c r="GB61" s="38"/>
      <c r="GC61" s="38"/>
      <c r="GD61" s="38"/>
      <c r="GE61" s="38"/>
      <c r="GF61" s="38"/>
      <c r="GG61" s="38"/>
      <c r="GH61" s="38"/>
      <c r="GI61" s="38"/>
      <c r="GJ61" s="38"/>
      <c r="GK61" s="38"/>
      <c r="GL61" s="38"/>
      <c r="GM61" s="38"/>
      <c r="GN61" s="38"/>
      <c r="GO61" s="38"/>
      <c r="GP61" s="38"/>
      <c r="GQ61" s="38"/>
      <c r="GR61" s="38"/>
      <c r="GS61" s="38"/>
      <c r="GT61" s="38"/>
      <c r="GU61" s="38"/>
      <c r="GV61" s="38"/>
      <c r="GW61" s="38"/>
      <c r="GX61" s="38"/>
      <c r="GY61" s="38"/>
      <c r="GZ61" s="38"/>
      <c r="HA61" s="38"/>
      <c r="HB61" s="38"/>
      <c r="HC61" s="38"/>
      <c r="HD61" s="38"/>
      <c r="HE61" s="38"/>
      <c r="HF61" s="38"/>
      <c r="HG61" s="38"/>
      <c r="HH61" s="38"/>
      <c r="HI61" s="38"/>
      <c r="HJ61" s="38"/>
      <c r="HK61" s="38"/>
      <c r="HL61" s="38"/>
      <c r="HM61" s="38"/>
      <c r="HN61" s="38"/>
      <c r="HO61" s="38"/>
      <c r="HP61" s="38"/>
      <c r="HQ61" s="38"/>
      <c r="HR61" s="38"/>
      <c r="HS61" s="38"/>
      <c r="HT61" s="38"/>
      <c r="HU61" s="38"/>
      <c r="HV61" s="38"/>
      <c r="HW61" s="38"/>
      <c r="HX61" s="38"/>
      <c r="HY61" s="38"/>
      <c r="HZ61" s="38"/>
      <c r="IA61" s="38"/>
      <c r="IB61" s="38"/>
      <c r="IC61" s="38"/>
      <c r="ID61" s="38"/>
      <c r="IE61" s="38"/>
      <c r="IF61" s="38"/>
      <c r="IG61" s="38"/>
      <c r="IH61" s="38"/>
      <c r="II61" s="38"/>
      <c r="IJ61" s="38"/>
      <c r="IK61" s="38"/>
      <c r="IL61" s="38"/>
      <c r="IM61" s="38"/>
      <c r="IN61" s="38"/>
      <c r="IO61" s="38"/>
      <c r="IP61" s="38"/>
      <c r="IQ61" s="38"/>
      <c r="IR61" s="38"/>
      <c r="IS61" s="38"/>
      <c r="IT61" s="38"/>
      <c r="IU61" s="38"/>
      <c r="IV61" s="38"/>
      <c r="IW61" s="38"/>
      <c r="IX61" s="38"/>
      <c r="IY61" s="38"/>
      <c r="IZ61" s="38"/>
      <c r="JA61" s="38"/>
      <c r="JB61" s="38"/>
      <c r="JC61" s="38"/>
      <c r="JD61" s="38"/>
      <c r="JE61" s="38"/>
      <c r="JF61" s="38"/>
      <c r="JG61" s="38"/>
      <c r="JH61" s="38"/>
      <c r="JI61" s="38"/>
      <c r="JJ61" s="38"/>
      <c r="JK61" s="38"/>
      <c r="JL61" s="38"/>
      <c r="JM61" s="38"/>
      <c r="JN61" s="38"/>
      <c r="JO61" s="38"/>
      <c r="JP61" s="38"/>
      <c r="JQ61" s="38"/>
      <c r="JR61" s="38"/>
      <c r="JS61" s="38"/>
      <c r="JT61" s="38"/>
      <c r="JU61" s="38"/>
      <c r="JV61" s="38"/>
      <c r="JW61" s="38"/>
      <c r="JX61" s="38"/>
      <c r="JY61" s="38"/>
      <c r="JZ61" s="38"/>
      <c r="KA61" s="38"/>
      <c r="KB61" s="38"/>
      <c r="KC61" s="38"/>
      <c r="KD61" s="38"/>
      <c r="KE61" s="38"/>
      <c r="KF61" s="38"/>
      <c r="KG61" s="38"/>
      <c r="KH61" s="38"/>
      <c r="KI61" s="38"/>
      <c r="KJ61" s="38"/>
      <c r="KK61" s="38"/>
      <c r="KL61" s="38"/>
      <c r="KM61" s="38"/>
      <c r="KN61" s="38"/>
      <c r="KO61" s="38"/>
      <c r="KP61" s="38"/>
      <c r="KQ61" s="38"/>
      <c r="KR61" s="38"/>
      <c r="KS61" s="38"/>
      <c r="KT61" s="38"/>
      <c r="KU61" s="38"/>
      <c r="KV61" s="38"/>
      <c r="KW61" s="38"/>
      <c r="KX61" s="38"/>
      <c r="KY61" s="38"/>
      <c r="KZ61" s="38"/>
      <c r="LA61" s="38"/>
      <c r="LB61" s="38"/>
      <c r="LC61" s="38"/>
      <c r="LD61" s="38"/>
      <c r="LE61" s="38"/>
      <c r="LF61" s="38"/>
      <c r="LG61" s="38"/>
      <c r="LH61" s="38"/>
      <c r="LI61" s="38"/>
      <c r="LJ61" s="38"/>
      <c r="LK61" s="38"/>
      <c r="LL61" s="38"/>
      <c r="LM61" s="38"/>
      <c r="LN61" s="38"/>
      <c r="LO61" s="38"/>
      <c r="LP61" s="38"/>
      <c r="LQ61" s="38"/>
      <c r="LR61" s="38"/>
      <c r="LS61" s="38"/>
      <c r="LT61" s="38"/>
      <c r="LU61" s="38"/>
      <c r="LV61" s="38"/>
      <c r="LW61" s="38"/>
      <c r="LX61" s="38"/>
      <c r="LY61" s="38"/>
      <c r="LZ61" s="38"/>
      <c r="MA61" s="38"/>
      <c r="MB61" s="38"/>
      <c r="MC61" s="38"/>
      <c r="MD61" s="38"/>
      <c r="ME61" s="38"/>
      <c r="MF61" s="38"/>
      <c r="MG61" s="38"/>
      <c r="MH61" s="38"/>
      <c r="MI61" s="38"/>
      <c r="MJ61" s="38"/>
      <c r="MK61" s="38"/>
      <c r="ML61" s="38"/>
      <c r="MM61" s="38"/>
      <c r="MN61" s="38"/>
      <c r="MO61" s="38"/>
      <c r="MP61" s="38"/>
      <c r="MQ61" s="38"/>
      <c r="MR61" s="38"/>
      <c r="MS61" s="38"/>
      <c r="MT61" s="38"/>
      <c r="MU61" s="38"/>
      <c r="MV61" s="38"/>
      <c r="MW61" s="38"/>
      <c r="MX61" s="38"/>
      <c r="MY61" s="38"/>
      <c r="MZ61" s="38"/>
      <c r="NA61" s="38"/>
      <c r="NB61" s="38"/>
      <c r="NC61" s="38"/>
      <c r="ND61" s="38"/>
      <c r="NE61" s="38"/>
      <c r="NF61" s="38"/>
      <c r="NG61" s="38"/>
      <c r="NH61" s="38"/>
      <c r="NI61" s="38"/>
      <c r="NJ61" s="38"/>
      <c r="NK61" s="38"/>
      <c r="NL61" s="38"/>
      <c r="NM61" s="38"/>
      <c r="NN61" s="38"/>
      <c r="NO61" s="38"/>
      <c r="NP61" s="38"/>
      <c r="NQ61" s="38"/>
      <c r="NR61" s="38"/>
      <c r="NS61" s="38"/>
      <c r="NT61" s="38"/>
      <c r="NU61" s="38"/>
      <c r="NV61" s="38"/>
      <c r="NW61" s="38"/>
      <c r="NX61" s="38"/>
      <c r="NY61" s="38"/>
      <c r="NZ61" s="38"/>
      <c r="OA61" s="38"/>
      <c r="OB61" s="38"/>
      <c r="OC61" s="38"/>
      <c r="OD61" s="38"/>
      <c r="OE61" s="38"/>
      <c r="OF61" s="38"/>
      <c r="OG61" s="38"/>
      <c r="OH61" s="38"/>
      <c r="OI61" s="38"/>
      <c r="OJ61" s="38"/>
      <c r="OK61" s="38"/>
      <c r="OL61" s="38"/>
      <c r="OM61" s="38"/>
      <c r="ON61" s="38"/>
      <c r="OO61" s="38"/>
      <c r="OP61" s="38"/>
      <c r="OQ61" s="38"/>
      <c r="OR61" s="38"/>
      <c r="OS61" s="38"/>
      <c r="OT61" s="38"/>
      <c r="OU61" s="38"/>
      <c r="OV61" s="38"/>
      <c r="OW61" s="38"/>
      <c r="OX61" s="38"/>
      <c r="OY61" s="38"/>
      <c r="OZ61" s="38"/>
      <c r="PA61" s="38"/>
      <c r="PB61" s="38"/>
      <c r="PC61" s="38"/>
      <c r="PD61" s="38"/>
      <c r="PE61" s="38"/>
      <c r="PF61" s="38"/>
      <c r="PG61" s="38"/>
      <c r="PH61" s="38"/>
      <c r="PI61" s="38"/>
      <c r="PJ61" s="38"/>
      <c r="PK61" s="38"/>
      <c r="PL61" s="38"/>
      <c r="PM61" s="38"/>
      <c r="PN61" s="38"/>
      <c r="PO61" s="38"/>
      <c r="PP61" s="38"/>
      <c r="PQ61" s="38"/>
      <c r="PR61" s="38"/>
      <c r="PS61" s="38"/>
      <c r="PT61" s="38"/>
      <c r="PU61" s="38"/>
      <c r="PV61" s="38"/>
      <c r="PW61" s="38"/>
      <c r="PX61" s="38"/>
      <c r="PY61" s="38"/>
      <c r="PZ61" s="38"/>
      <c r="QA61" s="38"/>
      <c r="QB61" s="38"/>
      <c r="QC61" s="38"/>
      <c r="QD61" s="38"/>
      <c r="QE61" s="38"/>
      <c r="QF61" s="38"/>
      <c r="QG61" s="38"/>
      <c r="QH61" s="38"/>
      <c r="QI61" s="38"/>
      <c r="QJ61" s="38"/>
      <c r="QK61" s="38"/>
      <c r="QL61" s="38"/>
      <c r="QM61" s="38"/>
      <c r="QN61" s="38"/>
      <c r="QO61" s="38"/>
      <c r="QP61" s="38"/>
      <c r="QQ61" s="38"/>
      <c r="QR61" s="38"/>
      <c r="QS61" s="38"/>
      <c r="QT61" s="38"/>
      <c r="QU61" s="38"/>
      <c r="QV61" s="38"/>
      <c r="QW61" s="38"/>
      <c r="QX61" s="38"/>
      <c r="QY61" s="38"/>
      <c r="QZ61" s="38"/>
      <c r="RA61" s="38"/>
      <c r="RB61" s="38"/>
      <c r="RC61" s="38"/>
      <c r="RD61" s="38"/>
      <c r="RE61" s="38"/>
      <c r="RF61" s="38"/>
      <c r="RG61" s="38"/>
      <c r="RH61" s="38"/>
      <c r="RI61" s="38"/>
      <c r="RJ61" s="38"/>
      <c r="RK61" s="38"/>
      <c r="RL61" s="38"/>
      <c r="RM61" s="38"/>
      <c r="RN61" s="38"/>
      <c r="RO61" s="38"/>
      <c r="RP61" s="38"/>
      <c r="RQ61" s="38"/>
      <c r="RR61" s="38"/>
      <c r="RS61" s="38"/>
      <c r="RT61" s="38"/>
      <c r="RU61" s="38"/>
      <c r="RV61" s="38"/>
      <c r="RW61" s="38"/>
      <c r="RX61" s="38"/>
      <c r="RY61" s="38"/>
      <c r="RZ61" s="38"/>
      <c r="SA61" s="38"/>
      <c r="SB61" s="38"/>
      <c r="SC61" s="38"/>
      <c r="SD61" s="38"/>
      <c r="SE61" s="38"/>
      <c r="SF61" s="38"/>
      <c r="SG61" s="38"/>
      <c r="SH61" s="38"/>
      <c r="SI61" s="38"/>
      <c r="SJ61" s="38"/>
      <c r="SK61" s="38"/>
      <c r="SL61" s="38"/>
      <c r="SM61" s="38"/>
      <c r="SN61" s="38"/>
      <c r="SO61" s="38"/>
      <c r="SP61" s="38"/>
      <c r="SQ61" s="38"/>
      <c r="SR61" s="38"/>
      <c r="SS61" s="38"/>
      <c r="ST61" s="38"/>
      <c r="SU61" s="38"/>
      <c r="SV61" s="38"/>
      <c r="SW61" s="38"/>
      <c r="SX61" s="38"/>
      <c r="SY61" s="38"/>
      <c r="SZ61" s="38"/>
      <c r="TA61" s="38"/>
      <c r="TB61" s="38"/>
      <c r="TC61" s="38"/>
      <c r="TD61" s="38"/>
      <c r="TE61" s="38"/>
      <c r="TF61" s="38"/>
      <c r="TG61" s="38"/>
      <c r="TH61" s="38"/>
      <c r="TI61" s="38"/>
      <c r="TJ61" s="38"/>
      <c r="TK61" s="38"/>
      <c r="TL61" s="38"/>
      <c r="TM61" s="38"/>
    </row>
    <row r="62" spans="1:533" s="39" customFormat="1" ht="18.75" x14ac:dyDescent="0.25">
      <c r="B62" s="50" t="s">
        <v>125</v>
      </c>
      <c r="C62" s="41" t="s">
        <v>129</v>
      </c>
      <c r="D62" s="56" t="s">
        <v>130</v>
      </c>
      <c r="E62" s="87" t="s">
        <v>131</v>
      </c>
      <c r="F62" s="53">
        <v>2</v>
      </c>
      <c r="G62" s="59"/>
      <c r="H62" s="46"/>
      <c r="I62" s="47">
        <f t="shared" ref="I62:I80" si="9">F62*G62</f>
        <v>0</v>
      </c>
      <c r="J62" s="48">
        <v>2031</v>
      </c>
      <c r="K62" s="47" t="s">
        <v>30</v>
      </c>
      <c r="L62" s="49"/>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c r="DA62" s="38"/>
      <c r="DB62" s="38"/>
      <c r="DC62" s="38"/>
      <c r="DD62" s="38"/>
      <c r="DE62" s="38"/>
      <c r="DF62" s="38"/>
      <c r="DG62" s="38"/>
      <c r="DH62" s="38"/>
      <c r="DI62" s="38"/>
      <c r="DJ62" s="38"/>
      <c r="DK62" s="38"/>
      <c r="DL62" s="38"/>
      <c r="DM62" s="38"/>
      <c r="DN62" s="38"/>
      <c r="DO62" s="38"/>
      <c r="DP62" s="38"/>
      <c r="DQ62" s="38"/>
      <c r="DR62" s="38"/>
      <c r="DS62" s="38"/>
      <c r="DT62" s="38"/>
      <c r="DU62" s="38"/>
      <c r="DV62" s="38"/>
      <c r="DW62" s="38"/>
      <c r="DX62" s="38"/>
      <c r="DY62" s="38"/>
      <c r="DZ62" s="38"/>
      <c r="EA62" s="38"/>
      <c r="EB62" s="38"/>
      <c r="EC62" s="38"/>
      <c r="ED62" s="38"/>
      <c r="EE62" s="38"/>
      <c r="EF62" s="38"/>
      <c r="EG62" s="38"/>
      <c r="EH62" s="38"/>
      <c r="EI62" s="38"/>
      <c r="EJ62" s="38"/>
      <c r="EK62" s="38"/>
      <c r="EL62" s="38"/>
      <c r="EM62" s="38"/>
      <c r="EN62" s="38"/>
      <c r="EO62" s="38"/>
      <c r="EP62" s="38"/>
      <c r="EQ62" s="38"/>
      <c r="ER62" s="38"/>
      <c r="ES62" s="38"/>
      <c r="ET62" s="38"/>
      <c r="EU62" s="38"/>
      <c r="EV62" s="38"/>
      <c r="EW62" s="38"/>
      <c r="EX62" s="38"/>
      <c r="EY62" s="38"/>
      <c r="EZ62" s="38"/>
      <c r="FA62" s="38"/>
      <c r="FB62" s="38"/>
      <c r="FC62" s="38"/>
      <c r="FD62" s="38"/>
      <c r="FE62" s="38"/>
      <c r="FF62" s="38"/>
      <c r="FG62" s="38"/>
      <c r="FH62" s="38"/>
      <c r="FI62" s="38"/>
      <c r="FJ62" s="38"/>
      <c r="FK62" s="38"/>
      <c r="FL62" s="38"/>
      <c r="FM62" s="38"/>
      <c r="FN62" s="38"/>
      <c r="FO62" s="38"/>
      <c r="FP62" s="38"/>
      <c r="FQ62" s="38"/>
      <c r="FR62" s="38"/>
      <c r="FS62" s="38"/>
      <c r="FT62" s="38"/>
      <c r="FU62" s="38"/>
      <c r="FV62" s="38"/>
      <c r="FW62" s="38"/>
      <c r="FX62" s="38"/>
      <c r="FY62" s="38"/>
      <c r="FZ62" s="38"/>
      <c r="GA62" s="38"/>
      <c r="GB62" s="38"/>
      <c r="GC62" s="38"/>
      <c r="GD62" s="38"/>
      <c r="GE62" s="38"/>
      <c r="GF62" s="38"/>
      <c r="GG62" s="38"/>
      <c r="GH62" s="38"/>
      <c r="GI62" s="38"/>
      <c r="GJ62" s="38"/>
      <c r="GK62" s="38"/>
      <c r="GL62" s="38"/>
      <c r="GM62" s="38"/>
      <c r="GN62" s="38"/>
      <c r="GO62" s="38"/>
      <c r="GP62" s="38"/>
      <c r="GQ62" s="38"/>
      <c r="GR62" s="38"/>
      <c r="GS62" s="38"/>
      <c r="GT62" s="38"/>
      <c r="GU62" s="38"/>
      <c r="GV62" s="38"/>
      <c r="GW62" s="38"/>
      <c r="GX62" s="38"/>
      <c r="GY62" s="38"/>
      <c r="GZ62" s="38"/>
      <c r="HA62" s="38"/>
      <c r="HB62" s="38"/>
      <c r="HC62" s="38"/>
      <c r="HD62" s="38"/>
      <c r="HE62" s="38"/>
      <c r="HF62" s="38"/>
      <c r="HG62" s="38"/>
      <c r="HH62" s="38"/>
      <c r="HI62" s="38"/>
      <c r="HJ62" s="38"/>
      <c r="HK62" s="38"/>
      <c r="HL62" s="38"/>
      <c r="HM62" s="38"/>
      <c r="HN62" s="38"/>
      <c r="HO62" s="38"/>
      <c r="HP62" s="38"/>
      <c r="HQ62" s="38"/>
      <c r="HR62" s="38"/>
      <c r="HS62" s="38"/>
      <c r="HT62" s="38"/>
      <c r="HU62" s="38"/>
      <c r="HV62" s="38"/>
      <c r="HW62" s="38"/>
      <c r="HX62" s="38"/>
      <c r="HY62" s="38"/>
      <c r="HZ62" s="38"/>
      <c r="IA62" s="38"/>
      <c r="IB62" s="38"/>
      <c r="IC62" s="38"/>
      <c r="ID62" s="38"/>
      <c r="IE62" s="38"/>
      <c r="IF62" s="38"/>
      <c r="IG62" s="38"/>
      <c r="IH62" s="38"/>
      <c r="II62" s="38"/>
      <c r="IJ62" s="38"/>
      <c r="IK62" s="38"/>
      <c r="IL62" s="38"/>
      <c r="IM62" s="38"/>
      <c r="IN62" s="38"/>
      <c r="IO62" s="38"/>
      <c r="IP62" s="38"/>
      <c r="IQ62" s="38"/>
      <c r="IR62" s="38"/>
      <c r="IS62" s="38"/>
      <c r="IT62" s="38"/>
      <c r="IU62" s="38"/>
      <c r="IV62" s="38"/>
      <c r="IW62" s="38"/>
      <c r="IX62" s="38"/>
      <c r="IY62" s="38"/>
      <c r="IZ62" s="38"/>
      <c r="JA62" s="38"/>
      <c r="JB62" s="38"/>
      <c r="JC62" s="38"/>
      <c r="JD62" s="38"/>
      <c r="JE62" s="38"/>
      <c r="JF62" s="38"/>
      <c r="JG62" s="38"/>
      <c r="JH62" s="38"/>
      <c r="JI62" s="38"/>
      <c r="JJ62" s="38"/>
      <c r="JK62" s="38"/>
      <c r="JL62" s="38"/>
      <c r="JM62" s="38"/>
      <c r="JN62" s="38"/>
      <c r="JO62" s="38"/>
      <c r="JP62" s="38"/>
      <c r="JQ62" s="38"/>
      <c r="JR62" s="38"/>
      <c r="JS62" s="38"/>
      <c r="JT62" s="38"/>
      <c r="JU62" s="38"/>
      <c r="JV62" s="38"/>
      <c r="JW62" s="38"/>
      <c r="JX62" s="38"/>
      <c r="JY62" s="38"/>
      <c r="JZ62" s="38"/>
      <c r="KA62" s="38"/>
      <c r="KB62" s="38"/>
      <c r="KC62" s="38"/>
      <c r="KD62" s="38"/>
      <c r="KE62" s="38"/>
      <c r="KF62" s="38"/>
      <c r="KG62" s="38"/>
      <c r="KH62" s="38"/>
      <c r="KI62" s="38"/>
      <c r="KJ62" s="38"/>
      <c r="KK62" s="38"/>
      <c r="KL62" s="38"/>
      <c r="KM62" s="38"/>
      <c r="KN62" s="38"/>
      <c r="KO62" s="38"/>
      <c r="KP62" s="38"/>
      <c r="KQ62" s="38"/>
      <c r="KR62" s="38"/>
      <c r="KS62" s="38"/>
      <c r="KT62" s="38"/>
      <c r="KU62" s="38"/>
      <c r="KV62" s="38"/>
      <c r="KW62" s="38"/>
      <c r="KX62" s="38"/>
      <c r="KY62" s="38"/>
      <c r="KZ62" s="38"/>
      <c r="LA62" s="38"/>
      <c r="LB62" s="38"/>
      <c r="LC62" s="38"/>
      <c r="LD62" s="38"/>
      <c r="LE62" s="38"/>
      <c r="LF62" s="38"/>
      <c r="LG62" s="38"/>
      <c r="LH62" s="38"/>
      <c r="LI62" s="38"/>
      <c r="LJ62" s="38"/>
      <c r="LK62" s="38"/>
      <c r="LL62" s="38"/>
      <c r="LM62" s="38"/>
      <c r="LN62" s="38"/>
      <c r="LO62" s="38"/>
      <c r="LP62" s="38"/>
      <c r="LQ62" s="38"/>
      <c r="LR62" s="38"/>
      <c r="LS62" s="38"/>
      <c r="LT62" s="38"/>
      <c r="LU62" s="38"/>
      <c r="LV62" s="38"/>
      <c r="LW62" s="38"/>
      <c r="LX62" s="38"/>
      <c r="LY62" s="38"/>
      <c r="LZ62" s="38"/>
      <c r="MA62" s="38"/>
      <c r="MB62" s="38"/>
      <c r="MC62" s="38"/>
      <c r="MD62" s="38"/>
      <c r="ME62" s="38"/>
      <c r="MF62" s="38"/>
      <c r="MG62" s="38"/>
      <c r="MH62" s="38"/>
      <c r="MI62" s="38"/>
      <c r="MJ62" s="38"/>
      <c r="MK62" s="38"/>
      <c r="ML62" s="38"/>
      <c r="MM62" s="38"/>
      <c r="MN62" s="38"/>
      <c r="MO62" s="38"/>
      <c r="MP62" s="38"/>
      <c r="MQ62" s="38"/>
      <c r="MR62" s="38"/>
      <c r="MS62" s="38"/>
      <c r="MT62" s="38"/>
      <c r="MU62" s="38"/>
      <c r="MV62" s="38"/>
      <c r="MW62" s="38"/>
      <c r="MX62" s="38"/>
      <c r="MY62" s="38"/>
      <c r="MZ62" s="38"/>
      <c r="NA62" s="38"/>
      <c r="NB62" s="38"/>
      <c r="NC62" s="38"/>
      <c r="ND62" s="38"/>
      <c r="NE62" s="38"/>
      <c r="NF62" s="38"/>
      <c r="NG62" s="38"/>
      <c r="NH62" s="38"/>
      <c r="NI62" s="38"/>
      <c r="NJ62" s="38"/>
      <c r="NK62" s="38"/>
      <c r="NL62" s="38"/>
      <c r="NM62" s="38"/>
      <c r="NN62" s="38"/>
      <c r="NO62" s="38"/>
      <c r="NP62" s="38"/>
      <c r="NQ62" s="38"/>
      <c r="NR62" s="38"/>
      <c r="NS62" s="38"/>
      <c r="NT62" s="38"/>
      <c r="NU62" s="38"/>
      <c r="NV62" s="38"/>
      <c r="NW62" s="38"/>
      <c r="NX62" s="38"/>
      <c r="NY62" s="38"/>
      <c r="NZ62" s="38"/>
      <c r="OA62" s="38"/>
      <c r="OB62" s="38"/>
      <c r="OC62" s="38"/>
      <c r="OD62" s="38"/>
      <c r="OE62" s="38"/>
      <c r="OF62" s="38"/>
      <c r="OG62" s="38"/>
      <c r="OH62" s="38"/>
      <c r="OI62" s="38"/>
      <c r="OJ62" s="38"/>
      <c r="OK62" s="38"/>
      <c r="OL62" s="38"/>
      <c r="OM62" s="38"/>
      <c r="ON62" s="38"/>
      <c r="OO62" s="38"/>
      <c r="OP62" s="38"/>
      <c r="OQ62" s="38"/>
      <c r="OR62" s="38"/>
      <c r="OS62" s="38"/>
      <c r="OT62" s="38"/>
      <c r="OU62" s="38"/>
      <c r="OV62" s="38"/>
      <c r="OW62" s="38"/>
      <c r="OX62" s="38"/>
      <c r="OY62" s="38"/>
      <c r="OZ62" s="38"/>
      <c r="PA62" s="38"/>
      <c r="PB62" s="38"/>
      <c r="PC62" s="38"/>
      <c r="PD62" s="38"/>
      <c r="PE62" s="38"/>
      <c r="PF62" s="38"/>
      <c r="PG62" s="38"/>
      <c r="PH62" s="38"/>
      <c r="PI62" s="38"/>
      <c r="PJ62" s="38"/>
      <c r="PK62" s="38"/>
      <c r="PL62" s="38"/>
      <c r="PM62" s="38"/>
      <c r="PN62" s="38"/>
      <c r="PO62" s="38"/>
      <c r="PP62" s="38"/>
      <c r="PQ62" s="38"/>
      <c r="PR62" s="38"/>
      <c r="PS62" s="38"/>
      <c r="PT62" s="38"/>
      <c r="PU62" s="38"/>
      <c r="PV62" s="38"/>
      <c r="PW62" s="38"/>
      <c r="PX62" s="38"/>
      <c r="PY62" s="38"/>
      <c r="PZ62" s="38"/>
      <c r="QA62" s="38"/>
      <c r="QB62" s="38"/>
      <c r="QC62" s="38"/>
      <c r="QD62" s="38"/>
      <c r="QE62" s="38"/>
      <c r="QF62" s="38"/>
      <c r="QG62" s="38"/>
      <c r="QH62" s="38"/>
      <c r="QI62" s="38"/>
      <c r="QJ62" s="38"/>
      <c r="QK62" s="38"/>
      <c r="QL62" s="38"/>
      <c r="QM62" s="38"/>
      <c r="QN62" s="38"/>
      <c r="QO62" s="38"/>
      <c r="QP62" s="38"/>
      <c r="QQ62" s="38"/>
      <c r="QR62" s="38"/>
      <c r="QS62" s="38"/>
      <c r="QT62" s="38"/>
      <c r="QU62" s="38"/>
      <c r="QV62" s="38"/>
      <c r="QW62" s="38"/>
      <c r="QX62" s="38"/>
      <c r="QY62" s="38"/>
      <c r="QZ62" s="38"/>
      <c r="RA62" s="38"/>
      <c r="RB62" s="38"/>
      <c r="RC62" s="38"/>
      <c r="RD62" s="38"/>
      <c r="RE62" s="38"/>
      <c r="RF62" s="38"/>
      <c r="RG62" s="38"/>
      <c r="RH62" s="38"/>
      <c r="RI62" s="38"/>
      <c r="RJ62" s="38"/>
      <c r="RK62" s="38"/>
      <c r="RL62" s="38"/>
      <c r="RM62" s="38"/>
      <c r="RN62" s="38"/>
      <c r="RO62" s="38"/>
      <c r="RP62" s="38"/>
      <c r="RQ62" s="38"/>
      <c r="RR62" s="38"/>
      <c r="RS62" s="38"/>
      <c r="RT62" s="38"/>
      <c r="RU62" s="38"/>
      <c r="RV62" s="38"/>
      <c r="RW62" s="38"/>
      <c r="RX62" s="38"/>
      <c r="RY62" s="38"/>
      <c r="RZ62" s="38"/>
      <c r="SA62" s="38"/>
      <c r="SB62" s="38"/>
      <c r="SC62" s="38"/>
      <c r="SD62" s="38"/>
      <c r="SE62" s="38"/>
      <c r="SF62" s="38"/>
      <c r="SG62" s="38"/>
      <c r="SH62" s="38"/>
      <c r="SI62" s="38"/>
      <c r="SJ62" s="38"/>
      <c r="SK62" s="38"/>
      <c r="SL62" s="38"/>
      <c r="SM62" s="38"/>
      <c r="SN62" s="38"/>
      <c r="SO62" s="38"/>
      <c r="SP62" s="38"/>
      <c r="SQ62" s="38"/>
      <c r="SR62" s="38"/>
      <c r="SS62" s="38"/>
      <c r="ST62" s="38"/>
      <c r="SU62" s="38"/>
      <c r="SV62" s="38"/>
      <c r="SW62" s="38"/>
      <c r="SX62" s="38"/>
      <c r="SY62" s="38"/>
      <c r="SZ62" s="38"/>
      <c r="TA62" s="38"/>
      <c r="TB62" s="38"/>
      <c r="TC62" s="38"/>
      <c r="TD62" s="38"/>
      <c r="TE62" s="38"/>
      <c r="TF62" s="38"/>
      <c r="TG62" s="38"/>
      <c r="TH62" s="38"/>
      <c r="TI62" s="38"/>
      <c r="TJ62" s="38"/>
      <c r="TK62" s="38"/>
      <c r="TL62" s="38"/>
      <c r="TM62" s="38"/>
    </row>
    <row r="63" spans="1:533" s="39" customFormat="1" ht="18.75" x14ac:dyDescent="0.25">
      <c r="B63" s="50" t="s">
        <v>125</v>
      </c>
      <c r="C63" s="41" t="s">
        <v>132</v>
      </c>
      <c r="D63" s="56" t="s">
        <v>133</v>
      </c>
      <c r="E63" s="87" t="s">
        <v>131</v>
      </c>
      <c r="F63" s="53">
        <v>3</v>
      </c>
      <c r="G63" s="59"/>
      <c r="H63" s="46"/>
      <c r="I63" s="47">
        <f t="shared" si="9"/>
        <v>0</v>
      </c>
      <c r="J63" s="48">
        <v>2031</v>
      </c>
      <c r="K63" s="47" t="s">
        <v>30</v>
      </c>
      <c r="L63" s="49"/>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c r="DC63" s="38"/>
      <c r="DD63" s="38"/>
      <c r="DE63" s="38"/>
      <c r="DF63" s="38"/>
      <c r="DG63" s="38"/>
      <c r="DH63" s="38"/>
      <c r="DI63" s="38"/>
      <c r="DJ63" s="38"/>
      <c r="DK63" s="38"/>
      <c r="DL63" s="38"/>
      <c r="DM63" s="38"/>
      <c r="DN63" s="38"/>
      <c r="DO63" s="38"/>
      <c r="DP63" s="38"/>
      <c r="DQ63" s="38"/>
      <c r="DR63" s="38"/>
      <c r="DS63" s="38"/>
      <c r="DT63" s="38"/>
      <c r="DU63" s="38"/>
      <c r="DV63" s="38"/>
      <c r="DW63" s="38"/>
      <c r="DX63" s="38"/>
      <c r="DY63" s="38"/>
      <c r="DZ63" s="38"/>
      <c r="EA63" s="38"/>
      <c r="EB63" s="38"/>
      <c r="EC63" s="38"/>
      <c r="ED63" s="38"/>
      <c r="EE63" s="38"/>
      <c r="EF63" s="38"/>
      <c r="EG63" s="38"/>
      <c r="EH63" s="38"/>
      <c r="EI63" s="38"/>
      <c r="EJ63" s="38"/>
      <c r="EK63" s="38"/>
      <c r="EL63" s="38"/>
      <c r="EM63" s="38"/>
      <c r="EN63" s="38"/>
      <c r="EO63" s="38"/>
      <c r="EP63" s="38"/>
      <c r="EQ63" s="38"/>
      <c r="ER63" s="38"/>
      <c r="ES63" s="38"/>
      <c r="ET63" s="38"/>
      <c r="EU63" s="38"/>
      <c r="EV63" s="38"/>
      <c r="EW63" s="38"/>
      <c r="EX63" s="38"/>
      <c r="EY63" s="38"/>
      <c r="EZ63" s="38"/>
      <c r="FA63" s="38"/>
      <c r="FB63" s="38"/>
      <c r="FC63" s="38"/>
      <c r="FD63" s="38"/>
      <c r="FE63" s="38"/>
      <c r="FF63" s="38"/>
      <c r="FG63" s="38"/>
      <c r="FH63" s="38"/>
      <c r="FI63" s="38"/>
      <c r="FJ63" s="38"/>
      <c r="FK63" s="38"/>
      <c r="FL63" s="38"/>
      <c r="FM63" s="38"/>
      <c r="FN63" s="38"/>
      <c r="FO63" s="38"/>
      <c r="FP63" s="38"/>
      <c r="FQ63" s="38"/>
      <c r="FR63" s="38"/>
      <c r="FS63" s="38"/>
      <c r="FT63" s="38"/>
      <c r="FU63" s="38"/>
      <c r="FV63" s="38"/>
      <c r="FW63" s="38"/>
      <c r="FX63" s="38"/>
      <c r="FY63" s="38"/>
      <c r="FZ63" s="38"/>
      <c r="GA63" s="38"/>
      <c r="GB63" s="38"/>
      <c r="GC63" s="38"/>
      <c r="GD63" s="38"/>
      <c r="GE63" s="38"/>
      <c r="GF63" s="38"/>
      <c r="GG63" s="38"/>
      <c r="GH63" s="38"/>
      <c r="GI63" s="38"/>
      <c r="GJ63" s="38"/>
      <c r="GK63" s="38"/>
      <c r="GL63" s="38"/>
      <c r="GM63" s="38"/>
      <c r="GN63" s="38"/>
      <c r="GO63" s="38"/>
      <c r="GP63" s="38"/>
      <c r="GQ63" s="38"/>
      <c r="GR63" s="38"/>
      <c r="GS63" s="38"/>
      <c r="GT63" s="38"/>
      <c r="GU63" s="38"/>
      <c r="GV63" s="38"/>
      <c r="GW63" s="38"/>
      <c r="GX63" s="38"/>
      <c r="GY63" s="38"/>
      <c r="GZ63" s="38"/>
      <c r="HA63" s="38"/>
      <c r="HB63" s="38"/>
      <c r="HC63" s="38"/>
      <c r="HD63" s="38"/>
      <c r="HE63" s="38"/>
      <c r="HF63" s="38"/>
      <c r="HG63" s="38"/>
      <c r="HH63" s="38"/>
      <c r="HI63" s="38"/>
      <c r="HJ63" s="38"/>
      <c r="HK63" s="38"/>
      <c r="HL63" s="38"/>
      <c r="HM63" s="38"/>
      <c r="HN63" s="38"/>
      <c r="HO63" s="38"/>
      <c r="HP63" s="38"/>
      <c r="HQ63" s="38"/>
      <c r="HR63" s="38"/>
      <c r="HS63" s="38"/>
      <c r="HT63" s="38"/>
      <c r="HU63" s="38"/>
      <c r="HV63" s="38"/>
      <c r="HW63" s="38"/>
      <c r="HX63" s="38"/>
      <c r="HY63" s="38"/>
      <c r="HZ63" s="38"/>
      <c r="IA63" s="38"/>
      <c r="IB63" s="38"/>
      <c r="IC63" s="38"/>
      <c r="ID63" s="38"/>
      <c r="IE63" s="38"/>
      <c r="IF63" s="38"/>
      <c r="IG63" s="38"/>
      <c r="IH63" s="38"/>
      <c r="II63" s="38"/>
      <c r="IJ63" s="38"/>
      <c r="IK63" s="38"/>
      <c r="IL63" s="38"/>
      <c r="IM63" s="38"/>
      <c r="IN63" s="38"/>
      <c r="IO63" s="38"/>
      <c r="IP63" s="38"/>
      <c r="IQ63" s="38"/>
      <c r="IR63" s="38"/>
      <c r="IS63" s="38"/>
      <c r="IT63" s="38"/>
      <c r="IU63" s="38"/>
      <c r="IV63" s="38"/>
      <c r="IW63" s="38"/>
      <c r="IX63" s="38"/>
      <c r="IY63" s="38"/>
      <c r="IZ63" s="38"/>
      <c r="JA63" s="38"/>
      <c r="JB63" s="38"/>
      <c r="JC63" s="38"/>
      <c r="JD63" s="38"/>
      <c r="JE63" s="38"/>
      <c r="JF63" s="38"/>
      <c r="JG63" s="38"/>
      <c r="JH63" s="38"/>
      <c r="JI63" s="38"/>
      <c r="JJ63" s="38"/>
      <c r="JK63" s="38"/>
      <c r="JL63" s="38"/>
      <c r="JM63" s="38"/>
      <c r="JN63" s="38"/>
      <c r="JO63" s="38"/>
      <c r="JP63" s="38"/>
      <c r="JQ63" s="38"/>
      <c r="JR63" s="38"/>
      <c r="JS63" s="38"/>
      <c r="JT63" s="38"/>
      <c r="JU63" s="38"/>
      <c r="JV63" s="38"/>
      <c r="JW63" s="38"/>
      <c r="JX63" s="38"/>
      <c r="JY63" s="38"/>
      <c r="JZ63" s="38"/>
      <c r="KA63" s="38"/>
      <c r="KB63" s="38"/>
      <c r="KC63" s="38"/>
      <c r="KD63" s="38"/>
      <c r="KE63" s="38"/>
      <c r="KF63" s="38"/>
      <c r="KG63" s="38"/>
      <c r="KH63" s="38"/>
      <c r="KI63" s="38"/>
      <c r="KJ63" s="38"/>
      <c r="KK63" s="38"/>
      <c r="KL63" s="38"/>
      <c r="KM63" s="38"/>
      <c r="KN63" s="38"/>
      <c r="KO63" s="38"/>
      <c r="KP63" s="38"/>
      <c r="KQ63" s="38"/>
      <c r="KR63" s="38"/>
      <c r="KS63" s="38"/>
      <c r="KT63" s="38"/>
      <c r="KU63" s="38"/>
      <c r="KV63" s="38"/>
      <c r="KW63" s="38"/>
      <c r="KX63" s="38"/>
      <c r="KY63" s="38"/>
      <c r="KZ63" s="38"/>
      <c r="LA63" s="38"/>
      <c r="LB63" s="38"/>
      <c r="LC63" s="38"/>
      <c r="LD63" s="38"/>
      <c r="LE63" s="38"/>
      <c r="LF63" s="38"/>
      <c r="LG63" s="38"/>
      <c r="LH63" s="38"/>
      <c r="LI63" s="38"/>
      <c r="LJ63" s="38"/>
      <c r="LK63" s="38"/>
      <c r="LL63" s="38"/>
      <c r="LM63" s="38"/>
      <c r="LN63" s="38"/>
      <c r="LO63" s="38"/>
      <c r="LP63" s="38"/>
      <c r="LQ63" s="38"/>
      <c r="LR63" s="38"/>
      <c r="LS63" s="38"/>
      <c r="LT63" s="38"/>
      <c r="LU63" s="38"/>
      <c r="LV63" s="38"/>
      <c r="LW63" s="38"/>
      <c r="LX63" s="38"/>
      <c r="LY63" s="38"/>
      <c r="LZ63" s="38"/>
      <c r="MA63" s="38"/>
      <c r="MB63" s="38"/>
      <c r="MC63" s="38"/>
      <c r="MD63" s="38"/>
      <c r="ME63" s="38"/>
      <c r="MF63" s="38"/>
      <c r="MG63" s="38"/>
      <c r="MH63" s="38"/>
      <c r="MI63" s="38"/>
      <c r="MJ63" s="38"/>
      <c r="MK63" s="38"/>
      <c r="ML63" s="38"/>
      <c r="MM63" s="38"/>
      <c r="MN63" s="38"/>
      <c r="MO63" s="38"/>
      <c r="MP63" s="38"/>
      <c r="MQ63" s="38"/>
      <c r="MR63" s="38"/>
      <c r="MS63" s="38"/>
      <c r="MT63" s="38"/>
      <c r="MU63" s="38"/>
      <c r="MV63" s="38"/>
      <c r="MW63" s="38"/>
      <c r="MX63" s="38"/>
      <c r="MY63" s="38"/>
      <c r="MZ63" s="38"/>
      <c r="NA63" s="38"/>
      <c r="NB63" s="38"/>
      <c r="NC63" s="38"/>
      <c r="ND63" s="38"/>
      <c r="NE63" s="38"/>
      <c r="NF63" s="38"/>
      <c r="NG63" s="38"/>
      <c r="NH63" s="38"/>
      <c r="NI63" s="38"/>
      <c r="NJ63" s="38"/>
      <c r="NK63" s="38"/>
      <c r="NL63" s="38"/>
      <c r="NM63" s="38"/>
      <c r="NN63" s="38"/>
      <c r="NO63" s="38"/>
      <c r="NP63" s="38"/>
      <c r="NQ63" s="38"/>
      <c r="NR63" s="38"/>
      <c r="NS63" s="38"/>
      <c r="NT63" s="38"/>
      <c r="NU63" s="38"/>
      <c r="NV63" s="38"/>
      <c r="NW63" s="38"/>
      <c r="NX63" s="38"/>
      <c r="NY63" s="38"/>
      <c r="NZ63" s="38"/>
      <c r="OA63" s="38"/>
      <c r="OB63" s="38"/>
      <c r="OC63" s="38"/>
      <c r="OD63" s="38"/>
      <c r="OE63" s="38"/>
      <c r="OF63" s="38"/>
      <c r="OG63" s="38"/>
      <c r="OH63" s="38"/>
      <c r="OI63" s="38"/>
      <c r="OJ63" s="38"/>
      <c r="OK63" s="38"/>
      <c r="OL63" s="38"/>
      <c r="OM63" s="38"/>
      <c r="ON63" s="38"/>
      <c r="OO63" s="38"/>
      <c r="OP63" s="38"/>
      <c r="OQ63" s="38"/>
      <c r="OR63" s="38"/>
      <c r="OS63" s="38"/>
      <c r="OT63" s="38"/>
      <c r="OU63" s="38"/>
      <c r="OV63" s="38"/>
      <c r="OW63" s="38"/>
      <c r="OX63" s="38"/>
      <c r="OY63" s="38"/>
      <c r="OZ63" s="38"/>
      <c r="PA63" s="38"/>
      <c r="PB63" s="38"/>
      <c r="PC63" s="38"/>
      <c r="PD63" s="38"/>
      <c r="PE63" s="38"/>
      <c r="PF63" s="38"/>
      <c r="PG63" s="38"/>
      <c r="PH63" s="38"/>
      <c r="PI63" s="38"/>
      <c r="PJ63" s="38"/>
      <c r="PK63" s="38"/>
      <c r="PL63" s="38"/>
      <c r="PM63" s="38"/>
      <c r="PN63" s="38"/>
      <c r="PO63" s="38"/>
      <c r="PP63" s="38"/>
      <c r="PQ63" s="38"/>
      <c r="PR63" s="38"/>
      <c r="PS63" s="38"/>
      <c r="PT63" s="38"/>
      <c r="PU63" s="38"/>
      <c r="PV63" s="38"/>
      <c r="PW63" s="38"/>
      <c r="PX63" s="38"/>
      <c r="PY63" s="38"/>
      <c r="PZ63" s="38"/>
      <c r="QA63" s="38"/>
      <c r="QB63" s="38"/>
      <c r="QC63" s="38"/>
      <c r="QD63" s="38"/>
      <c r="QE63" s="38"/>
      <c r="QF63" s="38"/>
      <c r="QG63" s="38"/>
      <c r="QH63" s="38"/>
      <c r="QI63" s="38"/>
      <c r="QJ63" s="38"/>
      <c r="QK63" s="38"/>
      <c r="QL63" s="38"/>
      <c r="QM63" s="38"/>
      <c r="QN63" s="38"/>
      <c r="QO63" s="38"/>
      <c r="QP63" s="38"/>
      <c r="QQ63" s="38"/>
      <c r="QR63" s="38"/>
      <c r="QS63" s="38"/>
      <c r="QT63" s="38"/>
      <c r="QU63" s="38"/>
      <c r="QV63" s="38"/>
      <c r="QW63" s="38"/>
      <c r="QX63" s="38"/>
      <c r="QY63" s="38"/>
      <c r="QZ63" s="38"/>
      <c r="RA63" s="38"/>
      <c r="RB63" s="38"/>
      <c r="RC63" s="38"/>
      <c r="RD63" s="38"/>
      <c r="RE63" s="38"/>
      <c r="RF63" s="38"/>
      <c r="RG63" s="38"/>
      <c r="RH63" s="38"/>
      <c r="RI63" s="38"/>
      <c r="RJ63" s="38"/>
      <c r="RK63" s="38"/>
      <c r="RL63" s="38"/>
      <c r="RM63" s="38"/>
      <c r="RN63" s="38"/>
      <c r="RO63" s="38"/>
      <c r="RP63" s="38"/>
      <c r="RQ63" s="38"/>
      <c r="RR63" s="38"/>
      <c r="RS63" s="38"/>
      <c r="RT63" s="38"/>
      <c r="RU63" s="38"/>
      <c r="RV63" s="38"/>
      <c r="RW63" s="38"/>
      <c r="RX63" s="38"/>
      <c r="RY63" s="38"/>
      <c r="RZ63" s="38"/>
      <c r="SA63" s="38"/>
      <c r="SB63" s="38"/>
      <c r="SC63" s="38"/>
      <c r="SD63" s="38"/>
      <c r="SE63" s="38"/>
      <c r="SF63" s="38"/>
      <c r="SG63" s="38"/>
      <c r="SH63" s="38"/>
      <c r="SI63" s="38"/>
      <c r="SJ63" s="38"/>
      <c r="SK63" s="38"/>
      <c r="SL63" s="38"/>
      <c r="SM63" s="38"/>
      <c r="SN63" s="38"/>
      <c r="SO63" s="38"/>
      <c r="SP63" s="38"/>
      <c r="SQ63" s="38"/>
      <c r="SR63" s="38"/>
      <c r="SS63" s="38"/>
      <c r="ST63" s="38"/>
      <c r="SU63" s="38"/>
      <c r="SV63" s="38"/>
      <c r="SW63" s="38"/>
      <c r="SX63" s="38"/>
      <c r="SY63" s="38"/>
      <c r="SZ63" s="38"/>
      <c r="TA63" s="38"/>
      <c r="TB63" s="38"/>
      <c r="TC63" s="38"/>
      <c r="TD63" s="38"/>
      <c r="TE63" s="38"/>
      <c r="TF63" s="38"/>
      <c r="TG63" s="38"/>
      <c r="TH63" s="38"/>
      <c r="TI63" s="38"/>
      <c r="TJ63" s="38"/>
      <c r="TK63" s="38"/>
      <c r="TL63" s="38"/>
      <c r="TM63" s="38"/>
    </row>
    <row r="64" spans="1:533" s="39" customFormat="1" ht="18.75" x14ac:dyDescent="0.25">
      <c r="B64" s="50" t="s">
        <v>125</v>
      </c>
      <c r="C64" s="41" t="s">
        <v>134</v>
      </c>
      <c r="D64" s="56" t="s">
        <v>135</v>
      </c>
      <c r="E64" s="87" t="s">
        <v>131</v>
      </c>
      <c r="F64" s="53">
        <v>1</v>
      </c>
      <c r="G64" s="59"/>
      <c r="H64" s="46"/>
      <c r="I64" s="47">
        <f t="shared" si="9"/>
        <v>0</v>
      </c>
      <c r="J64" s="48">
        <v>2031</v>
      </c>
      <c r="K64" s="47" t="s">
        <v>30</v>
      </c>
      <c r="L64" s="49"/>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c r="CO64" s="38"/>
      <c r="CP64" s="38"/>
      <c r="CQ64" s="38"/>
      <c r="CR64" s="38"/>
      <c r="CS64" s="38"/>
      <c r="CT64" s="38"/>
      <c r="CU64" s="38"/>
      <c r="CV64" s="38"/>
      <c r="CW64" s="38"/>
      <c r="CX64" s="38"/>
      <c r="CY64" s="38"/>
      <c r="CZ64" s="38"/>
      <c r="DA64" s="38"/>
      <c r="DB64" s="38"/>
      <c r="DC64" s="38"/>
      <c r="DD64" s="38"/>
      <c r="DE64" s="38"/>
      <c r="DF64" s="38"/>
      <c r="DG64" s="38"/>
      <c r="DH64" s="38"/>
      <c r="DI64" s="38"/>
      <c r="DJ64" s="38"/>
      <c r="DK64" s="38"/>
      <c r="DL64" s="38"/>
      <c r="DM64" s="38"/>
      <c r="DN64" s="38"/>
      <c r="DO64" s="38"/>
      <c r="DP64" s="38"/>
      <c r="DQ64" s="38"/>
      <c r="DR64" s="38"/>
      <c r="DS64" s="38"/>
      <c r="DT64" s="38"/>
      <c r="DU64" s="38"/>
      <c r="DV64" s="38"/>
      <c r="DW64" s="38"/>
      <c r="DX64" s="38"/>
      <c r="DY64" s="38"/>
      <c r="DZ64" s="38"/>
      <c r="EA64" s="38"/>
      <c r="EB64" s="38"/>
      <c r="EC64" s="38"/>
      <c r="ED64" s="38"/>
      <c r="EE64" s="38"/>
      <c r="EF64" s="38"/>
      <c r="EG64" s="38"/>
      <c r="EH64" s="38"/>
      <c r="EI64" s="38"/>
      <c r="EJ64" s="38"/>
      <c r="EK64" s="38"/>
      <c r="EL64" s="38"/>
      <c r="EM64" s="38"/>
      <c r="EN64" s="38"/>
      <c r="EO64" s="38"/>
      <c r="EP64" s="38"/>
      <c r="EQ64" s="38"/>
      <c r="ER64" s="38"/>
      <c r="ES64" s="38"/>
      <c r="ET64" s="38"/>
      <c r="EU64" s="38"/>
      <c r="EV64" s="38"/>
      <c r="EW64" s="38"/>
      <c r="EX64" s="38"/>
      <c r="EY64" s="38"/>
      <c r="EZ64" s="38"/>
      <c r="FA64" s="38"/>
      <c r="FB64" s="38"/>
      <c r="FC64" s="38"/>
      <c r="FD64" s="38"/>
      <c r="FE64" s="38"/>
      <c r="FF64" s="38"/>
      <c r="FG64" s="38"/>
      <c r="FH64" s="38"/>
      <c r="FI64" s="38"/>
      <c r="FJ64" s="38"/>
      <c r="FK64" s="38"/>
      <c r="FL64" s="38"/>
      <c r="FM64" s="38"/>
      <c r="FN64" s="38"/>
      <c r="FO64" s="38"/>
      <c r="FP64" s="38"/>
      <c r="FQ64" s="38"/>
      <c r="FR64" s="38"/>
      <c r="FS64" s="38"/>
      <c r="FT64" s="38"/>
      <c r="FU64" s="38"/>
      <c r="FV64" s="38"/>
      <c r="FW64" s="38"/>
      <c r="FX64" s="38"/>
      <c r="FY64" s="38"/>
      <c r="FZ64" s="38"/>
      <c r="GA64" s="38"/>
      <c r="GB64" s="38"/>
      <c r="GC64" s="38"/>
      <c r="GD64" s="38"/>
      <c r="GE64" s="38"/>
      <c r="GF64" s="38"/>
      <c r="GG64" s="38"/>
      <c r="GH64" s="38"/>
      <c r="GI64" s="38"/>
      <c r="GJ64" s="38"/>
      <c r="GK64" s="38"/>
      <c r="GL64" s="38"/>
      <c r="GM64" s="38"/>
      <c r="GN64" s="38"/>
      <c r="GO64" s="38"/>
      <c r="GP64" s="38"/>
      <c r="GQ64" s="38"/>
      <c r="GR64" s="38"/>
      <c r="GS64" s="38"/>
      <c r="GT64" s="38"/>
      <c r="GU64" s="38"/>
      <c r="GV64" s="38"/>
      <c r="GW64" s="38"/>
      <c r="GX64" s="38"/>
      <c r="GY64" s="38"/>
      <c r="GZ64" s="38"/>
      <c r="HA64" s="38"/>
      <c r="HB64" s="38"/>
      <c r="HC64" s="38"/>
      <c r="HD64" s="38"/>
      <c r="HE64" s="38"/>
      <c r="HF64" s="38"/>
      <c r="HG64" s="38"/>
      <c r="HH64" s="38"/>
      <c r="HI64" s="38"/>
      <c r="HJ64" s="38"/>
      <c r="HK64" s="38"/>
      <c r="HL64" s="38"/>
      <c r="HM64" s="38"/>
      <c r="HN64" s="38"/>
      <c r="HO64" s="38"/>
      <c r="HP64" s="38"/>
      <c r="HQ64" s="38"/>
      <c r="HR64" s="38"/>
      <c r="HS64" s="38"/>
      <c r="HT64" s="38"/>
      <c r="HU64" s="38"/>
      <c r="HV64" s="38"/>
      <c r="HW64" s="38"/>
      <c r="HX64" s="38"/>
      <c r="HY64" s="38"/>
      <c r="HZ64" s="38"/>
      <c r="IA64" s="38"/>
      <c r="IB64" s="38"/>
      <c r="IC64" s="38"/>
      <c r="ID64" s="38"/>
      <c r="IE64" s="38"/>
      <c r="IF64" s="38"/>
      <c r="IG64" s="38"/>
      <c r="IH64" s="38"/>
      <c r="II64" s="38"/>
      <c r="IJ64" s="38"/>
      <c r="IK64" s="38"/>
      <c r="IL64" s="38"/>
      <c r="IM64" s="38"/>
      <c r="IN64" s="38"/>
      <c r="IO64" s="38"/>
      <c r="IP64" s="38"/>
      <c r="IQ64" s="38"/>
      <c r="IR64" s="38"/>
      <c r="IS64" s="38"/>
      <c r="IT64" s="38"/>
      <c r="IU64" s="38"/>
      <c r="IV64" s="38"/>
      <c r="IW64" s="38"/>
      <c r="IX64" s="38"/>
      <c r="IY64" s="38"/>
      <c r="IZ64" s="38"/>
      <c r="JA64" s="38"/>
      <c r="JB64" s="38"/>
      <c r="JC64" s="38"/>
      <c r="JD64" s="38"/>
      <c r="JE64" s="38"/>
      <c r="JF64" s="38"/>
      <c r="JG64" s="38"/>
      <c r="JH64" s="38"/>
      <c r="JI64" s="38"/>
      <c r="JJ64" s="38"/>
      <c r="JK64" s="38"/>
      <c r="JL64" s="38"/>
      <c r="JM64" s="38"/>
      <c r="JN64" s="38"/>
      <c r="JO64" s="38"/>
      <c r="JP64" s="38"/>
      <c r="JQ64" s="38"/>
      <c r="JR64" s="38"/>
      <c r="JS64" s="38"/>
      <c r="JT64" s="38"/>
      <c r="JU64" s="38"/>
      <c r="JV64" s="38"/>
      <c r="JW64" s="38"/>
      <c r="JX64" s="38"/>
      <c r="JY64" s="38"/>
      <c r="JZ64" s="38"/>
      <c r="KA64" s="38"/>
      <c r="KB64" s="38"/>
      <c r="KC64" s="38"/>
      <c r="KD64" s="38"/>
      <c r="KE64" s="38"/>
      <c r="KF64" s="38"/>
      <c r="KG64" s="38"/>
      <c r="KH64" s="38"/>
      <c r="KI64" s="38"/>
      <c r="KJ64" s="38"/>
      <c r="KK64" s="38"/>
      <c r="KL64" s="38"/>
      <c r="KM64" s="38"/>
      <c r="KN64" s="38"/>
      <c r="KO64" s="38"/>
      <c r="KP64" s="38"/>
      <c r="KQ64" s="38"/>
      <c r="KR64" s="38"/>
      <c r="KS64" s="38"/>
      <c r="KT64" s="38"/>
      <c r="KU64" s="38"/>
      <c r="KV64" s="38"/>
      <c r="KW64" s="38"/>
      <c r="KX64" s="38"/>
      <c r="KY64" s="38"/>
      <c r="KZ64" s="38"/>
      <c r="LA64" s="38"/>
      <c r="LB64" s="38"/>
      <c r="LC64" s="38"/>
      <c r="LD64" s="38"/>
      <c r="LE64" s="38"/>
      <c r="LF64" s="38"/>
      <c r="LG64" s="38"/>
      <c r="LH64" s="38"/>
      <c r="LI64" s="38"/>
      <c r="LJ64" s="38"/>
      <c r="LK64" s="38"/>
      <c r="LL64" s="38"/>
      <c r="LM64" s="38"/>
      <c r="LN64" s="38"/>
      <c r="LO64" s="38"/>
      <c r="LP64" s="38"/>
      <c r="LQ64" s="38"/>
      <c r="LR64" s="38"/>
      <c r="LS64" s="38"/>
      <c r="LT64" s="38"/>
      <c r="LU64" s="38"/>
      <c r="LV64" s="38"/>
      <c r="LW64" s="38"/>
      <c r="LX64" s="38"/>
      <c r="LY64" s="38"/>
      <c r="LZ64" s="38"/>
      <c r="MA64" s="38"/>
      <c r="MB64" s="38"/>
      <c r="MC64" s="38"/>
      <c r="MD64" s="38"/>
      <c r="ME64" s="38"/>
      <c r="MF64" s="38"/>
      <c r="MG64" s="38"/>
      <c r="MH64" s="38"/>
      <c r="MI64" s="38"/>
      <c r="MJ64" s="38"/>
      <c r="MK64" s="38"/>
      <c r="ML64" s="38"/>
      <c r="MM64" s="38"/>
      <c r="MN64" s="38"/>
      <c r="MO64" s="38"/>
      <c r="MP64" s="38"/>
      <c r="MQ64" s="38"/>
      <c r="MR64" s="38"/>
      <c r="MS64" s="38"/>
      <c r="MT64" s="38"/>
      <c r="MU64" s="38"/>
      <c r="MV64" s="38"/>
      <c r="MW64" s="38"/>
      <c r="MX64" s="38"/>
      <c r="MY64" s="38"/>
      <c r="MZ64" s="38"/>
      <c r="NA64" s="38"/>
      <c r="NB64" s="38"/>
      <c r="NC64" s="38"/>
      <c r="ND64" s="38"/>
      <c r="NE64" s="38"/>
      <c r="NF64" s="38"/>
      <c r="NG64" s="38"/>
      <c r="NH64" s="38"/>
      <c r="NI64" s="38"/>
      <c r="NJ64" s="38"/>
      <c r="NK64" s="38"/>
      <c r="NL64" s="38"/>
      <c r="NM64" s="38"/>
      <c r="NN64" s="38"/>
      <c r="NO64" s="38"/>
      <c r="NP64" s="38"/>
      <c r="NQ64" s="38"/>
      <c r="NR64" s="38"/>
      <c r="NS64" s="38"/>
      <c r="NT64" s="38"/>
      <c r="NU64" s="38"/>
      <c r="NV64" s="38"/>
      <c r="NW64" s="38"/>
      <c r="NX64" s="38"/>
      <c r="NY64" s="38"/>
      <c r="NZ64" s="38"/>
      <c r="OA64" s="38"/>
      <c r="OB64" s="38"/>
      <c r="OC64" s="38"/>
      <c r="OD64" s="38"/>
      <c r="OE64" s="38"/>
      <c r="OF64" s="38"/>
      <c r="OG64" s="38"/>
      <c r="OH64" s="38"/>
      <c r="OI64" s="38"/>
      <c r="OJ64" s="38"/>
      <c r="OK64" s="38"/>
      <c r="OL64" s="38"/>
      <c r="OM64" s="38"/>
      <c r="ON64" s="38"/>
      <c r="OO64" s="38"/>
      <c r="OP64" s="38"/>
      <c r="OQ64" s="38"/>
      <c r="OR64" s="38"/>
      <c r="OS64" s="38"/>
      <c r="OT64" s="38"/>
      <c r="OU64" s="38"/>
      <c r="OV64" s="38"/>
      <c r="OW64" s="38"/>
      <c r="OX64" s="38"/>
      <c r="OY64" s="38"/>
      <c r="OZ64" s="38"/>
      <c r="PA64" s="38"/>
      <c r="PB64" s="38"/>
      <c r="PC64" s="38"/>
      <c r="PD64" s="38"/>
      <c r="PE64" s="38"/>
      <c r="PF64" s="38"/>
      <c r="PG64" s="38"/>
      <c r="PH64" s="38"/>
      <c r="PI64" s="38"/>
      <c r="PJ64" s="38"/>
      <c r="PK64" s="38"/>
      <c r="PL64" s="38"/>
      <c r="PM64" s="38"/>
      <c r="PN64" s="38"/>
      <c r="PO64" s="38"/>
      <c r="PP64" s="38"/>
      <c r="PQ64" s="38"/>
      <c r="PR64" s="38"/>
      <c r="PS64" s="38"/>
      <c r="PT64" s="38"/>
      <c r="PU64" s="38"/>
      <c r="PV64" s="38"/>
      <c r="PW64" s="38"/>
      <c r="PX64" s="38"/>
      <c r="PY64" s="38"/>
      <c r="PZ64" s="38"/>
      <c r="QA64" s="38"/>
      <c r="QB64" s="38"/>
      <c r="QC64" s="38"/>
      <c r="QD64" s="38"/>
      <c r="QE64" s="38"/>
      <c r="QF64" s="38"/>
      <c r="QG64" s="38"/>
      <c r="QH64" s="38"/>
      <c r="QI64" s="38"/>
      <c r="QJ64" s="38"/>
      <c r="QK64" s="38"/>
      <c r="QL64" s="38"/>
      <c r="QM64" s="38"/>
      <c r="QN64" s="38"/>
      <c r="QO64" s="38"/>
      <c r="QP64" s="38"/>
      <c r="QQ64" s="38"/>
      <c r="QR64" s="38"/>
      <c r="QS64" s="38"/>
      <c r="QT64" s="38"/>
      <c r="QU64" s="38"/>
      <c r="QV64" s="38"/>
      <c r="QW64" s="38"/>
      <c r="QX64" s="38"/>
      <c r="QY64" s="38"/>
      <c r="QZ64" s="38"/>
      <c r="RA64" s="38"/>
      <c r="RB64" s="38"/>
      <c r="RC64" s="38"/>
      <c r="RD64" s="38"/>
      <c r="RE64" s="38"/>
      <c r="RF64" s="38"/>
      <c r="RG64" s="38"/>
      <c r="RH64" s="38"/>
      <c r="RI64" s="38"/>
      <c r="RJ64" s="38"/>
      <c r="RK64" s="38"/>
      <c r="RL64" s="38"/>
      <c r="RM64" s="38"/>
      <c r="RN64" s="38"/>
      <c r="RO64" s="38"/>
      <c r="RP64" s="38"/>
      <c r="RQ64" s="38"/>
      <c r="RR64" s="38"/>
      <c r="RS64" s="38"/>
      <c r="RT64" s="38"/>
      <c r="RU64" s="38"/>
      <c r="RV64" s="38"/>
      <c r="RW64" s="38"/>
      <c r="RX64" s="38"/>
      <c r="RY64" s="38"/>
      <c r="RZ64" s="38"/>
      <c r="SA64" s="38"/>
      <c r="SB64" s="38"/>
      <c r="SC64" s="38"/>
      <c r="SD64" s="38"/>
      <c r="SE64" s="38"/>
      <c r="SF64" s="38"/>
      <c r="SG64" s="38"/>
      <c r="SH64" s="38"/>
      <c r="SI64" s="38"/>
      <c r="SJ64" s="38"/>
      <c r="SK64" s="38"/>
      <c r="SL64" s="38"/>
      <c r="SM64" s="38"/>
      <c r="SN64" s="38"/>
      <c r="SO64" s="38"/>
      <c r="SP64" s="38"/>
      <c r="SQ64" s="38"/>
      <c r="SR64" s="38"/>
      <c r="SS64" s="38"/>
      <c r="ST64" s="38"/>
      <c r="SU64" s="38"/>
      <c r="SV64" s="38"/>
      <c r="SW64" s="38"/>
      <c r="SX64" s="38"/>
      <c r="SY64" s="38"/>
      <c r="SZ64" s="38"/>
      <c r="TA64" s="38"/>
      <c r="TB64" s="38"/>
      <c r="TC64" s="38"/>
      <c r="TD64" s="38"/>
      <c r="TE64" s="38"/>
      <c r="TF64" s="38"/>
      <c r="TG64" s="38"/>
      <c r="TH64" s="38"/>
      <c r="TI64" s="38"/>
      <c r="TJ64" s="38"/>
      <c r="TK64" s="38"/>
      <c r="TL64" s="38"/>
      <c r="TM64" s="38"/>
    </row>
    <row r="65" spans="2:533" s="39" customFormat="1" ht="18.75" x14ac:dyDescent="0.25">
      <c r="B65" s="50" t="s">
        <v>125</v>
      </c>
      <c r="C65" s="41" t="s">
        <v>136</v>
      </c>
      <c r="D65" s="56" t="s">
        <v>137</v>
      </c>
      <c r="E65" s="87" t="s">
        <v>131</v>
      </c>
      <c r="F65" s="53">
        <v>4</v>
      </c>
      <c r="G65" s="59"/>
      <c r="H65" s="46"/>
      <c r="I65" s="47">
        <f t="shared" si="9"/>
        <v>0</v>
      </c>
      <c r="J65" s="48">
        <v>2031</v>
      </c>
      <c r="K65" s="47" t="s">
        <v>30</v>
      </c>
      <c r="L65" s="49"/>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c r="DA65" s="38"/>
      <c r="DB65" s="38"/>
      <c r="DC65" s="38"/>
      <c r="DD65" s="38"/>
      <c r="DE65" s="38"/>
      <c r="DF65" s="38"/>
      <c r="DG65" s="38"/>
      <c r="DH65" s="38"/>
      <c r="DI65" s="38"/>
      <c r="DJ65" s="38"/>
      <c r="DK65" s="38"/>
      <c r="DL65" s="38"/>
      <c r="DM65" s="38"/>
      <c r="DN65" s="38"/>
      <c r="DO65" s="38"/>
      <c r="DP65" s="38"/>
      <c r="DQ65" s="38"/>
      <c r="DR65" s="38"/>
      <c r="DS65" s="38"/>
      <c r="DT65" s="38"/>
      <c r="DU65" s="38"/>
      <c r="DV65" s="38"/>
      <c r="DW65" s="38"/>
      <c r="DX65" s="38"/>
      <c r="DY65" s="38"/>
      <c r="DZ65" s="38"/>
      <c r="EA65" s="38"/>
      <c r="EB65" s="38"/>
      <c r="EC65" s="38"/>
      <c r="ED65" s="38"/>
      <c r="EE65" s="38"/>
      <c r="EF65" s="38"/>
      <c r="EG65" s="38"/>
      <c r="EH65" s="38"/>
      <c r="EI65" s="38"/>
      <c r="EJ65" s="38"/>
      <c r="EK65" s="38"/>
      <c r="EL65" s="38"/>
      <c r="EM65" s="38"/>
      <c r="EN65" s="38"/>
      <c r="EO65" s="38"/>
      <c r="EP65" s="38"/>
      <c r="EQ65" s="38"/>
      <c r="ER65" s="38"/>
      <c r="ES65" s="38"/>
      <c r="ET65" s="38"/>
      <c r="EU65" s="38"/>
      <c r="EV65" s="38"/>
      <c r="EW65" s="38"/>
      <c r="EX65" s="38"/>
      <c r="EY65" s="38"/>
      <c r="EZ65" s="38"/>
      <c r="FA65" s="38"/>
      <c r="FB65" s="38"/>
      <c r="FC65" s="38"/>
      <c r="FD65" s="38"/>
      <c r="FE65" s="38"/>
      <c r="FF65" s="38"/>
      <c r="FG65" s="38"/>
      <c r="FH65" s="38"/>
      <c r="FI65" s="38"/>
      <c r="FJ65" s="38"/>
      <c r="FK65" s="38"/>
      <c r="FL65" s="38"/>
      <c r="FM65" s="38"/>
      <c r="FN65" s="38"/>
      <c r="FO65" s="38"/>
      <c r="FP65" s="38"/>
      <c r="FQ65" s="38"/>
      <c r="FR65" s="38"/>
      <c r="FS65" s="38"/>
      <c r="FT65" s="38"/>
      <c r="FU65" s="38"/>
      <c r="FV65" s="38"/>
      <c r="FW65" s="38"/>
      <c r="FX65" s="38"/>
      <c r="FY65" s="38"/>
      <c r="FZ65" s="38"/>
      <c r="GA65" s="38"/>
      <c r="GB65" s="38"/>
      <c r="GC65" s="38"/>
      <c r="GD65" s="38"/>
      <c r="GE65" s="38"/>
      <c r="GF65" s="38"/>
      <c r="GG65" s="38"/>
      <c r="GH65" s="38"/>
      <c r="GI65" s="38"/>
      <c r="GJ65" s="38"/>
      <c r="GK65" s="38"/>
      <c r="GL65" s="38"/>
      <c r="GM65" s="38"/>
      <c r="GN65" s="38"/>
      <c r="GO65" s="38"/>
      <c r="GP65" s="38"/>
      <c r="GQ65" s="38"/>
      <c r="GR65" s="38"/>
      <c r="GS65" s="38"/>
      <c r="GT65" s="38"/>
      <c r="GU65" s="38"/>
      <c r="GV65" s="38"/>
      <c r="GW65" s="38"/>
      <c r="GX65" s="38"/>
      <c r="GY65" s="38"/>
      <c r="GZ65" s="38"/>
      <c r="HA65" s="38"/>
      <c r="HB65" s="38"/>
      <c r="HC65" s="38"/>
      <c r="HD65" s="38"/>
      <c r="HE65" s="38"/>
      <c r="HF65" s="38"/>
      <c r="HG65" s="38"/>
      <c r="HH65" s="38"/>
      <c r="HI65" s="38"/>
      <c r="HJ65" s="38"/>
      <c r="HK65" s="38"/>
      <c r="HL65" s="38"/>
      <c r="HM65" s="38"/>
      <c r="HN65" s="38"/>
      <c r="HO65" s="38"/>
      <c r="HP65" s="38"/>
      <c r="HQ65" s="38"/>
      <c r="HR65" s="38"/>
      <c r="HS65" s="38"/>
      <c r="HT65" s="38"/>
      <c r="HU65" s="38"/>
      <c r="HV65" s="38"/>
      <c r="HW65" s="38"/>
      <c r="HX65" s="38"/>
      <c r="HY65" s="38"/>
      <c r="HZ65" s="38"/>
      <c r="IA65" s="38"/>
      <c r="IB65" s="38"/>
      <c r="IC65" s="38"/>
      <c r="ID65" s="38"/>
      <c r="IE65" s="38"/>
      <c r="IF65" s="38"/>
      <c r="IG65" s="38"/>
      <c r="IH65" s="38"/>
      <c r="II65" s="38"/>
      <c r="IJ65" s="38"/>
      <c r="IK65" s="38"/>
      <c r="IL65" s="38"/>
      <c r="IM65" s="38"/>
      <c r="IN65" s="38"/>
      <c r="IO65" s="38"/>
      <c r="IP65" s="38"/>
      <c r="IQ65" s="38"/>
      <c r="IR65" s="38"/>
      <c r="IS65" s="38"/>
      <c r="IT65" s="38"/>
      <c r="IU65" s="38"/>
      <c r="IV65" s="38"/>
      <c r="IW65" s="38"/>
      <c r="IX65" s="38"/>
      <c r="IY65" s="38"/>
      <c r="IZ65" s="38"/>
      <c r="JA65" s="38"/>
      <c r="JB65" s="38"/>
      <c r="JC65" s="38"/>
      <c r="JD65" s="38"/>
      <c r="JE65" s="38"/>
      <c r="JF65" s="38"/>
      <c r="JG65" s="38"/>
      <c r="JH65" s="38"/>
      <c r="JI65" s="38"/>
      <c r="JJ65" s="38"/>
      <c r="JK65" s="38"/>
      <c r="JL65" s="38"/>
      <c r="JM65" s="38"/>
      <c r="JN65" s="38"/>
      <c r="JO65" s="38"/>
      <c r="JP65" s="38"/>
      <c r="JQ65" s="38"/>
      <c r="JR65" s="38"/>
      <c r="JS65" s="38"/>
      <c r="JT65" s="38"/>
      <c r="JU65" s="38"/>
      <c r="JV65" s="38"/>
      <c r="JW65" s="38"/>
      <c r="JX65" s="38"/>
      <c r="JY65" s="38"/>
      <c r="JZ65" s="38"/>
      <c r="KA65" s="38"/>
      <c r="KB65" s="38"/>
      <c r="KC65" s="38"/>
      <c r="KD65" s="38"/>
      <c r="KE65" s="38"/>
      <c r="KF65" s="38"/>
      <c r="KG65" s="38"/>
      <c r="KH65" s="38"/>
      <c r="KI65" s="38"/>
      <c r="KJ65" s="38"/>
      <c r="KK65" s="38"/>
      <c r="KL65" s="38"/>
      <c r="KM65" s="38"/>
      <c r="KN65" s="38"/>
      <c r="KO65" s="38"/>
      <c r="KP65" s="38"/>
      <c r="KQ65" s="38"/>
      <c r="KR65" s="38"/>
      <c r="KS65" s="38"/>
      <c r="KT65" s="38"/>
      <c r="KU65" s="38"/>
      <c r="KV65" s="38"/>
      <c r="KW65" s="38"/>
      <c r="KX65" s="38"/>
      <c r="KY65" s="38"/>
      <c r="KZ65" s="38"/>
      <c r="LA65" s="38"/>
      <c r="LB65" s="38"/>
      <c r="LC65" s="38"/>
      <c r="LD65" s="38"/>
      <c r="LE65" s="38"/>
      <c r="LF65" s="38"/>
      <c r="LG65" s="38"/>
      <c r="LH65" s="38"/>
      <c r="LI65" s="38"/>
      <c r="LJ65" s="38"/>
      <c r="LK65" s="38"/>
      <c r="LL65" s="38"/>
      <c r="LM65" s="38"/>
      <c r="LN65" s="38"/>
      <c r="LO65" s="38"/>
      <c r="LP65" s="38"/>
      <c r="LQ65" s="38"/>
      <c r="LR65" s="38"/>
      <c r="LS65" s="38"/>
      <c r="LT65" s="38"/>
      <c r="LU65" s="38"/>
      <c r="LV65" s="38"/>
      <c r="LW65" s="38"/>
      <c r="LX65" s="38"/>
      <c r="LY65" s="38"/>
      <c r="LZ65" s="38"/>
      <c r="MA65" s="38"/>
      <c r="MB65" s="38"/>
      <c r="MC65" s="38"/>
      <c r="MD65" s="38"/>
      <c r="ME65" s="38"/>
      <c r="MF65" s="38"/>
      <c r="MG65" s="38"/>
      <c r="MH65" s="38"/>
      <c r="MI65" s="38"/>
      <c r="MJ65" s="38"/>
      <c r="MK65" s="38"/>
      <c r="ML65" s="38"/>
      <c r="MM65" s="38"/>
      <c r="MN65" s="38"/>
      <c r="MO65" s="38"/>
      <c r="MP65" s="38"/>
      <c r="MQ65" s="38"/>
      <c r="MR65" s="38"/>
      <c r="MS65" s="38"/>
      <c r="MT65" s="38"/>
      <c r="MU65" s="38"/>
      <c r="MV65" s="38"/>
      <c r="MW65" s="38"/>
      <c r="MX65" s="38"/>
      <c r="MY65" s="38"/>
      <c r="MZ65" s="38"/>
      <c r="NA65" s="38"/>
      <c r="NB65" s="38"/>
      <c r="NC65" s="38"/>
      <c r="ND65" s="38"/>
      <c r="NE65" s="38"/>
      <c r="NF65" s="38"/>
      <c r="NG65" s="38"/>
      <c r="NH65" s="38"/>
      <c r="NI65" s="38"/>
      <c r="NJ65" s="38"/>
      <c r="NK65" s="38"/>
      <c r="NL65" s="38"/>
      <c r="NM65" s="38"/>
      <c r="NN65" s="38"/>
      <c r="NO65" s="38"/>
      <c r="NP65" s="38"/>
      <c r="NQ65" s="38"/>
      <c r="NR65" s="38"/>
      <c r="NS65" s="38"/>
      <c r="NT65" s="38"/>
      <c r="NU65" s="38"/>
      <c r="NV65" s="38"/>
      <c r="NW65" s="38"/>
      <c r="NX65" s="38"/>
      <c r="NY65" s="38"/>
      <c r="NZ65" s="38"/>
      <c r="OA65" s="38"/>
      <c r="OB65" s="38"/>
      <c r="OC65" s="38"/>
      <c r="OD65" s="38"/>
      <c r="OE65" s="38"/>
      <c r="OF65" s="38"/>
      <c r="OG65" s="38"/>
      <c r="OH65" s="38"/>
      <c r="OI65" s="38"/>
      <c r="OJ65" s="38"/>
      <c r="OK65" s="38"/>
      <c r="OL65" s="38"/>
      <c r="OM65" s="38"/>
      <c r="ON65" s="38"/>
      <c r="OO65" s="38"/>
      <c r="OP65" s="38"/>
      <c r="OQ65" s="38"/>
      <c r="OR65" s="38"/>
      <c r="OS65" s="38"/>
      <c r="OT65" s="38"/>
      <c r="OU65" s="38"/>
      <c r="OV65" s="38"/>
      <c r="OW65" s="38"/>
      <c r="OX65" s="38"/>
      <c r="OY65" s="38"/>
      <c r="OZ65" s="38"/>
      <c r="PA65" s="38"/>
      <c r="PB65" s="38"/>
      <c r="PC65" s="38"/>
      <c r="PD65" s="38"/>
      <c r="PE65" s="38"/>
      <c r="PF65" s="38"/>
      <c r="PG65" s="38"/>
      <c r="PH65" s="38"/>
      <c r="PI65" s="38"/>
      <c r="PJ65" s="38"/>
      <c r="PK65" s="38"/>
      <c r="PL65" s="38"/>
      <c r="PM65" s="38"/>
      <c r="PN65" s="38"/>
      <c r="PO65" s="38"/>
      <c r="PP65" s="38"/>
      <c r="PQ65" s="38"/>
      <c r="PR65" s="38"/>
      <c r="PS65" s="38"/>
      <c r="PT65" s="38"/>
      <c r="PU65" s="38"/>
      <c r="PV65" s="38"/>
      <c r="PW65" s="38"/>
      <c r="PX65" s="38"/>
      <c r="PY65" s="38"/>
      <c r="PZ65" s="38"/>
      <c r="QA65" s="38"/>
      <c r="QB65" s="38"/>
      <c r="QC65" s="38"/>
      <c r="QD65" s="38"/>
      <c r="QE65" s="38"/>
      <c r="QF65" s="38"/>
      <c r="QG65" s="38"/>
      <c r="QH65" s="38"/>
      <c r="QI65" s="38"/>
      <c r="QJ65" s="38"/>
      <c r="QK65" s="38"/>
      <c r="QL65" s="38"/>
      <c r="QM65" s="38"/>
      <c r="QN65" s="38"/>
      <c r="QO65" s="38"/>
      <c r="QP65" s="38"/>
      <c r="QQ65" s="38"/>
      <c r="QR65" s="38"/>
      <c r="QS65" s="38"/>
      <c r="QT65" s="38"/>
      <c r="QU65" s="38"/>
      <c r="QV65" s="38"/>
      <c r="QW65" s="38"/>
      <c r="QX65" s="38"/>
      <c r="QY65" s="38"/>
      <c r="QZ65" s="38"/>
      <c r="RA65" s="38"/>
      <c r="RB65" s="38"/>
      <c r="RC65" s="38"/>
      <c r="RD65" s="38"/>
      <c r="RE65" s="38"/>
      <c r="RF65" s="38"/>
      <c r="RG65" s="38"/>
      <c r="RH65" s="38"/>
      <c r="RI65" s="38"/>
      <c r="RJ65" s="38"/>
      <c r="RK65" s="38"/>
      <c r="RL65" s="38"/>
      <c r="RM65" s="38"/>
      <c r="RN65" s="38"/>
      <c r="RO65" s="38"/>
      <c r="RP65" s="38"/>
      <c r="RQ65" s="38"/>
      <c r="RR65" s="38"/>
      <c r="RS65" s="38"/>
      <c r="RT65" s="38"/>
      <c r="RU65" s="38"/>
      <c r="RV65" s="38"/>
      <c r="RW65" s="38"/>
      <c r="RX65" s="38"/>
      <c r="RY65" s="38"/>
      <c r="RZ65" s="38"/>
      <c r="SA65" s="38"/>
      <c r="SB65" s="38"/>
      <c r="SC65" s="38"/>
      <c r="SD65" s="38"/>
      <c r="SE65" s="38"/>
      <c r="SF65" s="38"/>
      <c r="SG65" s="38"/>
      <c r="SH65" s="38"/>
      <c r="SI65" s="38"/>
      <c r="SJ65" s="38"/>
      <c r="SK65" s="38"/>
      <c r="SL65" s="38"/>
      <c r="SM65" s="38"/>
      <c r="SN65" s="38"/>
      <c r="SO65" s="38"/>
      <c r="SP65" s="38"/>
      <c r="SQ65" s="38"/>
      <c r="SR65" s="38"/>
      <c r="SS65" s="38"/>
      <c r="ST65" s="38"/>
      <c r="SU65" s="38"/>
      <c r="SV65" s="38"/>
      <c r="SW65" s="38"/>
      <c r="SX65" s="38"/>
      <c r="SY65" s="38"/>
      <c r="SZ65" s="38"/>
      <c r="TA65" s="38"/>
      <c r="TB65" s="38"/>
      <c r="TC65" s="38"/>
      <c r="TD65" s="38"/>
      <c r="TE65" s="38"/>
      <c r="TF65" s="38"/>
      <c r="TG65" s="38"/>
      <c r="TH65" s="38"/>
      <c r="TI65" s="38"/>
      <c r="TJ65" s="38"/>
      <c r="TK65" s="38"/>
      <c r="TL65" s="38"/>
      <c r="TM65" s="38"/>
    </row>
    <row r="66" spans="2:533" s="39" customFormat="1" ht="18.75" x14ac:dyDescent="0.25">
      <c r="B66" s="50" t="s">
        <v>125</v>
      </c>
      <c r="C66" s="41" t="s">
        <v>138</v>
      </c>
      <c r="D66" s="56" t="s">
        <v>139</v>
      </c>
      <c r="E66" s="87" t="s">
        <v>131</v>
      </c>
      <c r="F66" s="53">
        <v>1</v>
      </c>
      <c r="G66" s="59"/>
      <c r="H66" s="46"/>
      <c r="I66" s="47">
        <f t="shared" si="9"/>
        <v>0</v>
      </c>
      <c r="J66" s="48">
        <v>2031</v>
      </c>
      <c r="K66" s="47" t="s">
        <v>30</v>
      </c>
      <c r="L66" s="49"/>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c r="DC66" s="38"/>
      <c r="DD66" s="38"/>
      <c r="DE66" s="38"/>
      <c r="DF66" s="38"/>
      <c r="DG66" s="38"/>
      <c r="DH66" s="38"/>
      <c r="DI66" s="38"/>
      <c r="DJ66" s="38"/>
      <c r="DK66" s="38"/>
      <c r="DL66" s="38"/>
      <c r="DM66" s="38"/>
      <c r="DN66" s="38"/>
      <c r="DO66" s="38"/>
      <c r="DP66" s="38"/>
      <c r="DQ66" s="38"/>
      <c r="DR66" s="38"/>
      <c r="DS66" s="38"/>
      <c r="DT66" s="38"/>
      <c r="DU66" s="38"/>
      <c r="DV66" s="38"/>
      <c r="DW66" s="38"/>
      <c r="DX66" s="38"/>
      <c r="DY66" s="38"/>
      <c r="DZ66" s="38"/>
      <c r="EA66" s="38"/>
      <c r="EB66" s="38"/>
      <c r="EC66" s="38"/>
      <c r="ED66" s="38"/>
      <c r="EE66" s="38"/>
      <c r="EF66" s="38"/>
      <c r="EG66" s="38"/>
      <c r="EH66" s="38"/>
      <c r="EI66" s="38"/>
      <c r="EJ66" s="38"/>
      <c r="EK66" s="38"/>
      <c r="EL66" s="38"/>
      <c r="EM66" s="38"/>
      <c r="EN66" s="38"/>
      <c r="EO66" s="38"/>
      <c r="EP66" s="38"/>
      <c r="EQ66" s="38"/>
      <c r="ER66" s="38"/>
      <c r="ES66" s="38"/>
      <c r="ET66" s="38"/>
      <c r="EU66" s="38"/>
      <c r="EV66" s="38"/>
      <c r="EW66" s="38"/>
      <c r="EX66" s="38"/>
      <c r="EY66" s="38"/>
      <c r="EZ66" s="38"/>
      <c r="FA66" s="38"/>
      <c r="FB66" s="38"/>
      <c r="FC66" s="38"/>
      <c r="FD66" s="38"/>
      <c r="FE66" s="38"/>
      <c r="FF66" s="38"/>
      <c r="FG66" s="38"/>
      <c r="FH66" s="38"/>
      <c r="FI66" s="38"/>
      <c r="FJ66" s="38"/>
      <c r="FK66" s="38"/>
      <c r="FL66" s="38"/>
      <c r="FM66" s="38"/>
      <c r="FN66" s="38"/>
      <c r="FO66" s="38"/>
      <c r="FP66" s="38"/>
      <c r="FQ66" s="38"/>
      <c r="FR66" s="38"/>
      <c r="FS66" s="38"/>
      <c r="FT66" s="38"/>
      <c r="FU66" s="38"/>
      <c r="FV66" s="38"/>
      <c r="FW66" s="38"/>
      <c r="FX66" s="38"/>
      <c r="FY66" s="38"/>
      <c r="FZ66" s="38"/>
      <c r="GA66" s="38"/>
      <c r="GB66" s="38"/>
      <c r="GC66" s="38"/>
      <c r="GD66" s="38"/>
      <c r="GE66" s="38"/>
      <c r="GF66" s="38"/>
      <c r="GG66" s="38"/>
      <c r="GH66" s="38"/>
      <c r="GI66" s="38"/>
      <c r="GJ66" s="38"/>
      <c r="GK66" s="38"/>
      <c r="GL66" s="38"/>
      <c r="GM66" s="38"/>
      <c r="GN66" s="38"/>
      <c r="GO66" s="38"/>
      <c r="GP66" s="38"/>
      <c r="GQ66" s="38"/>
      <c r="GR66" s="38"/>
      <c r="GS66" s="38"/>
      <c r="GT66" s="38"/>
      <c r="GU66" s="38"/>
      <c r="GV66" s="38"/>
      <c r="GW66" s="38"/>
      <c r="GX66" s="38"/>
      <c r="GY66" s="38"/>
      <c r="GZ66" s="38"/>
      <c r="HA66" s="38"/>
      <c r="HB66" s="38"/>
      <c r="HC66" s="38"/>
      <c r="HD66" s="38"/>
      <c r="HE66" s="38"/>
      <c r="HF66" s="38"/>
      <c r="HG66" s="38"/>
      <c r="HH66" s="38"/>
      <c r="HI66" s="38"/>
      <c r="HJ66" s="38"/>
      <c r="HK66" s="38"/>
      <c r="HL66" s="38"/>
      <c r="HM66" s="38"/>
      <c r="HN66" s="38"/>
      <c r="HO66" s="38"/>
      <c r="HP66" s="38"/>
      <c r="HQ66" s="38"/>
      <c r="HR66" s="38"/>
      <c r="HS66" s="38"/>
      <c r="HT66" s="38"/>
      <c r="HU66" s="38"/>
      <c r="HV66" s="38"/>
      <c r="HW66" s="38"/>
      <c r="HX66" s="38"/>
      <c r="HY66" s="38"/>
      <c r="HZ66" s="38"/>
      <c r="IA66" s="38"/>
      <c r="IB66" s="38"/>
      <c r="IC66" s="38"/>
      <c r="ID66" s="38"/>
      <c r="IE66" s="38"/>
      <c r="IF66" s="38"/>
      <c r="IG66" s="38"/>
      <c r="IH66" s="38"/>
      <c r="II66" s="38"/>
      <c r="IJ66" s="38"/>
      <c r="IK66" s="38"/>
      <c r="IL66" s="38"/>
      <c r="IM66" s="38"/>
      <c r="IN66" s="38"/>
      <c r="IO66" s="38"/>
      <c r="IP66" s="38"/>
      <c r="IQ66" s="38"/>
      <c r="IR66" s="38"/>
      <c r="IS66" s="38"/>
      <c r="IT66" s="38"/>
      <c r="IU66" s="38"/>
      <c r="IV66" s="38"/>
      <c r="IW66" s="38"/>
      <c r="IX66" s="38"/>
      <c r="IY66" s="38"/>
      <c r="IZ66" s="38"/>
      <c r="JA66" s="38"/>
      <c r="JB66" s="38"/>
      <c r="JC66" s="38"/>
      <c r="JD66" s="38"/>
      <c r="JE66" s="38"/>
      <c r="JF66" s="38"/>
      <c r="JG66" s="38"/>
      <c r="JH66" s="38"/>
      <c r="JI66" s="38"/>
      <c r="JJ66" s="38"/>
      <c r="JK66" s="38"/>
      <c r="JL66" s="38"/>
      <c r="JM66" s="38"/>
      <c r="JN66" s="38"/>
      <c r="JO66" s="38"/>
      <c r="JP66" s="38"/>
      <c r="JQ66" s="38"/>
      <c r="JR66" s="38"/>
      <c r="JS66" s="38"/>
      <c r="JT66" s="38"/>
      <c r="JU66" s="38"/>
      <c r="JV66" s="38"/>
      <c r="JW66" s="38"/>
      <c r="JX66" s="38"/>
      <c r="JY66" s="38"/>
      <c r="JZ66" s="38"/>
      <c r="KA66" s="38"/>
      <c r="KB66" s="38"/>
      <c r="KC66" s="38"/>
      <c r="KD66" s="38"/>
      <c r="KE66" s="38"/>
      <c r="KF66" s="38"/>
      <c r="KG66" s="38"/>
      <c r="KH66" s="38"/>
      <c r="KI66" s="38"/>
      <c r="KJ66" s="38"/>
      <c r="KK66" s="38"/>
      <c r="KL66" s="38"/>
      <c r="KM66" s="38"/>
      <c r="KN66" s="38"/>
      <c r="KO66" s="38"/>
      <c r="KP66" s="38"/>
      <c r="KQ66" s="38"/>
      <c r="KR66" s="38"/>
      <c r="KS66" s="38"/>
      <c r="KT66" s="38"/>
      <c r="KU66" s="38"/>
      <c r="KV66" s="38"/>
      <c r="KW66" s="38"/>
      <c r="KX66" s="38"/>
      <c r="KY66" s="38"/>
      <c r="KZ66" s="38"/>
      <c r="LA66" s="38"/>
      <c r="LB66" s="38"/>
      <c r="LC66" s="38"/>
      <c r="LD66" s="38"/>
      <c r="LE66" s="38"/>
      <c r="LF66" s="38"/>
      <c r="LG66" s="38"/>
      <c r="LH66" s="38"/>
      <c r="LI66" s="38"/>
      <c r="LJ66" s="38"/>
      <c r="LK66" s="38"/>
      <c r="LL66" s="38"/>
      <c r="LM66" s="38"/>
      <c r="LN66" s="38"/>
      <c r="LO66" s="38"/>
      <c r="LP66" s="38"/>
      <c r="LQ66" s="38"/>
      <c r="LR66" s="38"/>
      <c r="LS66" s="38"/>
      <c r="LT66" s="38"/>
      <c r="LU66" s="38"/>
      <c r="LV66" s="38"/>
      <c r="LW66" s="38"/>
      <c r="LX66" s="38"/>
      <c r="LY66" s="38"/>
      <c r="LZ66" s="38"/>
      <c r="MA66" s="38"/>
      <c r="MB66" s="38"/>
      <c r="MC66" s="38"/>
      <c r="MD66" s="38"/>
      <c r="ME66" s="38"/>
      <c r="MF66" s="38"/>
      <c r="MG66" s="38"/>
      <c r="MH66" s="38"/>
      <c r="MI66" s="38"/>
      <c r="MJ66" s="38"/>
      <c r="MK66" s="38"/>
      <c r="ML66" s="38"/>
      <c r="MM66" s="38"/>
      <c r="MN66" s="38"/>
      <c r="MO66" s="38"/>
      <c r="MP66" s="38"/>
      <c r="MQ66" s="38"/>
      <c r="MR66" s="38"/>
      <c r="MS66" s="38"/>
      <c r="MT66" s="38"/>
      <c r="MU66" s="38"/>
      <c r="MV66" s="38"/>
      <c r="MW66" s="38"/>
      <c r="MX66" s="38"/>
      <c r="MY66" s="38"/>
      <c r="MZ66" s="38"/>
      <c r="NA66" s="38"/>
      <c r="NB66" s="38"/>
      <c r="NC66" s="38"/>
      <c r="ND66" s="38"/>
      <c r="NE66" s="38"/>
      <c r="NF66" s="38"/>
      <c r="NG66" s="38"/>
      <c r="NH66" s="38"/>
      <c r="NI66" s="38"/>
      <c r="NJ66" s="38"/>
      <c r="NK66" s="38"/>
      <c r="NL66" s="38"/>
      <c r="NM66" s="38"/>
      <c r="NN66" s="38"/>
      <c r="NO66" s="38"/>
      <c r="NP66" s="38"/>
      <c r="NQ66" s="38"/>
      <c r="NR66" s="38"/>
      <c r="NS66" s="38"/>
      <c r="NT66" s="38"/>
      <c r="NU66" s="38"/>
      <c r="NV66" s="38"/>
      <c r="NW66" s="38"/>
      <c r="NX66" s="38"/>
      <c r="NY66" s="38"/>
      <c r="NZ66" s="38"/>
      <c r="OA66" s="38"/>
      <c r="OB66" s="38"/>
      <c r="OC66" s="38"/>
      <c r="OD66" s="38"/>
      <c r="OE66" s="38"/>
      <c r="OF66" s="38"/>
      <c r="OG66" s="38"/>
      <c r="OH66" s="38"/>
      <c r="OI66" s="38"/>
      <c r="OJ66" s="38"/>
      <c r="OK66" s="38"/>
      <c r="OL66" s="38"/>
      <c r="OM66" s="38"/>
      <c r="ON66" s="38"/>
      <c r="OO66" s="38"/>
      <c r="OP66" s="38"/>
      <c r="OQ66" s="38"/>
      <c r="OR66" s="38"/>
      <c r="OS66" s="38"/>
      <c r="OT66" s="38"/>
      <c r="OU66" s="38"/>
      <c r="OV66" s="38"/>
      <c r="OW66" s="38"/>
      <c r="OX66" s="38"/>
      <c r="OY66" s="38"/>
      <c r="OZ66" s="38"/>
      <c r="PA66" s="38"/>
      <c r="PB66" s="38"/>
      <c r="PC66" s="38"/>
      <c r="PD66" s="38"/>
      <c r="PE66" s="38"/>
      <c r="PF66" s="38"/>
      <c r="PG66" s="38"/>
      <c r="PH66" s="38"/>
      <c r="PI66" s="38"/>
      <c r="PJ66" s="38"/>
      <c r="PK66" s="38"/>
      <c r="PL66" s="38"/>
      <c r="PM66" s="38"/>
      <c r="PN66" s="38"/>
      <c r="PO66" s="38"/>
      <c r="PP66" s="38"/>
      <c r="PQ66" s="38"/>
      <c r="PR66" s="38"/>
      <c r="PS66" s="38"/>
      <c r="PT66" s="38"/>
      <c r="PU66" s="38"/>
      <c r="PV66" s="38"/>
      <c r="PW66" s="38"/>
      <c r="PX66" s="38"/>
      <c r="PY66" s="38"/>
      <c r="PZ66" s="38"/>
      <c r="QA66" s="38"/>
      <c r="QB66" s="38"/>
      <c r="QC66" s="38"/>
      <c r="QD66" s="38"/>
      <c r="QE66" s="38"/>
      <c r="QF66" s="38"/>
      <c r="QG66" s="38"/>
      <c r="QH66" s="38"/>
      <c r="QI66" s="38"/>
      <c r="QJ66" s="38"/>
      <c r="QK66" s="38"/>
      <c r="QL66" s="38"/>
      <c r="QM66" s="38"/>
      <c r="QN66" s="38"/>
      <c r="QO66" s="38"/>
      <c r="QP66" s="38"/>
      <c r="QQ66" s="38"/>
      <c r="QR66" s="38"/>
      <c r="QS66" s="38"/>
      <c r="QT66" s="38"/>
      <c r="QU66" s="38"/>
      <c r="QV66" s="38"/>
      <c r="QW66" s="38"/>
      <c r="QX66" s="38"/>
      <c r="QY66" s="38"/>
      <c r="QZ66" s="38"/>
      <c r="RA66" s="38"/>
      <c r="RB66" s="38"/>
      <c r="RC66" s="38"/>
      <c r="RD66" s="38"/>
      <c r="RE66" s="38"/>
      <c r="RF66" s="38"/>
      <c r="RG66" s="38"/>
      <c r="RH66" s="38"/>
      <c r="RI66" s="38"/>
      <c r="RJ66" s="38"/>
      <c r="RK66" s="38"/>
      <c r="RL66" s="38"/>
      <c r="RM66" s="38"/>
      <c r="RN66" s="38"/>
      <c r="RO66" s="38"/>
      <c r="RP66" s="38"/>
      <c r="RQ66" s="38"/>
      <c r="RR66" s="38"/>
      <c r="RS66" s="38"/>
      <c r="RT66" s="38"/>
      <c r="RU66" s="38"/>
      <c r="RV66" s="38"/>
      <c r="RW66" s="38"/>
      <c r="RX66" s="38"/>
      <c r="RY66" s="38"/>
      <c r="RZ66" s="38"/>
      <c r="SA66" s="38"/>
      <c r="SB66" s="38"/>
      <c r="SC66" s="38"/>
      <c r="SD66" s="38"/>
      <c r="SE66" s="38"/>
      <c r="SF66" s="38"/>
      <c r="SG66" s="38"/>
      <c r="SH66" s="38"/>
      <c r="SI66" s="38"/>
      <c r="SJ66" s="38"/>
      <c r="SK66" s="38"/>
      <c r="SL66" s="38"/>
      <c r="SM66" s="38"/>
      <c r="SN66" s="38"/>
      <c r="SO66" s="38"/>
      <c r="SP66" s="38"/>
      <c r="SQ66" s="38"/>
      <c r="SR66" s="38"/>
      <c r="SS66" s="38"/>
      <c r="ST66" s="38"/>
      <c r="SU66" s="38"/>
      <c r="SV66" s="38"/>
      <c r="SW66" s="38"/>
      <c r="SX66" s="38"/>
      <c r="SY66" s="38"/>
      <c r="SZ66" s="38"/>
      <c r="TA66" s="38"/>
      <c r="TB66" s="38"/>
      <c r="TC66" s="38"/>
      <c r="TD66" s="38"/>
      <c r="TE66" s="38"/>
      <c r="TF66" s="38"/>
      <c r="TG66" s="38"/>
      <c r="TH66" s="38"/>
      <c r="TI66" s="38"/>
      <c r="TJ66" s="38"/>
      <c r="TK66" s="38"/>
      <c r="TL66" s="38"/>
      <c r="TM66" s="38"/>
    </row>
    <row r="67" spans="2:533" s="39" customFormat="1" ht="18.75" x14ac:dyDescent="0.25">
      <c r="B67" s="50" t="s">
        <v>125</v>
      </c>
      <c r="C67" s="41" t="s">
        <v>140</v>
      </c>
      <c r="D67" s="56" t="s">
        <v>141</v>
      </c>
      <c r="E67" s="87" t="s">
        <v>131</v>
      </c>
      <c r="F67" s="53">
        <v>1</v>
      </c>
      <c r="G67" s="59"/>
      <c r="H67" s="46"/>
      <c r="I67" s="47">
        <f t="shared" si="9"/>
        <v>0</v>
      </c>
      <c r="J67" s="48">
        <v>2031</v>
      </c>
      <c r="K67" s="47" t="s">
        <v>30</v>
      </c>
      <c r="L67" s="49"/>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c r="DA67" s="38"/>
      <c r="DB67" s="38"/>
      <c r="DC67" s="38"/>
      <c r="DD67" s="38"/>
      <c r="DE67" s="38"/>
      <c r="DF67" s="38"/>
      <c r="DG67" s="38"/>
      <c r="DH67" s="38"/>
      <c r="DI67" s="38"/>
      <c r="DJ67" s="38"/>
      <c r="DK67" s="38"/>
      <c r="DL67" s="38"/>
      <c r="DM67" s="38"/>
      <c r="DN67" s="38"/>
      <c r="DO67" s="38"/>
      <c r="DP67" s="38"/>
      <c r="DQ67" s="38"/>
      <c r="DR67" s="38"/>
      <c r="DS67" s="38"/>
      <c r="DT67" s="38"/>
      <c r="DU67" s="38"/>
      <c r="DV67" s="38"/>
      <c r="DW67" s="38"/>
      <c r="DX67" s="38"/>
      <c r="DY67" s="38"/>
      <c r="DZ67" s="38"/>
      <c r="EA67" s="38"/>
      <c r="EB67" s="38"/>
      <c r="EC67" s="38"/>
      <c r="ED67" s="38"/>
      <c r="EE67" s="38"/>
      <c r="EF67" s="38"/>
      <c r="EG67" s="38"/>
      <c r="EH67" s="38"/>
      <c r="EI67" s="38"/>
      <c r="EJ67" s="38"/>
      <c r="EK67" s="38"/>
      <c r="EL67" s="38"/>
      <c r="EM67" s="38"/>
      <c r="EN67" s="38"/>
      <c r="EO67" s="38"/>
      <c r="EP67" s="38"/>
      <c r="EQ67" s="38"/>
      <c r="ER67" s="38"/>
      <c r="ES67" s="38"/>
      <c r="ET67" s="38"/>
      <c r="EU67" s="38"/>
      <c r="EV67" s="38"/>
      <c r="EW67" s="38"/>
      <c r="EX67" s="38"/>
      <c r="EY67" s="38"/>
      <c r="EZ67" s="38"/>
      <c r="FA67" s="38"/>
      <c r="FB67" s="38"/>
      <c r="FC67" s="38"/>
      <c r="FD67" s="38"/>
      <c r="FE67" s="38"/>
      <c r="FF67" s="38"/>
      <c r="FG67" s="38"/>
      <c r="FH67" s="38"/>
      <c r="FI67" s="38"/>
      <c r="FJ67" s="38"/>
      <c r="FK67" s="38"/>
      <c r="FL67" s="38"/>
      <c r="FM67" s="38"/>
      <c r="FN67" s="38"/>
      <c r="FO67" s="38"/>
      <c r="FP67" s="38"/>
      <c r="FQ67" s="38"/>
      <c r="FR67" s="38"/>
      <c r="FS67" s="38"/>
      <c r="FT67" s="38"/>
      <c r="FU67" s="38"/>
      <c r="FV67" s="38"/>
      <c r="FW67" s="38"/>
      <c r="FX67" s="38"/>
      <c r="FY67" s="38"/>
      <c r="FZ67" s="38"/>
      <c r="GA67" s="38"/>
      <c r="GB67" s="38"/>
      <c r="GC67" s="38"/>
      <c r="GD67" s="38"/>
      <c r="GE67" s="38"/>
      <c r="GF67" s="38"/>
      <c r="GG67" s="38"/>
      <c r="GH67" s="38"/>
      <c r="GI67" s="38"/>
      <c r="GJ67" s="38"/>
      <c r="GK67" s="38"/>
      <c r="GL67" s="38"/>
      <c r="GM67" s="38"/>
      <c r="GN67" s="38"/>
      <c r="GO67" s="38"/>
      <c r="GP67" s="38"/>
      <c r="GQ67" s="38"/>
      <c r="GR67" s="38"/>
      <c r="GS67" s="38"/>
      <c r="GT67" s="38"/>
      <c r="GU67" s="38"/>
      <c r="GV67" s="38"/>
      <c r="GW67" s="38"/>
      <c r="GX67" s="38"/>
      <c r="GY67" s="38"/>
      <c r="GZ67" s="38"/>
      <c r="HA67" s="38"/>
      <c r="HB67" s="38"/>
      <c r="HC67" s="38"/>
      <c r="HD67" s="38"/>
      <c r="HE67" s="38"/>
      <c r="HF67" s="38"/>
      <c r="HG67" s="38"/>
      <c r="HH67" s="38"/>
      <c r="HI67" s="38"/>
      <c r="HJ67" s="38"/>
      <c r="HK67" s="38"/>
      <c r="HL67" s="38"/>
      <c r="HM67" s="38"/>
      <c r="HN67" s="38"/>
      <c r="HO67" s="38"/>
      <c r="HP67" s="38"/>
      <c r="HQ67" s="38"/>
      <c r="HR67" s="38"/>
      <c r="HS67" s="38"/>
      <c r="HT67" s="38"/>
      <c r="HU67" s="38"/>
      <c r="HV67" s="38"/>
      <c r="HW67" s="38"/>
      <c r="HX67" s="38"/>
      <c r="HY67" s="38"/>
      <c r="HZ67" s="38"/>
      <c r="IA67" s="38"/>
      <c r="IB67" s="38"/>
      <c r="IC67" s="38"/>
      <c r="ID67" s="38"/>
      <c r="IE67" s="38"/>
      <c r="IF67" s="38"/>
      <c r="IG67" s="38"/>
      <c r="IH67" s="38"/>
      <c r="II67" s="38"/>
      <c r="IJ67" s="38"/>
      <c r="IK67" s="38"/>
      <c r="IL67" s="38"/>
      <c r="IM67" s="38"/>
      <c r="IN67" s="38"/>
      <c r="IO67" s="38"/>
      <c r="IP67" s="38"/>
      <c r="IQ67" s="38"/>
      <c r="IR67" s="38"/>
      <c r="IS67" s="38"/>
      <c r="IT67" s="38"/>
      <c r="IU67" s="38"/>
      <c r="IV67" s="38"/>
      <c r="IW67" s="38"/>
      <c r="IX67" s="38"/>
      <c r="IY67" s="38"/>
      <c r="IZ67" s="38"/>
      <c r="JA67" s="38"/>
      <c r="JB67" s="38"/>
      <c r="JC67" s="38"/>
      <c r="JD67" s="38"/>
      <c r="JE67" s="38"/>
      <c r="JF67" s="38"/>
      <c r="JG67" s="38"/>
      <c r="JH67" s="38"/>
      <c r="JI67" s="38"/>
      <c r="JJ67" s="38"/>
      <c r="JK67" s="38"/>
      <c r="JL67" s="38"/>
      <c r="JM67" s="38"/>
      <c r="JN67" s="38"/>
      <c r="JO67" s="38"/>
      <c r="JP67" s="38"/>
      <c r="JQ67" s="38"/>
      <c r="JR67" s="38"/>
      <c r="JS67" s="38"/>
      <c r="JT67" s="38"/>
      <c r="JU67" s="38"/>
      <c r="JV67" s="38"/>
      <c r="JW67" s="38"/>
      <c r="JX67" s="38"/>
      <c r="JY67" s="38"/>
      <c r="JZ67" s="38"/>
      <c r="KA67" s="38"/>
      <c r="KB67" s="38"/>
      <c r="KC67" s="38"/>
      <c r="KD67" s="38"/>
      <c r="KE67" s="38"/>
      <c r="KF67" s="38"/>
      <c r="KG67" s="38"/>
      <c r="KH67" s="38"/>
      <c r="KI67" s="38"/>
      <c r="KJ67" s="38"/>
      <c r="KK67" s="38"/>
      <c r="KL67" s="38"/>
      <c r="KM67" s="38"/>
      <c r="KN67" s="38"/>
      <c r="KO67" s="38"/>
      <c r="KP67" s="38"/>
      <c r="KQ67" s="38"/>
      <c r="KR67" s="38"/>
      <c r="KS67" s="38"/>
      <c r="KT67" s="38"/>
      <c r="KU67" s="38"/>
      <c r="KV67" s="38"/>
      <c r="KW67" s="38"/>
      <c r="KX67" s="38"/>
      <c r="KY67" s="38"/>
      <c r="KZ67" s="38"/>
      <c r="LA67" s="38"/>
      <c r="LB67" s="38"/>
      <c r="LC67" s="38"/>
      <c r="LD67" s="38"/>
      <c r="LE67" s="38"/>
      <c r="LF67" s="38"/>
      <c r="LG67" s="38"/>
      <c r="LH67" s="38"/>
      <c r="LI67" s="38"/>
      <c r="LJ67" s="38"/>
      <c r="LK67" s="38"/>
      <c r="LL67" s="38"/>
      <c r="LM67" s="38"/>
      <c r="LN67" s="38"/>
      <c r="LO67" s="38"/>
      <c r="LP67" s="38"/>
      <c r="LQ67" s="38"/>
      <c r="LR67" s="38"/>
      <c r="LS67" s="38"/>
      <c r="LT67" s="38"/>
      <c r="LU67" s="38"/>
      <c r="LV67" s="38"/>
      <c r="LW67" s="38"/>
      <c r="LX67" s="38"/>
      <c r="LY67" s="38"/>
      <c r="LZ67" s="38"/>
      <c r="MA67" s="38"/>
      <c r="MB67" s="38"/>
      <c r="MC67" s="38"/>
      <c r="MD67" s="38"/>
      <c r="ME67" s="38"/>
      <c r="MF67" s="38"/>
      <c r="MG67" s="38"/>
      <c r="MH67" s="38"/>
      <c r="MI67" s="38"/>
      <c r="MJ67" s="38"/>
      <c r="MK67" s="38"/>
      <c r="ML67" s="38"/>
      <c r="MM67" s="38"/>
      <c r="MN67" s="38"/>
      <c r="MO67" s="38"/>
      <c r="MP67" s="38"/>
      <c r="MQ67" s="38"/>
      <c r="MR67" s="38"/>
      <c r="MS67" s="38"/>
      <c r="MT67" s="38"/>
      <c r="MU67" s="38"/>
      <c r="MV67" s="38"/>
      <c r="MW67" s="38"/>
      <c r="MX67" s="38"/>
      <c r="MY67" s="38"/>
      <c r="MZ67" s="38"/>
      <c r="NA67" s="38"/>
      <c r="NB67" s="38"/>
      <c r="NC67" s="38"/>
      <c r="ND67" s="38"/>
      <c r="NE67" s="38"/>
      <c r="NF67" s="38"/>
      <c r="NG67" s="38"/>
      <c r="NH67" s="38"/>
      <c r="NI67" s="38"/>
      <c r="NJ67" s="38"/>
      <c r="NK67" s="38"/>
      <c r="NL67" s="38"/>
      <c r="NM67" s="38"/>
      <c r="NN67" s="38"/>
      <c r="NO67" s="38"/>
      <c r="NP67" s="38"/>
      <c r="NQ67" s="38"/>
      <c r="NR67" s="38"/>
      <c r="NS67" s="38"/>
      <c r="NT67" s="38"/>
      <c r="NU67" s="38"/>
      <c r="NV67" s="38"/>
      <c r="NW67" s="38"/>
      <c r="NX67" s="38"/>
      <c r="NY67" s="38"/>
      <c r="NZ67" s="38"/>
      <c r="OA67" s="38"/>
      <c r="OB67" s="38"/>
      <c r="OC67" s="38"/>
      <c r="OD67" s="38"/>
      <c r="OE67" s="38"/>
      <c r="OF67" s="38"/>
      <c r="OG67" s="38"/>
      <c r="OH67" s="38"/>
      <c r="OI67" s="38"/>
      <c r="OJ67" s="38"/>
      <c r="OK67" s="38"/>
      <c r="OL67" s="38"/>
      <c r="OM67" s="38"/>
      <c r="ON67" s="38"/>
      <c r="OO67" s="38"/>
      <c r="OP67" s="38"/>
      <c r="OQ67" s="38"/>
      <c r="OR67" s="38"/>
      <c r="OS67" s="38"/>
      <c r="OT67" s="38"/>
      <c r="OU67" s="38"/>
      <c r="OV67" s="38"/>
      <c r="OW67" s="38"/>
      <c r="OX67" s="38"/>
      <c r="OY67" s="38"/>
      <c r="OZ67" s="38"/>
      <c r="PA67" s="38"/>
      <c r="PB67" s="38"/>
      <c r="PC67" s="38"/>
      <c r="PD67" s="38"/>
      <c r="PE67" s="38"/>
      <c r="PF67" s="38"/>
      <c r="PG67" s="38"/>
      <c r="PH67" s="38"/>
      <c r="PI67" s="38"/>
      <c r="PJ67" s="38"/>
      <c r="PK67" s="38"/>
      <c r="PL67" s="38"/>
      <c r="PM67" s="38"/>
      <c r="PN67" s="38"/>
      <c r="PO67" s="38"/>
      <c r="PP67" s="38"/>
      <c r="PQ67" s="38"/>
      <c r="PR67" s="38"/>
      <c r="PS67" s="38"/>
      <c r="PT67" s="38"/>
      <c r="PU67" s="38"/>
      <c r="PV67" s="38"/>
      <c r="PW67" s="38"/>
      <c r="PX67" s="38"/>
      <c r="PY67" s="38"/>
      <c r="PZ67" s="38"/>
      <c r="QA67" s="38"/>
      <c r="QB67" s="38"/>
      <c r="QC67" s="38"/>
      <c r="QD67" s="38"/>
      <c r="QE67" s="38"/>
      <c r="QF67" s="38"/>
      <c r="QG67" s="38"/>
      <c r="QH67" s="38"/>
      <c r="QI67" s="38"/>
      <c r="QJ67" s="38"/>
      <c r="QK67" s="38"/>
      <c r="QL67" s="38"/>
      <c r="QM67" s="38"/>
      <c r="QN67" s="38"/>
      <c r="QO67" s="38"/>
      <c r="QP67" s="38"/>
      <c r="QQ67" s="38"/>
      <c r="QR67" s="38"/>
      <c r="QS67" s="38"/>
      <c r="QT67" s="38"/>
      <c r="QU67" s="38"/>
      <c r="QV67" s="38"/>
      <c r="QW67" s="38"/>
      <c r="QX67" s="38"/>
      <c r="QY67" s="38"/>
      <c r="QZ67" s="38"/>
      <c r="RA67" s="38"/>
      <c r="RB67" s="38"/>
      <c r="RC67" s="38"/>
      <c r="RD67" s="38"/>
      <c r="RE67" s="38"/>
      <c r="RF67" s="38"/>
      <c r="RG67" s="38"/>
      <c r="RH67" s="38"/>
      <c r="RI67" s="38"/>
      <c r="RJ67" s="38"/>
      <c r="RK67" s="38"/>
      <c r="RL67" s="38"/>
      <c r="RM67" s="38"/>
      <c r="RN67" s="38"/>
      <c r="RO67" s="38"/>
      <c r="RP67" s="38"/>
      <c r="RQ67" s="38"/>
      <c r="RR67" s="38"/>
      <c r="RS67" s="38"/>
      <c r="RT67" s="38"/>
      <c r="RU67" s="38"/>
      <c r="RV67" s="38"/>
      <c r="RW67" s="38"/>
      <c r="RX67" s="38"/>
      <c r="RY67" s="38"/>
      <c r="RZ67" s="38"/>
      <c r="SA67" s="38"/>
      <c r="SB67" s="38"/>
      <c r="SC67" s="38"/>
      <c r="SD67" s="38"/>
      <c r="SE67" s="38"/>
      <c r="SF67" s="38"/>
      <c r="SG67" s="38"/>
      <c r="SH67" s="38"/>
      <c r="SI67" s="38"/>
      <c r="SJ67" s="38"/>
      <c r="SK67" s="38"/>
      <c r="SL67" s="38"/>
      <c r="SM67" s="38"/>
      <c r="SN67" s="38"/>
      <c r="SO67" s="38"/>
      <c r="SP67" s="38"/>
      <c r="SQ67" s="38"/>
      <c r="SR67" s="38"/>
      <c r="SS67" s="38"/>
      <c r="ST67" s="38"/>
      <c r="SU67" s="38"/>
      <c r="SV67" s="38"/>
      <c r="SW67" s="38"/>
      <c r="SX67" s="38"/>
      <c r="SY67" s="38"/>
      <c r="SZ67" s="38"/>
      <c r="TA67" s="38"/>
      <c r="TB67" s="38"/>
      <c r="TC67" s="38"/>
      <c r="TD67" s="38"/>
      <c r="TE67" s="38"/>
      <c r="TF67" s="38"/>
      <c r="TG67" s="38"/>
      <c r="TH67" s="38"/>
      <c r="TI67" s="38"/>
      <c r="TJ67" s="38"/>
      <c r="TK67" s="38"/>
      <c r="TL67" s="38"/>
      <c r="TM67" s="38"/>
    </row>
    <row r="68" spans="2:533" s="39" customFormat="1" ht="18.75" x14ac:dyDescent="0.25">
      <c r="B68" s="50" t="s">
        <v>125</v>
      </c>
      <c r="C68" s="41" t="s">
        <v>142</v>
      </c>
      <c r="D68" s="56" t="s">
        <v>143</v>
      </c>
      <c r="E68" s="87" t="s">
        <v>131</v>
      </c>
      <c r="F68" s="53">
        <v>1</v>
      </c>
      <c r="G68" s="59"/>
      <c r="H68" s="46"/>
      <c r="I68" s="47">
        <f t="shared" si="9"/>
        <v>0</v>
      </c>
      <c r="J68" s="48">
        <v>2031</v>
      </c>
      <c r="K68" s="47" t="s">
        <v>30</v>
      </c>
      <c r="L68" s="49"/>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c r="CO68" s="38"/>
      <c r="CP68" s="38"/>
      <c r="CQ68" s="38"/>
      <c r="CR68" s="38"/>
      <c r="CS68" s="38"/>
      <c r="CT68" s="38"/>
      <c r="CU68" s="38"/>
      <c r="CV68" s="38"/>
      <c r="CW68" s="38"/>
      <c r="CX68" s="38"/>
      <c r="CY68" s="38"/>
      <c r="CZ68" s="38"/>
      <c r="DA68" s="38"/>
      <c r="DB68" s="38"/>
      <c r="DC68" s="38"/>
      <c r="DD68" s="38"/>
      <c r="DE68" s="38"/>
      <c r="DF68" s="38"/>
      <c r="DG68" s="38"/>
      <c r="DH68" s="38"/>
      <c r="DI68" s="38"/>
      <c r="DJ68" s="38"/>
      <c r="DK68" s="38"/>
      <c r="DL68" s="38"/>
      <c r="DM68" s="38"/>
      <c r="DN68" s="38"/>
      <c r="DO68" s="38"/>
      <c r="DP68" s="38"/>
      <c r="DQ68" s="38"/>
      <c r="DR68" s="38"/>
      <c r="DS68" s="38"/>
      <c r="DT68" s="38"/>
      <c r="DU68" s="38"/>
      <c r="DV68" s="38"/>
      <c r="DW68" s="38"/>
      <c r="DX68" s="38"/>
      <c r="DY68" s="38"/>
      <c r="DZ68" s="38"/>
      <c r="EA68" s="38"/>
      <c r="EB68" s="38"/>
      <c r="EC68" s="38"/>
      <c r="ED68" s="38"/>
      <c r="EE68" s="38"/>
      <c r="EF68" s="38"/>
      <c r="EG68" s="38"/>
      <c r="EH68" s="38"/>
      <c r="EI68" s="38"/>
      <c r="EJ68" s="38"/>
      <c r="EK68" s="38"/>
      <c r="EL68" s="38"/>
      <c r="EM68" s="38"/>
      <c r="EN68" s="38"/>
      <c r="EO68" s="38"/>
      <c r="EP68" s="38"/>
      <c r="EQ68" s="38"/>
      <c r="ER68" s="38"/>
      <c r="ES68" s="38"/>
      <c r="ET68" s="38"/>
      <c r="EU68" s="38"/>
      <c r="EV68" s="38"/>
      <c r="EW68" s="38"/>
      <c r="EX68" s="38"/>
      <c r="EY68" s="38"/>
      <c r="EZ68" s="38"/>
      <c r="FA68" s="38"/>
      <c r="FB68" s="38"/>
      <c r="FC68" s="38"/>
      <c r="FD68" s="38"/>
      <c r="FE68" s="38"/>
      <c r="FF68" s="38"/>
      <c r="FG68" s="38"/>
      <c r="FH68" s="38"/>
      <c r="FI68" s="38"/>
      <c r="FJ68" s="38"/>
      <c r="FK68" s="38"/>
      <c r="FL68" s="38"/>
      <c r="FM68" s="38"/>
      <c r="FN68" s="38"/>
      <c r="FO68" s="38"/>
      <c r="FP68" s="38"/>
      <c r="FQ68" s="38"/>
      <c r="FR68" s="38"/>
      <c r="FS68" s="38"/>
      <c r="FT68" s="38"/>
      <c r="FU68" s="38"/>
      <c r="FV68" s="38"/>
      <c r="FW68" s="38"/>
      <c r="FX68" s="38"/>
      <c r="FY68" s="38"/>
      <c r="FZ68" s="38"/>
      <c r="GA68" s="38"/>
      <c r="GB68" s="38"/>
      <c r="GC68" s="38"/>
      <c r="GD68" s="38"/>
      <c r="GE68" s="38"/>
      <c r="GF68" s="38"/>
      <c r="GG68" s="38"/>
      <c r="GH68" s="38"/>
      <c r="GI68" s="38"/>
      <c r="GJ68" s="38"/>
      <c r="GK68" s="38"/>
      <c r="GL68" s="38"/>
      <c r="GM68" s="38"/>
      <c r="GN68" s="38"/>
      <c r="GO68" s="38"/>
      <c r="GP68" s="38"/>
      <c r="GQ68" s="38"/>
      <c r="GR68" s="38"/>
      <c r="GS68" s="38"/>
      <c r="GT68" s="38"/>
      <c r="GU68" s="38"/>
      <c r="GV68" s="38"/>
      <c r="GW68" s="38"/>
      <c r="GX68" s="38"/>
      <c r="GY68" s="38"/>
      <c r="GZ68" s="38"/>
      <c r="HA68" s="38"/>
      <c r="HB68" s="38"/>
      <c r="HC68" s="38"/>
      <c r="HD68" s="38"/>
      <c r="HE68" s="38"/>
      <c r="HF68" s="38"/>
      <c r="HG68" s="38"/>
      <c r="HH68" s="38"/>
      <c r="HI68" s="38"/>
      <c r="HJ68" s="38"/>
      <c r="HK68" s="38"/>
      <c r="HL68" s="38"/>
      <c r="HM68" s="38"/>
      <c r="HN68" s="38"/>
      <c r="HO68" s="38"/>
      <c r="HP68" s="38"/>
      <c r="HQ68" s="38"/>
      <c r="HR68" s="38"/>
      <c r="HS68" s="38"/>
      <c r="HT68" s="38"/>
      <c r="HU68" s="38"/>
      <c r="HV68" s="38"/>
      <c r="HW68" s="38"/>
      <c r="HX68" s="38"/>
      <c r="HY68" s="38"/>
      <c r="HZ68" s="38"/>
      <c r="IA68" s="38"/>
      <c r="IB68" s="38"/>
      <c r="IC68" s="38"/>
      <c r="ID68" s="38"/>
      <c r="IE68" s="38"/>
      <c r="IF68" s="38"/>
      <c r="IG68" s="38"/>
      <c r="IH68" s="38"/>
      <c r="II68" s="38"/>
      <c r="IJ68" s="38"/>
      <c r="IK68" s="38"/>
      <c r="IL68" s="38"/>
      <c r="IM68" s="38"/>
      <c r="IN68" s="38"/>
      <c r="IO68" s="38"/>
      <c r="IP68" s="38"/>
      <c r="IQ68" s="38"/>
      <c r="IR68" s="38"/>
      <c r="IS68" s="38"/>
      <c r="IT68" s="38"/>
      <c r="IU68" s="38"/>
      <c r="IV68" s="38"/>
      <c r="IW68" s="38"/>
      <c r="IX68" s="38"/>
      <c r="IY68" s="38"/>
      <c r="IZ68" s="38"/>
      <c r="JA68" s="38"/>
      <c r="JB68" s="38"/>
      <c r="JC68" s="38"/>
      <c r="JD68" s="38"/>
      <c r="JE68" s="38"/>
      <c r="JF68" s="38"/>
      <c r="JG68" s="38"/>
      <c r="JH68" s="38"/>
      <c r="JI68" s="38"/>
      <c r="JJ68" s="38"/>
      <c r="JK68" s="38"/>
      <c r="JL68" s="38"/>
      <c r="JM68" s="38"/>
      <c r="JN68" s="38"/>
      <c r="JO68" s="38"/>
      <c r="JP68" s="38"/>
      <c r="JQ68" s="38"/>
      <c r="JR68" s="38"/>
      <c r="JS68" s="38"/>
      <c r="JT68" s="38"/>
      <c r="JU68" s="38"/>
      <c r="JV68" s="38"/>
      <c r="JW68" s="38"/>
      <c r="JX68" s="38"/>
      <c r="JY68" s="38"/>
      <c r="JZ68" s="38"/>
      <c r="KA68" s="38"/>
      <c r="KB68" s="38"/>
      <c r="KC68" s="38"/>
      <c r="KD68" s="38"/>
      <c r="KE68" s="38"/>
      <c r="KF68" s="38"/>
      <c r="KG68" s="38"/>
      <c r="KH68" s="38"/>
      <c r="KI68" s="38"/>
      <c r="KJ68" s="38"/>
      <c r="KK68" s="38"/>
      <c r="KL68" s="38"/>
      <c r="KM68" s="38"/>
      <c r="KN68" s="38"/>
      <c r="KO68" s="38"/>
      <c r="KP68" s="38"/>
      <c r="KQ68" s="38"/>
      <c r="KR68" s="38"/>
      <c r="KS68" s="38"/>
      <c r="KT68" s="38"/>
      <c r="KU68" s="38"/>
      <c r="KV68" s="38"/>
      <c r="KW68" s="38"/>
      <c r="KX68" s="38"/>
      <c r="KY68" s="38"/>
      <c r="KZ68" s="38"/>
      <c r="LA68" s="38"/>
      <c r="LB68" s="38"/>
      <c r="LC68" s="38"/>
      <c r="LD68" s="38"/>
      <c r="LE68" s="38"/>
      <c r="LF68" s="38"/>
      <c r="LG68" s="38"/>
      <c r="LH68" s="38"/>
      <c r="LI68" s="38"/>
      <c r="LJ68" s="38"/>
      <c r="LK68" s="38"/>
      <c r="LL68" s="38"/>
      <c r="LM68" s="38"/>
      <c r="LN68" s="38"/>
      <c r="LO68" s="38"/>
      <c r="LP68" s="38"/>
      <c r="LQ68" s="38"/>
      <c r="LR68" s="38"/>
      <c r="LS68" s="38"/>
      <c r="LT68" s="38"/>
      <c r="LU68" s="38"/>
      <c r="LV68" s="38"/>
      <c r="LW68" s="38"/>
      <c r="LX68" s="38"/>
      <c r="LY68" s="38"/>
      <c r="LZ68" s="38"/>
      <c r="MA68" s="38"/>
      <c r="MB68" s="38"/>
      <c r="MC68" s="38"/>
      <c r="MD68" s="38"/>
      <c r="ME68" s="38"/>
      <c r="MF68" s="38"/>
      <c r="MG68" s="38"/>
      <c r="MH68" s="38"/>
      <c r="MI68" s="38"/>
      <c r="MJ68" s="38"/>
      <c r="MK68" s="38"/>
      <c r="ML68" s="38"/>
      <c r="MM68" s="38"/>
      <c r="MN68" s="38"/>
      <c r="MO68" s="38"/>
      <c r="MP68" s="38"/>
      <c r="MQ68" s="38"/>
      <c r="MR68" s="38"/>
      <c r="MS68" s="38"/>
      <c r="MT68" s="38"/>
      <c r="MU68" s="38"/>
      <c r="MV68" s="38"/>
      <c r="MW68" s="38"/>
      <c r="MX68" s="38"/>
      <c r="MY68" s="38"/>
      <c r="MZ68" s="38"/>
      <c r="NA68" s="38"/>
      <c r="NB68" s="38"/>
      <c r="NC68" s="38"/>
      <c r="ND68" s="38"/>
      <c r="NE68" s="38"/>
      <c r="NF68" s="38"/>
      <c r="NG68" s="38"/>
      <c r="NH68" s="38"/>
      <c r="NI68" s="38"/>
      <c r="NJ68" s="38"/>
      <c r="NK68" s="38"/>
      <c r="NL68" s="38"/>
      <c r="NM68" s="38"/>
      <c r="NN68" s="38"/>
      <c r="NO68" s="38"/>
      <c r="NP68" s="38"/>
      <c r="NQ68" s="38"/>
      <c r="NR68" s="38"/>
      <c r="NS68" s="38"/>
      <c r="NT68" s="38"/>
      <c r="NU68" s="38"/>
      <c r="NV68" s="38"/>
      <c r="NW68" s="38"/>
      <c r="NX68" s="38"/>
      <c r="NY68" s="38"/>
      <c r="NZ68" s="38"/>
      <c r="OA68" s="38"/>
      <c r="OB68" s="38"/>
      <c r="OC68" s="38"/>
      <c r="OD68" s="38"/>
      <c r="OE68" s="38"/>
      <c r="OF68" s="38"/>
      <c r="OG68" s="38"/>
      <c r="OH68" s="38"/>
      <c r="OI68" s="38"/>
      <c r="OJ68" s="38"/>
      <c r="OK68" s="38"/>
      <c r="OL68" s="38"/>
      <c r="OM68" s="38"/>
      <c r="ON68" s="38"/>
      <c r="OO68" s="38"/>
      <c r="OP68" s="38"/>
      <c r="OQ68" s="38"/>
      <c r="OR68" s="38"/>
      <c r="OS68" s="38"/>
      <c r="OT68" s="38"/>
      <c r="OU68" s="38"/>
      <c r="OV68" s="38"/>
      <c r="OW68" s="38"/>
      <c r="OX68" s="38"/>
      <c r="OY68" s="38"/>
      <c r="OZ68" s="38"/>
      <c r="PA68" s="38"/>
      <c r="PB68" s="38"/>
      <c r="PC68" s="38"/>
      <c r="PD68" s="38"/>
      <c r="PE68" s="38"/>
      <c r="PF68" s="38"/>
      <c r="PG68" s="38"/>
      <c r="PH68" s="38"/>
      <c r="PI68" s="38"/>
      <c r="PJ68" s="38"/>
      <c r="PK68" s="38"/>
      <c r="PL68" s="38"/>
      <c r="PM68" s="38"/>
      <c r="PN68" s="38"/>
      <c r="PO68" s="38"/>
      <c r="PP68" s="38"/>
      <c r="PQ68" s="38"/>
      <c r="PR68" s="38"/>
      <c r="PS68" s="38"/>
      <c r="PT68" s="38"/>
      <c r="PU68" s="38"/>
      <c r="PV68" s="38"/>
      <c r="PW68" s="38"/>
      <c r="PX68" s="38"/>
      <c r="PY68" s="38"/>
      <c r="PZ68" s="38"/>
      <c r="QA68" s="38"/>
      <c r="QB68" s="38"/>
      <c r="QC68" s="38"/>
      <c r="QD68" s="38"/>
      <c r="QE68" s="38"/>
      <c r="QF68" s="38"/>
      <c r="QG68" s="38"/>
      <c r="QH68" s="38"/>
      <c r="QI68" s="38"/>
      <c r="QJ68" s="38"/>
      <c r="QK68" s="38"/>
      <c r="QL68" s="38"/>
      <c r="QM68" s="38"/>
      <c r="QN68" s="38"/>
      <c r="QO68" s="38"/>
      <c r="QP68" s="38"/>
      <c r="QQ68" s="38"/>
      <c r="QR68" s="38"/>
      <c r="QS68" s="38"/>
      <c r="QT68" s="38"/>
      <c r="QU68" s="38"/>
      <c r="QV68" s="38"/>
      <c r="QW68" s="38"/>
      <c r="QX68" s="38"/>
      <c r="QY68" s="38"/>
      <c r="QZ68" s="38"/>
      <c r="RA68" s="38"/>
      <c r="RB68" s="38"/>
      <c r="RC68" s="38"/>
      <c r="RD68" s="38"/>
      <c r="RE68" s="38"/>
      <c r="RF68" s="38"/>
      <c r="RG68" s="38"/>
      <c r="RH68" s="38"/>
      <c r="RI68" s="38"/>
      <c r="RJ68" s="38"/>
      <c r="RK68" s="38"/>
      <c r="RL68" s="38"/>
      <c r="RM68" s="38"/>
      <c r="RN68" s="38"/>
      <c r="RO68" s="38"/>
      <c r="RP68" s="38"/>
      <c r="RQ68" s="38"/>
      <c r="RR68" s="38"/>
      <c r="RS68" s="38"/>
      <c r="RT68" s="38"/>
      <c r="RU68" s="38"/>
      <c r="RV68" s="38"/>
      <c r="RW68" s="38"/>
      <c r="RX68" s="38"/>
      <c r="RY68" s="38"/>
      <c r="RZ68" s="38"/>
      <c r="SA68" s="38"/>
      <c r="SB68" s="38"/>
      <c r="SC68" s="38"/>
      <c r="SD68" s="38"/>
      <c r="SE68" s="38"/>
      <c r="SF68" s="38"/>
      <c r="SG68" s="38"/>
      <c r="SH68" s="38"/>
      <c r="SI68" s="38"/>
      <c r="SJ68" s="38"/>
      <c r="SK68" s="38"/>
      <c r="SL68" s="38"/>
      <c r="SM68" s="38"/>
      <c r="SN68" s="38"/>
      <c r="SO68" s="38"/>
      <c r="SP68" s="38"/>
      <c r="SQ68" s="38"/>
      <c r="SR68" s="38"/>
      <c r="SS68" s="38"/>
      <c r="ST68" s="38"/>
      <c r="SU68" s="38"/>
      <c r="SV68" s="38"/>
      <c r="SW68" s="38"/>
      <c r="SX68" s="38"/>
      <c r="SY68" s="38"/>
      <c r="SZ68" s="38"/>
      <c r="TA68" s="38"/>
      <c r="TB68" s="38"/>
      <c r="TC68" s="38"/>
      <c r="TD68" s="38"/>
      <c r="TE68" s="38"/>
      <c r="TF68" s="38"/>
      <c r="TG68" s="38"/>
      <c r="TH68" s="38"/>
      <c r="TI68" s="38"/>
      <c r="TJ68" s="38"/>
      <c r="TK68" s="38"/>
      <c r="TL68" s="38"/>
      <c r="TM68" s="38"/>
    </row>
    <row r="69" spans="2:533" s="39" customFormat="1" ht="18.75" x14ac:dyDescent="0.25">
      <c r="B69" s="50" t="s">
        <v>125</v>
      </c>
      <c r="C69" s="41" t="s">
        <v>144</v>
      </c>
      <c r="D69" s="56" t="s">
        <v>145</v>
      </c>
      <c r="E69" s="87" t="s">
        <v>131</v>
      </c>
      <c r="F69" s="53">
        <v>1</v>
      </c>
      <c r="G69" s="59"/>
      <c r="H69" s="46"/>
      <c r="I69" s="47">
        <f t="shared" si="9"/>
        <v>0</v>
      </c>
      <c r="J69" s="48">
        <v>2031</v>
      </c>
      <c r="K69" s="47" t="s">
        <v>30</v>
      </c>
      <c r="L69" s="49"/>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c r="DC69" s="38"/>
      <c r="DD69" s="38"/>
      <c r="DE69" s="38"/>
      <c r="DF69" s="38"/>
      <c r="DG69" s="38"/>
      <c r="DH69" s="38"/>
      <c r="DI69" s="38"/>
      <c r="DJ69" s="38"/>
      <c r="DK69" s="38"/>
      <c r="DL69" s="38"/>
      <c r="DM69" s="38"/>
      <c r="DN69" s="38"/>
      <c r="DO69" s="38"/>
      <c r="DP69" s="38"/>
      <c r="DQ69" s="38"/>
      <c r="DR69" s="38"/>
      <c r="DS69" s="38"/>
      <c r="DT69" s="38"/>
      <c r="DU69" s="38"/>
      <c r="DV69" s="38"/>
      <c r="DW69" s="38"/>
      <c r="DX69" s="38"/>
      <c r="DY69" s="38"/>
      <c r="DZ69" s="38"/>
      <c r="EA69" s="38"/>
      <c r="EB69" s="38"/>
      <c r="EC69" s="38"/>
      <c r="ED69" s="38"/>
      <c r="EE69" s="38"/>
      <c r="EF69" s="38"/>
      <c r="EG69" s="38"/>
      <c r="EH69" s="38"/>
      <c r="EI69" s="38"/>
      <c r="EJ69" s="38"/>
      <c r="EK69" s="38"/>
      <c r="EL69" s="38"/>
      <c r="EM69" s="38"/>
      <c r="EN69" s="38"/>
      <c r="EO69" s="38"/>
      <c r="EP69" s="38"/>
      <c r="EQ69" s="38"/>
      <c r="ER69" s="38"/>
      <c r="ES69" s="38"/>
      <c r="ET69" s="38"/>
      <c r="EU69" s="38"/>
      <c r="EV69" s="38"/>
      <c r="EW69" s="38"/>
      <c r="EX69" s="38"/>
      <c r="EY69" s="38"/>
      <c r="EZ69" s="38"/>
      <c r="FA69" s="38"/>
      <c r="FB69" s="38"/>
      <c r="FC69" s="38"/>
      <c r="FD69" s="38"/>
      <c r="FE69" s="38"/>
      <c r="FF69" s="38"/>
      <c r="FG69" s="38"/>
      <c r="FH69" s="38"/>
      <c r="FI69" s="38"/>
      <c r="FJ69" s="38"/>
      <c r="FK69" s="38"/>
      <c r="FL69" s="38"/>
      <c r="FM69" s="38"/>
      <c r="FN69" s="38"/>
      <c r="FO69" s="38"/>
      <c r="FP69" s="38"/>
      <c r="FQ69" s="38"/>
      <c r="FR69" s="38"/>
      <c r="FS69" s="38"/>
      <c r="FT69" s="38"/>
      <c r="FU69" s="38"/>
      <c r="FV69" s="38"/>
      <c r="FW69" s="38"/>
      <c r="FX69" s="38"/>
      <c r="FY69" s="38"/>
      <c r="FZ69" s="38"/>
      <c r="GA69" s="38"/>
      <c r="GB69" s="38"/>
      <c r="GC69" s="38"/>
      <c r="GD69" s="38"/>
      <c r="GE69" s="38"/>
      <c r="GF69" s="38"/>
      <c r="GG69" s="38"/>
      <c r="GH69" s="38"/>
      <c r="GI69" s="38"/>
      <c r="GJ69" s="38"/>
      <c r="GK69" s="38"/>
      <c r="GL69" s="38"/>
      <c r="GM69" s="38"/>
      <c r="GN69" s="38"/>
      <c r="GO69" s="38"/>
      <c r="GP69" s="38"/>
      <c r="GQ69" s="38"/>
      <c r="GR69" s="38"/>
      <c r="GS69" s="38"/>
      <c r="GT69" s="38"/>
      <c r="GU69" s="38"/>
      <c r="GV69" s="38"/>
      <c r="GW69" s="38"/>
      <c r="GX69" s="38"/>
      <c r="GY69" s="38"/>
      <c r="GZ69" s="38"/>
      <c r="HA69" s="38"/>
      <c r="HB69" s="38"/>
      <c r="HC69" s="38"/>
      <c r="HD69" s="38"/>
      <c r="HE69" s="38"/>
      <c r="HF69" s="38"/>
      <c r="HG69" s="38"/>
      <c r="HH69" s="38"/>
      <c r="HI69" s="38"/>
      <c r="HJ69" s="38"/>
      <c r="HK69" s="38"/>
      <c r="HL69" s="38"/>
      <c r="HM69" s="38"/>
      <c r="HN69" s="38"/>
      <c r="HO69" s="38"/>
      <c r="HP69" s="38"/>
      <c r="HQ69" s="38"/>
      <c r="HR69" s="38"/>
      <c r="HS69" s="38"/>
      <c r="HT69" s="38"/>
      <c r="HU69" s="38"/>
      <c r="HV69" s="38"/>
      <c r="HW69" s="38"/>
      <c r="HX69" s="38"/>
      <c r="HY69" s="38"/>
      <c r="HZ69" s="38"/>
      <c r="IA69" s="38"/>
      <c r="IB69" s="38"/>
      <c r="IC69" s="38"/>
      <c r="ID69" s="38"/>
      <c r="IE69" s="38"/>
      <c r="IF69" s="38"/>
      <c r="IG69" s="38"/>
      <c r="IH69" s="38"/>
      <c r="II69" s="38"/>
      <c r="IJ69" s="38"/>
      <c r="IK69" s="38"/>
      <c r="IL69" s="38"/>
      <c r="IM69" s="38"/>
      <c r="IN69" s="38"/>
      <c r="IO69" s="38"/>
      <c r="IP69" s="38"/>
      <c r="IQ69" s="38"/>
      <c r="IR69" s="38"/>
      <c r="IS69" s="38"/>
      <c r="IT69" s="38"/>
      <c r="IU69" s="38"/>
      <c r="IV69" s="38"/>
      <c r="IW69" s="38"/>
      <c r="IX69" s="38"/>
      <c r="IY69" s="38"/>
      <c r="IZ69" s="38"/>
      <c r="JA69" s="38"/>
      <c r="JB69" s="38"/>
      <c r="JC69" s="38"/>
      <c r="JD69" s="38"/>
      <c r="JE69" s="38"/>
      <c r="JF69" s="38"/>
      <c r="JG69" s="38"/>
      <c r="JH69" s="38"/>
      <c r="JI69" s="38"/>
      <c r="JJ69" s="38"/>
      <c r="JK69" s="38"/>
      <c r="JL69" s="38"/>
      <c r="JM69" s="38"/>
      <c r="JN69" s="38"/>
      <c r="JO69" s="38"/>
      <c r="JP69" s="38"/>
      <c r="JQ69" s="38"/>
      <c r="JR69" s="38"/>
      <c r="JS69" s="38"/>
      <c r="JT69" s="38"/>
      <c r="JU69" s="38"/>
      <c r="JV69" s="38"/>
      <c r="JW69" s="38"/>
      <c r="JX69" s="38"/>
      <c r="JY69" s="38"/>
      <c r="JZ69" s="38"/>
      <c r="KA69" s="38"/>
      <c r="KB69" s="38"/>
      <c r="KC69" s="38"/>
      <c r="KD69" s="38"/>
      <c r="KE69" s="38"/>
      <c r="KF69" s="38"/>
      <c r="KG69" s="38"/>
      <c r="KH69" s="38"/>
      <c r="KI69" s="38"/>
      <c r="KJ69" s="38"/>
      <c r="KK69" s="38"/>
      <c r="KL69" s="38"/>
      <c r="KM69" s="38"/>
      <c r="KN69" s="38"/>
      <c r="KO69" s="38"/>
      <c r="KP69" s="38"/>
      <c r="KQ69" s="38"/>
      <c r="KR69" s="38"/>
      <c r="KS69" s="38"/>
      <c r="KT69" s="38"/>
      <c r="KU69" s="38"/>
      <c r="KV69" s="38"/>
      <c r="KW69" s="38"/>
      <c r="KX69" s="38"/>
      <c r="KY69" s="38"/>
      <c r="KZ69" s="38"/>
      <c r="LA69" s="38"/>
      <c r="LB69" s="38"/>
      <c r="LC69" s="38"/>
      <c r="LD69" s="38"/>
      <c r="LE69" s="38"/>
      <c r="LF69" s="38"/>
      <c r="LG69" s="38"/>
      <c r="LH69" s="38"/>
      <c r="LI69" s="38"/>
      <c r="LJ69" s="38"/>
      <c r="LK69" s="38"/>
      <c r="LL69" s="38"/>
      <c r="LM69" s="38"/>
      <c r="LN69" s="38"/>
      <c r="LO69" s="38"/>
      <c r="LP69" s="38"/>
      <c r="LQ69" s="38"/>
      <c r="LR69" s="38"/>
      <c r="LS69" s="38"/>
      <c r="LT69" s="38"/>
      <c r="LU69" s="38"/>
      <c r="LV69" s="38"/>
      <c r="LW69" s="38"/>
      <c r="LX69" s="38"/>
      <c r="LY69" s="38"/>
      <c r="LZ69" s="38"/>
      <c r="MA69" s="38"/>
      <c r="MB69" s="38"/>
      <c r="MC69" s="38"/>
      <c r="MD69" s="38"/>
      <c r="ME69" s="38"/>
      <c r="MF69" s="38"/>
      <c r="MG69" s="38"/>
      <c r="MH69" s="38"/>
      <c r="MI69" s="38"/>
      <c r="MJ69" s="38"/>
      <c r="MK69" s="38"/>
      <c r="ML69" s="38"/>
      <c r="MM69" s="38"/>
      <c r="MN69" s="38"/>
      <c r="MO69" s="38"/>
      <c r="MP69" s="38"/>
      <c r="MQ69" s="38"/>
      <c r="MR69" s="38"/>
      <c r="MS69" s="38"/>
      <c r="MT69" s="38"/>
      <c r="MU69" s="38"/>
      <c r="MV69" s="38"/>
      <c r="MW69" s="38"/>
      <c r="MX69" s="38"/>
      <c r="MY69" s="38"/>
      <c r="MZ69" s="38"/>
      <c r="NA69" s="38"/>
      <c r="NB69" s="38"/>
      <c r="NC69" s="38"/>
      <c r="ND69" s="38"/>
      <c r="NE69" s="38"/>
      <c r="NF69" s="38"/>
      <c r="NG69" s="38"/>
      <c r="NH69" s="38"/>
      <c r="NI69" s="38"/>
      <c r="NJ69" s="38"/>
      <c r="NK69" s="38"/>
      <c r="NL69" s="38"/>
      <c r="NM69" s="38"/>
      <c r="NN69" s="38"/>
      <c r="NO69" s="38"/>
      <c r="NP69" s="38"/>
      <c r="NQ69" s="38"/>
      <c r="NR69" s="38"/>
      <c r="NS69" s="38"/>
      <c r="NT69" s="38"/>
      <c r="NU69" s="38"/>
      <c r="NV69" s="38"/>
      <c r="NW69" s="38"/>
      <c r="NX69" s="38"/>
      <c r="NY69" s="38"/>
      <c r="NZ69" s="38"/>
      <c r="OA69" s="38"/>
      <c r="OB69" s="38"/>
      <c r="OC69" s="38"/>
      <c r="OD69" s="38"/>
      <c r="OE69" s="38"/>
      <c r="OF69" s="38"/>
      <c r="OG69" s="38"/>
      <c r="OH69" s="38"/>
      <c r="OI69" s="38"/>
      <c r="OJ69" s="38"/>
      <c r="OK69" s="38"/>
      <c r="OL69" s="38"/>
      <c r="OM69" s="38"/>
      <c r="ON69" s="38"/>
      <c r="OO69" s="38"/>
      <c r="OP69" s="38"/>
      <c r="OQ69" s="38"/>
      <c r="OR69" s="38"/>
      <c r="OS69" s="38"/>
      <c r="OT69" s="38"/>
      <c r="OU69" s="38"/>
      <c r="OV69" s="38"/>
      <c r="OW69" s="38"/>
      <c r="OX69" s="38"/>
      <c r="OY69" s="38"/>
      <c r="OZ69" s="38"/>
      <c r="PA69" s="38"/>
      <c r="PB69" s="38"/>
      <c r="PC69" s="38"/>
      <c r="PD69" s="38"/>
      <c r="PE69" s="38"/>
      <c r="PF69" s="38"/>
      <c r="PG69" s="38"/>
      <c r="PH69" s="38"/>
      <c r="PI69" s="38"/>
      <c r="PJ69" s="38"/>
      <c r="PK69" s="38"/>
      <c r="PL69" s="38"/>
      <c r="PM69" s="38"/>
      <c r="PN69" s="38"/>
      <c r="PO69" s="38"/>
      <c r="PP69" s="38"/>
      <c r="PQ69" s="38"/>
      <c r="PR69" s="38"/>
      <c r="PS69" s="38"/>
      <c r="PT69" s="38"/>
      <c r="PU69" s="38"/>
      <c r="PV69" s="38"/>
      <c r="PW69" s="38"/>
      <c r="PX69" s="38"/>
      <c r="PY69" s="38"/>
      <c r="PZ69" s="38"/>
      <c r="QA69" s="38"/>
      <c r="QB69" s="38"/>
      <c r="QC69" s="38"/>
      <c r="QD69" s="38"/>
      <c r="QE69" s="38"/>
      <c r="QF69" s="38"/>
      <c r="QG69" s="38"/>
      <c r="QH69" s="38"/>
      <c r="QI69" s="38"/>
      <c r="QJ69" s="38"/>
      <c r="QK69" s="38"/>
      <c r="QL69" s="38"/>
      <c r="QM69" s="38"/>
      <c r="QN69" s="38"/>
      <c r="QO69" s="38"/>
      <c r="QP69" s="38"/>
      <c r="QQ69" s="38"/>
      <c r="QR69" s="38"/>
      <c r="QS69" s="38"/>
      <c r="QT69" s="38"/>
      <c r="QU69" s="38"/>
      <c r="QV69" s="38"/>
      <c r="QW69" s="38"/>
      <c r="QX69" s="38"/>
      <c r="QY69" s="38"/>
      <c r="QZ69" s="38"/>
      <c r="RA69" s="38"/>
      <c r="RB69" s="38"/>
      <c r="RC69" s="38"/>
      <c r="RD69" s="38"/>
      <c r="RE69" s="38"/>
      <c r="RF69" s="38"/>
      <c r="RG69" s="38"/>
      <c r="RH69" s="38"/>
      <c r="RI69" s="38"/>
      <c r="RJ69" s="38"/>
      <c r="RK69" s="38"/>
      <c r="RL69" s="38"/>
      <c r="RM69" s="38"/>
      <c r="RN69" s="38"/>
      <c r="RO69" s="38"/>
      <c r="RP69" s="38"/>
      <c r="RQ69" s="38"/>
      <c r="RR69" s="38"/>
      <c r="RS69" s="38"/>
      <c r="RT69" s="38"/>
      <c r="RU69" s="38"/>
      <c r="RV69" s="38"/>
      <c r="RW69" s="38"/>
      <c r="RX69" s="38"/>
      <c r="RY69" s="38"/>
      <c r="RZ69" s="38"/>
      <c r="SA69" s="38"/>
      <c r="SB69" s="38"/>
      <c r="SC69" s="38"/>
      <c r="SD69" s="38"/>
      <c r="SE69" s="38"/>
      <c r="SF69" s="38"/>
      <c r="SG69" s="38"/>
      <c r="SH69" s="38"/>
      <c r="SI69" s="38"/>
      <c r="SJ69" s="38"/>
      <c r="SK69" s="38"/>
      <c r="SL69" s="38"/>
      <c r="SM69" s="38"/>
      <c r="SN69" s="38"/>
      <c r="SO69" s="38"/>
      <c r="SP69" s="38"/>
      <c r="SQ69" s="38"/>
      <c r="SR69" s="38"/>
      <c r="SS69" s="38"/>
      <c r="ST69" s="38"/>
      <c r="SU69" s="38"/>
      <c r="SV69" s="38"/>
      <c r="SW69" s="38"/>
      <c r="SX69" s="38"/>
      <c r="SY69" s="38"/>
      <c r="SZ69" s="38"/>
      <c r="TA69" s="38"/>
      <c r="TB69" s="38"/>
      <c r="TC69" s="38"/>
      <c r="TD69" s="38"/>
      <c r="TE69" s="38"/>
      <c r="TF69" s="38"/>
      <c r="TG69" s="38"/>
      <c r="TH69" s="38"/>
      <c r="TI69" s="38"/>
      <c r="TJ69" s="38"/>
      <c r="TK69" s="38"/>
      <c r="TL69" s="38"/>
      <c r="TM69" s="38"/>
    </row>
    <row r="70" spans="2:533" s="39" customFormat="1" ht="18.75" x14ac:dyDescent="0.25">
      <c r="B70" s="50" t="s">
        <v>125</v>
      </c>
      <c r="C70" s="41" t="s">
        <v>146</v>
      </c>
      <c r="D70" s="56" t="s">
        <v>147</v>
      </c>
      <c r="E70" s="87" t="s">
        <v>131</v>
      </c>
      <c r="F70" s="53">
        <v>3</v>
      </c>
      <c r="G70" s="59"/>
      <c r="H70" s="46"/>
      <c r="I70" s="47">
        <f t="shared" si="9"/>
        <v>0</v>
      </c>
      <c r="J70" s="48">
        <v>2031</v>
      </c>
      <c r="K70" s="47" t="s">
        <v>30</v>
      </c>
      <c r="L70" s="49"/>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c r="CO70" s="38"/>
      <c r="CP70" s="38"/>
      <c r="CQ70" s="38"/>
      <c r="CR70" s="38"/>
      <c r="CS70" s="38"/>
      <c r="CT70" s="38"/>
      <c r="CU70" s="38"/>
      <c r="CV70" s="38"/>
      <c r="CW70" s="38"/>
      <c r="CX70" s="38"/>
      <c r="CY70" s="38"/>
      <c r="CZ70" s="38"/>
      <c r="DA70" s="38"/>
      <c r="DB70" s="38"/>
      <c r="DC70" s="38"/>
      <c r="DD70" s="38"/>
      <c r="DE70" s="38"/>
      <c r="DF70" s="38"/>
      <c r="DG70" s="38"/>
      <c r="DH70" s="38"/>
      <c r="DI70" s="38"/>
      <c r="DJ70" s="38"/>
      <c r="DK70" s="38"/>
      <c r="DL70" s="38"/>
      <c r="DM70" s="38"/>
      <c r="DN70" s="38"/>
      <c r="DO70" s="38"/>
      <c r="DP70" s="38"/>
      <c r="DQ70" s="38"/>
      <c r="DR70" s="38"/>
      <c r="DS70" s="38"/>
      <c r="DT70" s="38"/>
      <c r="DU70" s="38"/>
      <c r="DV70" s="38"/>
      <c r="DW70" s="38"/>
      <c r="DX70" s="38"/>
      <c r="DY70" s="38"/>
      <c r="DZ70" s="38"/>
      <c r="EA70" s="38"/>
      <c r="EB70" s="38"/>
      <c r="EC70" s="38"/>
      <c r="ED70" s="38"/>
      <c r="EE70" s="38"/>
      <c r="EF70" s="38"/>
      <c r="EG70" s="38"/>
      <c r="EH70" s="38"/>
      <c r="EI70" s="38"/>
      <c r="EJ70" s="38"/>
      <c r="EK70" s="38"/>
      <c r="EL70" s="38"/>
      <c r="EM70" s="38"/>
      <c r="EN70" s="38"/>
      <c r="EO70" s="38"/>
      <c r="EP70" s="38"/>
      <c r="EQ70" s="38"/>
      <c r="ER70" s="38"/>
      <c r="ES70" s="38"/>
      <c r="ET70" s="38"/>
      <c r="EU70" s="38"/>
      <c r="EV70" s="38"/>
      <c r="EW70" s="38"/>
      <c r="EX70" s="38"/>
      <c r="EY70" s="38"/>
      <c r="EZ70" s="38"/>
      <c r="FA70" s="38"/>
      <c r="FB70" s="38"/>
      <c r="FC70" s="38"/>
      <c r="FD70" s="38"/>
      <c r="FE70" s="38"/>
      <c r="FF70" s="38"/>
      <c r="FG70" s="38"/>
      <c r="FH70" s="38"/>
      <c r="FI70" s="38"/>
      <c r="FJ70" s="38"/>
      <c r="FK70" s="38"/>
      <c r="FL70" s="38"/>
      <c r="FM70" s="38"/>
      <c r="FN70" s="38"/>
      <c r="FO70" s="38"/>
      <c r="FP70" s="38"/>
      <c r="FQ70" s="38"/>
      <c r="FR70" s="38"/>
      <c r="FS70" s="38"/>
      <c r="FT70" s="38"/>
      <c r="FU70" s="38"/>
      <c r="FV70" s="38"/>
      <c r="FW70" s="38"/>
      <c r="FX70" s="38"/>
      <c r="FY70" s="38"/>
      <c r="FZ70" s="38"/>
      <c r="GA70" s="38"/>
      <c r="GB70" s="38"/>
      <c r="GC70" s="38"/>
      <c r="GD70" s="38"/>
      <c r="GE70" s="38"/>
      <c r="GF70" s="38"/>
      <c r="GG70" s="38"/>
      <c r="GH70" s="38"/>
      <c r="GI70" s="38"/>
      <c r="GJ70" s="38"/>
      <c r="GK70" s="38"/>
      <c r="GL70" s="38"/>
      <c r="GM70" s="38"/>
      <c r="GN70" s="38"/>
      <c r="GO70" s="38"/>
      <c r="GP70" s="38"/>
      <c r="GQ70" s="38"/>
      <c r="GR70" s="38"/>
      <c r="GS70" s="38"/>
      <c r="GT70" s="38"/>
      <c r="GU70" s="38"/>
      <c r="GV70" s="38"/>
      <c r="GW70" s="38"/>
      <c r="GX70" s="38"/>
      <c r="GY70" s="38"/>
      <c r="GZ70" s="38"/>
      <c r="HA70" s="38"/>
      <c r="HB70" s="38"/>
      <c r="HC70" s="38"/>
      <c r="HD70" s="38"/>
      <c r="HE70" s="38"/>
      <c r="HF70" s="38"/>
      <c r="HG70" s="38"/>
      <c r="HH70" s="38"/>
      <c r="HI70" s="38"/>
      <c r="HJ70" s="38"/>
      <c r="HK70" s="38"/>
      <c r="HL70" s="38"/>
      <c r="HM70" s="38"/>
      <c r="HN70" s="38"/>
      <c r="HO70" s="38"/>
      <c r="HP70" s="38"/>
      <c r="HQ70" s="38"/>
      <c r="HR70" s="38"/>
      <c r="HS70" s="38"/>
      <c r="HT70" s="38"/>
      <c r="HU70" s="38"/>
      <c r="HV70" s="38"/>
      <c r="HW70" s="38"/>
      <c r="HX70" s="38"/>
      <c r="HY70" s="38"/>
      <c r="HZ70" s="38"/>
      <c r="IA70" s="38"/>
      <c r="IB70" s="38"/>
      <c r="IC70" s="38"/>
      <c r="ID70" s="38"/>
      <c r="IE70" s="38"/>
      <c r="IF70" s="38"/>
      <c r="IG70" s="38"/>
      <c r="IH70" s="38"/>
      <c r="II70" s="38"/>
      <c r="IJ70" s="38"/>
      <c r="IK70" s="38"/>
      <c r="IL70" s="38"/>
      <c r="IM70" s="38"/>
      <c r="IN70" s="38"/>
      <c r="IO70" s="38"/>
      <c r="IP70" s="38"/>
      <c r="IQ70" s="38"/>
      <c r="IR70" s="38"/>
      <c r="IS70" s="38"/>
      <c r="IT70" s="38"/>
      <c r="IU70" s="38"/>
      <c r="IV70" s="38"/>
      <c r="IW70" s="38"/>
      <c r="IX70" s="38"/>
      <c r="IY70" s="38"/>
      <c r="IZ70" s="38"/>
      <c r="JA70" s="38"/>
      <c r="JB70" s="38"/>
      <c r="JC70" s="38"/>
      <c r="JD70" s="38"/>
      <c r="JE70" s="38"/>
      <c r="JF70" s="38"/>
      <c r="JG70" s="38"/>
      <c r="JH70" s="38"/>
      <c r="JI70" s="38"/>
      <c r="JJ70" s="38"/>
      <c r="JK70" s="38"/>
      <c r="JL70" s="38"/>
      <c r="JM70" s="38"/>
      <c r="JN70" s="38"/>
      <c r="JO70" s="38"/>
      <c r="JP70" s="38"/>
      <c r="JQ70" s="38"/>
      <c r="JR70" s="38"/>
      <c r="JS70" s="38"/>
      <c r="JT70" s="38"/>
      <c r="JU70" s="38"/>
      <c r="JV70" s="38"/>
      <c r="JW70" s="38"/>
      <c r="JX70" s="38"/>
      <c r="JY70" s="38"/>
      <c r="JZ70" s="38"/>
      <c r="KA70" s="38"/>
      <c r="KB70" s="38"/>
      <c r="KC70" s="38"/>
      <c r="KD70" s="38"/>
      <c r="KE70" s="38"/>
      <c r="KF70" s="38"/>
      <c r="KG70" s="38"/>
      <c r="KH70" s="38"/>
      <c r="KI70" s="38"/>
      <c r="KJ70" s="38"/>
      <c r="KK70" s="38"/>
      <c r="KL70" s="38"/>
      <c r="KM70" s="38"/>
      <c r="KN70" s="38"/>
      <c r="KO70" s="38"/>
      <c r="KP70" s="38"/>
      <c r="KQ70" s="38"/>
      <c r="KR70" s="38"/>
      <c r="KS70" s="38"/>
      <c r="KT70" s="38"/>
      <c r="KU70" s="38"/>
      <c r="KV70" s="38"/>
      <c r="KW70" s="38"/>
      <c r="KX70" s="38"/>
      <c r="KY70" s="38"/>
      <c r="KZ70" s="38"/>
      <c r="LA70" s="38"/>
      <c r="LB70" s="38"/>
      <c r="LC70" s="38"/>
      <c r="LD70" s="38"/>
      <c r="LE70" s="38"/>
      <c r="LF70" s="38"/>
      <c r="LG70" s="38"/>
      <c r="LH70" s="38"/>
      <c r="LI70" s="38"/>
      <c r="LJ70" s="38"/>
      <c r="LK70" s="38"/>
      <c r="LL70" s="38"/>
      <c r="LM70" s="38"/>
      <c r="LN70" s="38"/>
      <c r="LO70" s="38"/>
      <c r="LP70" s="38"/>
      <c r="LQ70" s="38"/>
      <c r="LR70" s="38"/>
      <c r="LS70" s="38"/>
      <c r="LT70" s="38"/>
      <c r="LU70" s="38"/>
      <c r="LV70" s="38"/>
      <c r="LW70" s="38"/>
      <c r="LX70" s="38"/>
      <c r="LY70" s="38"/>
      <c r="LZ70" s="38"/>
      <c r="MA70" s="38"/>
      <c r="MB70" s="38"/>
      <c r="MC70" s="38"/>
      <c r="MD70" s="38"/>
      <c r="ME70" s="38"/>
      <c r="MF70" s="38"/>
      <c r="MG70" s="38"/>
      <c r="MH70" s="38"/>
      <c r="MI70" s="38"/>
      <c r="MJ70" s="38"/>
      <c r="MK70" s="38"/>
      <c r="ML70" s="38"/>
      <c r="MM70" s="38"/>
      <c r="MN70" s="38"/>
      <c r="MO70" s="38"/>
      <c r="MP70" s="38"/>
      <c r="MQ70" s="38"/>
      <c r="MR70" s="38"/>
      <c r="MS70" s="38"/>
      <c r="MT70" s="38"/>
      <c r="MU70" s="38"/>
      <c r="MV70" s="38"/>
      <c r="MW70" s="38"/>
      <c r="MX70" s="38"/>
      <c r="MY70" s="38"/>
      <c r="MZ70" s="38"/>
      <c r="NA70" s="38"/>
      <c r="NB70" s="38"/>
      <c r="NC70" s="38"/>
      <c r="ND70" s="38"/>
      <c r="NE70" s="38"/>
      <c r="NF70" s="38"/>
      <c r="NG70" s="38"/>
      <c r="NH70" s="38"/>
      <c r="NI70" s="38"/>
      <c r="NJ70" s="38"/>
      <c r="NK70" s="38"/>
      <c r="NL70" s="38"/>
      <c r="NM70" s="38"/>
      <c r="NN70" s="38"/>
      <c r="NO70" s="38"/>
      <c r="NP70" s="38"/>
      <c r="NQ70" s="38"/>
      <c r="NR70" s="38"/>
      <c r="NS70" s="38"/>
      <c r="NT70" s="38"/>
      <c r="NU70" s="38"/>
      <c r="NV70" s="38"/>
      <c r="NW70" s="38"/>
      <c r="NX70" s="38"/>
      <c r="NY70" s="38"/>
      <c r="NZ70" s="38"/>
      <c r="OA70" s="38"/>
      <c r="OB70" s="38"/>
      <c r="OC70" s="38"/>
      <c r="OD70" s="38"/>
      <c r="OE70" s="38"/>
      <c r="OF70" s="38"/>
      <c r="OG70" s="38"/>
      <c r="OH70" s="38"/>
      <c r="OI70" s="38"/>
      <c r="OJ70" s="38"/>
      <c r="OK70" s="38"/>
      <c r="OL70" s="38"/>
      <c r="OM70" s="38"/>
      <c r="ON70" s="38"/>
      <c r="OO70" s="38"/>
      <c r="OP70" s="38"/>
      <c r="OQ70" s="38"/>
      <c r="OR70" s="38"/>
      <c r="OS70" s="38"/>
      <c r="OT70" s="38"/>
      <c r="OU70" s="38"/>
      <c r="OV70" s="38"/>
      <c r="OW70" s="38"/>
      <c r="OX70" s="38"/>
      <c r="OY70" s="38"/>
      <c r="OZ70" s="38"/>
      <c r="PA70" s="38"/>
      <c r="PB70" s="38"/>
      <c r="PC70" s="38"/>
      <c r="PD70" s="38"/>
      <c r="PE70" s="38"/>
      <c r="PF70" s="38"/>
      <c r="PG70" s="38"/>
      <c r="PH70" s="38"/>
      <c r="PI70" s="38"/>
      <c r="PJ70" s="38"/>
      <c r="PK70" s="38"/>
      <c r="PL70" s="38"/>
      <c r="PM70" s="38"/>
      <c r="PN70" s="38"/>
      <c r="PO70" s="38"/>
      <c r="PP70" s="38"/>
      <c r="PQ70" s="38"/>
      <c r="PR70" s="38"/>
      <c r="PS70" s="38"/>
      <c r="PT70" s="38"/>
      <c r="PU70" s="38"/>
      <c r="PV70" s="38"/>
      <c r="PW70" s="38"/>
      <c r="PX70" s="38"/>
      <c r="PY70" s="38"/>
      <c r="PZ70" s="38"/>
      <c r="QA70" s="38"/>
      <c r="QB70" s="38"/>
      <c r="QC70" s="38"/>
      <c r="QD70" s="38"/>
      <c r="QE70" s="38"/>
      <c r="QF70" s="38"/>
      <c r="QG70" s="38"/>
      <c r="QH70" s="38"/>
      <c r="QI70" s="38"/>
      <c r="QJ70" s="38"/>
      <c r="QK70" s="38"/>
      <c r="QL70" s="38"/>
      <c r="QM70" s="38"/>
      <c r="QN70" s="38"/>
      <c r="QO70" s="38"/>
      <c r="QP70" s="38"/>
      <c r="QQ70" s="38"/>
      <c r="QR70" s="38"/>
      <c r="QS70" s="38"/>
      <c r="QT70" s="38"/>
      <c r="QU70" s="38"/>
      <c r="QV70" s="38"/>
      <c r="QW70" s="38"/>
      <c r="QX70" s="38"/>
      <c r="QY70" s="38"/>
      <c r="QZ70" s="38"/>
      <c r="RA70" s="38"/>
      <c r="RB70" s="38"/>
      <c r="RC70" s="38"/>
      <c r="RD70" s="38"/>
      <c r="RE70" s="38"/>
      <c r="RF70" s="38"/>
      <c r="RG70" s="38"/>
      <c r="RH70" s="38"/>
      <c r="RI70" s="38"/>
      <c r="RJ70" s="38"/>
      <c r="RK70" s="38"/>
      <c r="RL70" s="38"/>
      <c r="RM70" s="38"/>
      <c r="RN70" s="38"/>
      <c r="RO70" s="38"/>
      <c r="RP70" s="38"/>
      <c r="RQ70" s="38"/>
      <c r="RR70" s="38"/>
      <c r="RS70" s="38"/>
      <c r="RT70" s="38"/>
      <c r="RU70" s="38"/>
      <c r="RV70" s="38"/>
      <c r="RW70" s="38"/>
      <c r="RX70" s="38"/>
      <c r="RY70" s="38"/>
      <c r="RZ70" s="38"/>
      <c r="SA70" s="38"/>
      <c r="SB70" s="38"/>
      <c r="SC70" s="38"/>
      <c r="SD70" s="38"/>
      <c r="SE70" s="38"/>
      <c r="SF70" s="38"/>
      <c r="SG70" s="38"/>
      <c r="SH70" s="38"/>
      <c r="SI70" s="38"/>
      <c r="SJ70" s="38"/>
      <c r="SK70" s="38"/>
      <c r="SL70" s="38"/>
      <c r="SM70" s="38"/>
      <c r="SN70" s="38"/>
      <c r="SO70" s="38"/>
      <c r="SP70" s="38"/>
      <c r="SQ70" s="38"/>
      <c r="SR70" s="38"/>
      <c r="SS70" s="38"/>
      <c r="ST70" s="38"/>
      <c r="SU70" s="38"/>
      <c r="SV70" s="38"/>
      <c r="SW70" s="38"/>
      <c r="SX70" s="38"/>
      <c r="SY70" s="38"/>
      <c r="SZ70" s="38"/>
      <c r="TA70" s="38"/>
      <c r="TB70" s="38"/>
      <c r="TC70" s="38"/>
      <c r="TD70" s="38"/>
      <c r="TE70" s="38"/>
      <c r="TF70" s="38"/>
      <c r="TG70" s="38"/>
      <c r="TH70" s="38"/>
      <c r="TI70" s="38"/>
      <c r="TJ70" s="38"/>
      <c r="TK70" s="38"/>
      <c r="TL70" s="38"/>
      <c r="TM70" s="38"/>
    </row>
    <row r="71" spans="2:533" s="39" customFormat="1" ht="18.75" x14ac:dyDescent="0.25">
      <c r="B71" s="50" t="s">
        <v>125</v>
      </c>
      <c r="C71" s="41" t="s">
        <v>148</v>
      </c>
      <c r="D71" s="56" t="s">
        <v>149</v>
      </c>
      <c r="E71" s="87" t="s">
        <v>131</v>
      </c>
      <c r="F71" s="53">
        <v>12</v>
      </c>
      <c r="G71" s="59"/>
      <c r="H71" s="46"/>
      <c r="I71" s="47">
        <f t="shared" si="9"/>
        <v>0</v>
      </c>
      <c r="J71" s="48">
        <v>2031</v>
      </c>
      <c r="K71" s="47" t="s">
        <v>30</v>
      </c>
      <c r="L71" s="49"/>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T71" s="38"/>
      <c r="DU71" s="38"/>
      <c r="DV71" s="38"/>
      <c r="DW71" s="38"/>
      <c r="DX71" s="38"/>
      <c r="DY71" s="38"/>
      <c r="DZ71" s="38"/>
      <c r="EA71" s="38"/>
      <c r="EB71" s="38"/>
      <c r="EC71" s="38"/>
      <c r="ED71" s="38"/>
      <c r="EE71" s="38"/>
      <c r="EF71" s="38"/>
      <c r="EG71" s="38"/>
      <c r="EH71" s="38"/>
      <c r="EI71" s="38"/>
      <c r="EJ71" s="38"/>
      <c r="EK71" s="38"/>
      <c r="EL71" s="38"/>
      <c r="EM71" s="38"/>
      <c r="EN71" s="38"/>
      <c r="EO71" s="38"/>
      <c r="EP71" s="38"/>
      <c r="EQ71" s="38"/>
      <c r="ER71" s="38"/>
      <c r="ES71" s="38"/>
      <c r="ET71" s="38"/>
      <c r="EU71" s="38"/>
      <c r="EV71" s="38"/>
      <c r="EW71" s="38"/>
      <c r="EX71" s="38"/>
      <c r="EY71" s="38"/>
      <c r="EZ71" s="38"/>
      <c r="FA71" s="38"/>
      <c r="FB71" s="38"/>
      <c r="FC71" s="38"/>
      <c r="FD71" s="38"/>
      <c r="FE71" s="38"/>
      <c r="FF71" s="38"/>
      <c r="FG71" s="38"/>
      <c r="FH71" s="38"/>
      <c r="FI71" s="38"/>
      <c r="FJ71" s="38"/>
      <c r="FK71" s="38"/>
      <c r="FL71" s="38"/>
      <c r="FM71" s="38"/>
      <c r="FN71" s="38"/>
      <c r="FO71" s="38"/>
      <c r="FP71" s="38"/>
      <c r="FQ71" s="38"/>
      <c r="FR71" s="38"/>
      <c r="FS71" s="38"/>
      <c r="FT71" s="38"/>
      <c r="FU71" s="38"/>
      <c r="FV71" s="38"/>
      <c r="FW71" s="38"/>
      <c r="FX71" s="38"/>
      <c r="FY71" s="38"/>
      <c r="FZ71" s="38"/>
      <c r="GA71" s="38"/>
      <c r="GB71" s="38"/>
      <c r="GC71" s="38"/>
      <c r="GD71" s="38"/>
      <c r="GE71" s="38"/>
      <c r="GF71" s="38"/>
      <c r="GG71" s="38"/>
      <c r="GH71" s="38"/>
      <c r="GI71" s="38"/>
      <c r="GJ71" s="38"/>
      <c r="GK71" s="38"/>
      <c r="GL71" s="38"/>
      <c r="GM71" s="38"/>
      <c r="GN71" s="38"/>
      <c r="GO71" s="38"/>
      <c r="GP71" s="38"/>
      <c r="GQ71" s="38"/>
      <c r="GR71" s="38"/>
      <c r="GS71" s="38"/>
      <c r="GT71" s="38"/>
      <c r="GU71" s="38"/>
      <c r="GV71" s="38"/>
      <c r="GW71" s="38"/>
      <c r="GX71" s="38"/>
      <c r="GY71" s="38"/>
      <c r="GZ71" s="38"/>
      <c r="HA71" s="38"/>
      <c r="HB71" s="38"/>
      <c r="HC71" s="38"/>
      <c r="HD71" s="38"/>
      <c r="HE71" s="38"/>
      <c r="HF71" s="38"/>
      <c r="HG71" s="38"/>
      <c r="HH71" s="38"/>
      <c r="HI71" s="38"/>
      <c r="HJ71" s="38"/>
      <c r="HK71" s="38"/>
      <c r="HL71" s="38"/>
      <c r="HM71" s="38"/>
      <c r="HN71" s="38"/>
      <c r="HO71" s="38"/>
      <c r="HP71" s="38"/>
      <c r="HQ71" s="38"/>
      <c r="HR71" s="38"/>
      <c r="HS71" s="38"/>
      <c r="HT71" s="38"/>
      <c r="HU71" s="38"/>
      <c r="HV71" s="38"/>
      <c r="HW71" s="38"/>
      <c r="HX71" s="38"/>
      <c r="HY71" s="38"/>
      <c r="HZ71" s="38"/>
      <c r="IA71" s="38"/>
      <c r="IB71" s="38"/>
      <c r="IC71" s="38"/>
      <c r="ID71" s="38"/>
      <c r="IE71" s="38"/>
      <c r="IF71" s="38"/>
      <c r="IG71" s="38"/>
      <c r="IH71" s="38"/>
      <c r="II71" s="38"/>
      <c r="IJ71" s="38"/>
      <c r="IK71" s="38"/>
      <c r="IL71" s="38"/>
      <c r="IM71" s="38"/>
      <c r="IN71" s="38"/>
      <c r="IO71" s="38"/>
      <c r="IP71" s="38"/>
      <c r="IQ71" s="38"/>
      <c r="IR71" s="38"/>
      <c r="IS71" s="38"/>
      <c r="IT71" s="38"/>
      <c r="IU71" s="38"/>
      <c r="IV71" s="38"/>
      <c r="IW71" s="38"/>
      <c r="IX71" s="38"/>
      <c r="IY71" s="38"/>
      <c r="IZ71" s="38"/>
      <c r="JA71" s="38"/>
      <c r="JB71" s="38"/>
      <c r="JC71" s="38"/>
      <c r="JD71" s="38"/>
      <c r="JE71" s="38"/>
      <c r="JF71" s="38"/>
      <c r="JG71" s="38"/>
      <c r="JH71" s="38"/>
      <c r="JI71" s="38"/>
      <c r="JJ71" s="38"/>
      <c r="JK71" s="38"/>
      <c r="JL71" s="38"/>
      <c r="JM71" s="38"/>
      <c r="JN71" s="38"/>
      <c r="JO71" s="38"/>
      <c r="JP71" s="38"/>
      <c r="JQ71" s="38"/>
      <c r="JR71" s="38"/>
      <c r="JS71" s="38"/>
      <c r="JT71" s="38"/>
      <c r="JU71" s="38"/>
      <c r="JV71" s="38"/>
      <c r="JW71" s="38"/>
      <c r="JX71" s="38"/>
      <c r="JY71" s="38"/>
      <c r="JZ71" s="38"/>
      <c r="KA71" s="38"/>
      <c r="KB71" s="38"/>
      <c r="KC71" s="38"/>
      <c r="KD71" s="38"/>
      <c r="KE71" s="38"/>
      <c r="KF71" s="38"/>
      <c r="KG71" s="38"/>
      <c r="KH71" s="38"/>
      <c r="KI71" s="38"/>
      <c r="KJ71" s="38"/>
      <c r="KK71" s="38"/>
      <c r="KL71" s="38"/>
      <c r="KM71" s="38"/>
      <c r="KN71" s="38"/>
      <c r="KO71" s="38"/>
      <c r="KP71" s="38"/>
      <c r="KQ71" s="38"/>
      <c r="KR71" s="38"/>
      <c r="KS71" s="38"/>
      <c r="KT71" s="38"/>
      <c r="KU71" s="38"/>
      <c r="KV71" s="38"/>
      <c r="KW71" s="38"/>
      <c r="KX71" s="38"/>
      <c r="KY71" s="38"/>
      <c r="KZ71" s="38"/>
      <c r="LA71" s="38"/>
      <c r="LB71" s="38"/>
      <c r="LC71" s="38"/>
      <c r="LD71" s="38"/>
      <c r="LE71" s="38"/>
      <c r="LF71" s="38"/>
      <c r="LG71" s="38"/>
      <c r="LH71" s="38"/>
      <c r="LI71" s="38"/>
      <c r="LJ71" s="38"/>
      <c r="LK71" s="38"/>
      <c r="LL71" s="38"/>
      <c r="LM71" s="38"/>
      <c r="LN71" s="38"/>
      <c r="LO71" s="38"/>
      <c r="LP71" s="38"/>
      <c r="LQ71" s="38"/>
      <c r="LR71" s="38"/>
      <c r="LS71" s="38"/>
      <c r="LT71" s="38"/>
      <c r="LU71" s="38"/>
      <c r="LV71" s="38"/>
      <c r="LW71" s="38"/>
      <c r="LX71" s="38"/>
      <c r="LY71" s="38"/>
      <c r="LZ71" s="38"/>
      <c r="MA71" s="38"/>
      <c r="MB71" s="38"/>
      <c r="MC71" s="38"/>
      <c r="MD71" s="38"/>
      <c r="ME71" s="38"/>
      <c r="MF71" s="38"/>
      <c r="MG71" s="38"/>
      <c r="MH71" s="38"/>
      <c r="MI71" s="38"/>
      <c r="MJ71" s="38"/>
      <c r="MK71" s="38"/>
      <c r="ML71" s="38"/>
      <c r="MM71" s="38"/>
      <c r="MN71" s="38"/>
      <c r="MO71" s="38"/>
      <c r="MP71" s="38"/>
      <c r="MQ71" s="38"/>
      <c r="MR71" s="38"/>
      <c r="MS71" s="38"/>
      <c r="MT71" s="38"/>
      <c r="MU71" s="38"/>
      <c r="MV71" s="38"/>
      <c r="MW71" s="38"/>
      <c r="MX71" s="38"/>
      <c r="MY71" s="38"/>
      <c r="MZ71" s="38"/>
      <c r="NA71" s="38"/>
      <c r="NB71" s="38"/>
      <c r="NC71" s="38"/>
      <c r="ND71" s="38"/>
      <c r="NE71" s="38"/>
      <c r="NF71" s="38"/>
      <c r="NG71" s="38"/>
      <c r="NH71" s="38"/>
      <c r="NI71" s="38"/>
      <c r="NJ71" s="38"/>
      <c r="NK71" s="38"/>
      <c r="NL71" s="38"/>
      <c r="NM71" s="38"/>
      <c r="NN71" s="38"/>
      <c r="NO71" s="38"/>
      <c r="NP71" s="38"/>
      <c r="NQ71" s="38"/>
      <c r="NR71" s="38"/>
      <c r="NS71" s="38"/>
      <c r="NT71" s="38"/>
      <c r="NU71" s="38"/>
      <c r="NV71" s="38"/>
      <c r="NW71" s="38"/>
      <c r="NX71" s="38"/>
      <c r="NY71" s="38"/>
      <c r="NZ71" s="38"/>
      <c r="OA71" s="38"/>
      <c r="OB71" s="38"/>
      <c r="OC71" s="38"/>
      <c r="OD71" s="38"/>
      <c r="OE71" s="38"/>
      <c r="OF71" s="38"/>
      <c r="OG71" s="38"/>
      <c r="OH71" s="38"/>
      <c r="OI71" s="38"/>
      <c r="OJ71" s="38"/>
      <c r="OK71" s="38"/>
      <c r="OL71" s="38"/>
      <c r="OM71" s="38"/>
      <c r="ON71" s="38"/>
      <c r="OO71" s="38"/>
      <c r="OP71" s="38"/>
      <c r="OQ71" s="38"/>
      <c r="OR71" s="38"/>
      <c r="OS71" s="38"/>
      <c r="OT71" s="38"/>
      <c r="OU71" s="38"/>
      <c r="OV71" s="38"/>
      <c r="OW71" s="38"/>
      <c r="OX71" s="38"/>
      <c r="OY71" s="38"/>
      <c r="OZ71" s="38"/>
      <c r="PA71" s="38"/>
      <c r="PB71" s="38"/>
      <c r="PC71" s="38"/>
      <c r="PD71" s="38"/>
      <c r="PE71" s="38"/>
      <c r="PF71" s="38"/>
      <c r="PG71" s="38"/>
      <c r="PH71" s="38"/>
      <c r="PI71" s="38"/>
      <c r="PJ71" s="38"/>
      <c r="PK71" s="38"/>
      <c r="PL71" s="38"/>
      <c r="PM71" s="38"/>
      <c r="PN71" s="38"/>
      <c r="PO71" s="38"/>
      <c r="PP71" s="38"/>
      <c r="PQ71" s="38"/>
      <c r="PR71" s="38"/>
      <c r="PS71" s="38"/>
      <c r="PT71" s="38"/>
      <c r="PU71" s="38"/>
      <c r="PV71" s="38"/>
      <c r="PW71" s="38"/>
      <c r="PX71" s="38"/>
      <c r="PY71" s="38"/>
      <c r="PZ71" s="38"/>
      <c r="QA71" s="38"/>
      <c r="QB71" s="38"/>
      <c r="QC71" s="38"/>
      <c r="QD71" s="38"/>
      <c r="QE71" s="38"/>
      <c r="QF71" s="38"/>
      <c r="QG71" s="38"/>
      <c r="QH71" s="38"/>
      <c r="QI71" s="38"/>
      <c r="QJ71" s="38"/>
      <c r="QK71" s="38"/>
      <c r="QL71" s="38"/>
      <c r="QM71" s="38"/>
      <c r="QN71" s="38"/>
      <c r="QO71" s="38"/>
      <c r="QP71" s="38"/>
      <c r="QQ71" s="38"/>
      <c r="QR71" s="38"/>
      <c r="QS71" s="38"/>
      <c r="QT71" s="38"/>
      <c r="QU71" s="38"/>
      <c r="QV71" s="38"/>
      <c r="QW71" s="38"/>
      <c r="QX71" s="38"/>
      <c r="QY71" s="38"/>
      <c r="QZ71" s="38"/>
      <c r="RA71" s="38"/>
      <c r="RB71" s="38"/>
      <c r="RC71" s="38"/>
      <c r="RD71" s="38"/>
      <c r="RE71" s="38"/>
      <c r="RF71" s="38"/>
      <c r="RG71" s="38"/>
      <c r="RH71" s="38"/>
      <c r="RI71" s="38"/>
      <c r="RJ71" s="38"/>
      <c r="RK71" s="38"/>
      <c r="RL71" s="38"/>
      <c r="RM71" s="38"/>
      <c r="RN71" s="38"/>
      <c r="RO71" s="38"/>
      <c r="RP71" s="38"/>
      <c r="RQ71" s="38"/>
      <c r="RR71" s="38"/>
      <c r="RS71" s="38"/>
      <c r="RT71" s="38"/>
      <c r="RU71" s="38"/>
      <c r="RV71" s="38"/>
      <c r="RW71" s="38"/>
      <c r="RX71" s="38"/>
      <c r="RY71" s="38"/>
      <c r="RZ71" s="38"/>
      <c r="SA71" s="38"/>
      <c r="SB71" s="38"/>
      <c r="SC71" s="38"/>
      <c r="SD71" s="38"/>
      <c r="SE71" s="38"/>
      <c r="SF71" s="38"/>
      <c r="SG71" s="38"/>
      <c r="SH71" s="38"/>
      <c r="SI71" s="38"/>
      <c r="SJ71" s="38"/>
      <c r="SK71" s="38"/>
      <c r="SL71" s="38"/>
      <c r="SM71" s="38"/>
      <c r="SN71" s="38"/>
      <c r="SO71" s="38"/>
      <c r="SP71" s="38"/>
      <c r="SQ71" s="38"/>
      <c r="SR71" s="38"/>
      <c r="SS71" s="38"/>
      <c r="ST71" s="38"/>
      <c r="SU71" s="38"/>
      <c r="SV71" s="38"/>
      <c r="SW71" s="38"/>
      <c r="SX71" s="38"/>
      <c r="SY71" s="38"/>
      <c r="SZ71" s="38"/>
      <c r="TA71" s="38"/>
      <c r="TB71" s="38"/>
      <c r="TC71" s="38"/>
      <c r="TD71" s="38"/>
      <c r="TE71" s="38"/>
      <c r="TF71" s="38"/>
      <c r="TG71" s="38"/>
      <c r="TH71" s="38"/>
      <c r="TI71" s="38"/>
      <c r="TJ71" s="38"/>
      <c r="TK71" s="38"/>
      <c r="TL71" s="38"/>
      <c r="TM71" s="38"/>
    </row>
    <row r="72" spans="2:533" s="39" customFormat="1" ht="18.75" x14ac:dyDescent="0.25">
      <c r="B72" s="50" t="s">
        <v>125</v>
      </c>
      <c r="C72" s="41"/>
      <c r="D72" s="63" t="s">
        <v>150</v>
      </c>
      <c r="E72" s="87"/>
      <c r="F72" s="53"/>
      <c r="G72" s="59"/>
      <c r="H72" s="46"/>
      <c r="I72" s="47"/>
      <c r="J72" s="48"/>
      <c r="K72" s="47"/>
      <c r="L72" s="49"/>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c r="DA72" s="38"/>
      <c r="DB72" s="38"/>
      <c r="DC72" s="38"/>
      <c r="DD72" s="38"/>
      <c r="DE72" s="38"/>
      <c r="DF72" s="38"/>
      <c r="DG72" s="38"/>
      <c r="DH72" s="38"/>
      <c r="DI72" s="38"/>
      <c r="DJ72" s="38"/>
      <c r="DK72" s="38"/>
      <c r="DL72" s="38"/>
      <c r="DM72" s="38"/>
      <c r="DN72" s="38"/>
      <c r="DO72" s="38"/>
      <c r="DP72" s="38"/>
      <c r="DQ72" s="38"/>
      <c r="DR72" s="38"/>
      <c r="DS72" s="38"/>
      <c r="DT72" s="38"/>
      <c r="DU72" s="38"/>
      <c r="DV72" s="38"/>
      <c r="DW72" s="38"/>
      <c r="DX72" s="38"/>
      <c r="DY72" s="38"/>
      <c r="DZ72" s="38"/>
      <c r="EA72" s="38"/>
      <c r="EB72" s="38"/>
      <c r="EC72" s="38"/>
      <c r="ED72" s="38"/>
      <c r="EE72" s="38"/>
      <c r="EF72" s="38"/>
      <c r="EG72" s="38"/>
      <c r="EH72" s="38"/>
      <c r="EI72" s="38"/>
      <c r="EJ72" s="38"/>
      <c r="EK72" s="38"/>
      <c r="EL72" s="38"/>
      <c r="EM72" s="38"/>
      <c r="EN72" s="38"/>
      <c r="EO72" s="38"/>
      <c r="EP72" s="38"/>
      <c r="EQ72" s="38"/>
      <c r="ER72" s="38"/>
      <c r="ES72" s="38"/>
      <c r="ET72" s="38"/>
      <c r="EU72" s="38"/>
      <c r="EV72" s="38"/>
      <c r="EW72" s="38"/>
      <c r="EX72" s="38"/>
      <c r="EY72" s="38"/>
      <c r="EZ72" s="38"/>
      <c r="FA72" s="38"/>
      <c r="FB72" s="38"/>
      <c r="FC72" s="38"/>
      <c r="FD72" s="38"/>
      <c r="FE72" s="38"/>
      <c r="FF72" s="38"/>
      <c r="FG72" s="38"/>
      <c r="FH72" s="38"/>
      <c r="FI72" s="38"/>
      <c r="FJ72" s="38"/>
      <c r="FK72" s="38"/>
      <c r="FL72" s="38"/>
      <c r="FM72" s="38"/>
      <c r="FN72" s="38"/>
      <c r="FO72" s="38"/>
      <c r="FP72" s="38"/>
      <c r="FQ72" s="38"/>
      <c r="FR72" s="38"/>
      <c r="FS72" s="38"/>
      <c r="FT72" s="38"/>
      <c r="FU72" s="38"/>
      <c r="FV72" s="38"/>
      <c r="FW72" s="38"/>
      <c r="FX72" s="38"/>
      <c r="FY72" s="38"/>
      <c r="FZ72" s="38"/>
      <c r="GA72" s="38"/>
      <c r="GB72" s="38"/>
      <c r="GC72" s="38"/>
      <c r="GD72" s="38"/>
      <c r="GE72" s="38"/>
      <c r="GF72" s="38"/>
      <c r="GG72" s="38"/>
      <c r="GH72" s="38"/>
      <c r="GI72" s="38"/>
      <c r="GJ72" s="38"/>
      <c r="GK72" s="38"/>
      <c r="GL72" s="38"/>
      <c r="GM72" s="38"/>
      <c r="GN72" s="38"/>
      <c r="GO72" s="38"/>
      <c r="GP72" s="38"/>
      <c r="GQ72" s="38"/>
      <c r="GR72" s="38"/>
      <c r="GS72" s="38"/>
      <c r="GT72" s="38"/>
      <c r="GU72" s="38"/>
      <c r="GV72" s="38"/>
      <c r="GW72" s="38"/>
      <c r="GX72" s="38"/>
      <c r="GY72" s="38"/>
      <c r="GZ72" s="38"/>
      <c r="HA72" s="38"/>
      <c r="HB72" s="38"/>
      <c r="HC72" s="38"/>
      <c r="HD72" s="38"/>
      <c r="HE72" s="38"/>
      <c r="HF72" s="38"/>
      <c r="HG72" s="38"/>
      <c r="HH72" s="38"/>
      <c r="HI72" s="38"/>
      <c r="HJ72" s="38"/>
      <c r="HK72" s="38"/>
      <c r="HL72" s="38"/>
      <c r="HM72" s="38"/>
      <c r="HN72" s="38"/>
      <c r="HO72" s="38"/>
      <c r="HP72" s="38"/>
      <c r="HQ72" s="38"/>
      <c r="HR72" s="38"/>
      <c r="HS72" s="38"/>
      <c r="HT72" s="38"/>
      <c r="HU72" s="38"/>
      <c r="HV72" s="38"/>
      <c r="HW72" s="38"/>
      <c r="HX72" s="38"/>
      <c r="HY72" s="38"/>
      <c r="HZ72" s="38"/>
      <c r="IA72" s="38"/>
      <c r="IB72" s="38"/>
      <c r="IC72" s="38"/>
      <c r="ID72" s="38"/>
      <c r="IE72" s="38"/>
      <c r="IF72" s="38"/>
      <c r="IG72" s="38"/>
      <c r="IH72" s="38"/>
      <c r="II72" s="38"/>
      <c r="IJ72" s="38"/>
      <c r="IK72" s="38"/>
      <c r="IL72" s="38"/>
      <c r="IM72" s="38"/>
      <c r="IN72" s="38"/>
      <c r="IO72" s="38"/>
      <c r="IP72" s="38"/>
      <c r="IQ72" s="38"/>
      <c r="IR72" s="38"/>
      <c r="IS72" s="38"/>
      <c r="IT72" s="38"/>
      <c r="IU72" s="38"/>
      <c r="IV72" s="38"/>
      <c r="IW72" s="38"/>
      <c r="IX72" s="38"/>
      <c r="IY72" s="38"/>
      <c r="IZ72" s="38"/>
      <c r="JA72" s="38"/>
      <c r="JB72" s="38"/>
      <c r="JC72" s="38"/>
      <c r="JD72" s="38"/>
      <c r="JE72" s="38"/>
      <c r="JF72" s="38"/>
      <c r="JG72" s="38"/>
      <c r="JH72" s="38"/>
      <c r="JI72" s="38"/>
      <c r="JJ72" s="38"/>
      <c r="JK72" s="38"/>
      <c r="JL72" s="38"/>
      <c r="JM72" s="38"/>
      <c r="JN72" s="38"/>
      <c r="JO72" s="38"/>
      <c r="JP72" s="38"/>
      <c r="JQ72" s="38"/>
      <c r="JR72" s="38"/>
      <c r="JS72" s="38"/>
      <c r="JT72" s="38"/>
      <c r="JU72" s="38"/>
      <c r="JV72" s="38"/>
      <c r="JW72" s="38"/>
      <c r="JX72" s="38"/>
      <c r="JY72" s="38"/>
      <c r="JZ72" s="38"/>
      <c r="KA72" s="38"/>
      <c r="KB72" s="38"/>
      <c r="KC72" s="38"/>
      <c r="KD72" s="38"/>
      <c r="KE72" s="38"/>
      <c r="KF72" s="38"/>
      <c r="KG72" s="38"/>
      <c r="KH72" s="38"/>
      <c r="KI72" s="38"/>
      <c r="KJ72" s="38"/>
      <c r="KK72" s="38"/>
      <c r="KL72" s="38"/>
      <c r="KM72" s="38"/>
      <c r="KN72" s="38"/>
      <c r="KO72" s="38"/>
      <c r="KP72" s="38"/>
      <c r="KQ72" s="38"/>
      <c r="KR72" s="38"/>
      <c r="KS72" s="38"/>
      <c r="KT72" s="38"/>
      <c r="KU72" s="38"/>
      <c r="KV72" s="38"/>
      <c r="KW72" s="38"/>
      <c r="KX72" s="38"/>
      <c r="KY72" s="38"/>
      <c r="KZ72" s="38"/>
      <c r="LA72" s="38"/>
      <c r="LB72" s="38"/>
      <c r="LC72" s="38"/>
      <c r="LD72" s="38"/>
      <c r="LE72" s="38"/>
      <c r="LF72" s="38"/>
      <c r="LG72" s="38"/>
      <c r="LH72" s="38"/>
      <c r="LI72" s="38"/>
      <c r="LJ72" s="38"/>
      <c r="LK72" s="38"/>
      <c r="LL72" s="38"/>
      <c r="LM72" s="38"/>
      <c r="LN72" s="38"/>
      <c r="LO72" s="38"/>
      <c r="LP72" s="38"/>
      <c r="LQ72" s="38"/>
      <c r="LR72" s="38"/>
      <c r="LS72" s="38"/>
      <c r="LT72" s="38"/>
      <c r="LU72" s="38"/>
      <c r="LV72" s="38"/>
      <c r="LW72" s="38"/>
      <c r="LX72" s="38"/>
      <c r="LY72" s="38"/>
      <c r="LZ72" s="38"/>
      <c r="MA72" s="38"/>
      <c r="MB72" s="38"/>
      <c r="MC72" s="38"/>
      <c r="MD72" s="38"/>
      <c r="ME72" s="38"/>
      <c r="MF72" s="38"/>
      <c r="MG72" s="38"/>
      <c r="MH72" s="38"/>
      <c r="MI72" s="38"/>
      <c r="MJ72" s="38"/>
      <c r="MK72" s="38"/>
      <c r="ML72" s="38"/>
      <c r="MM72" s="38"/>
      <c r="MN72" s="38"/>
      <c r="MO72" s="38"/>
      <c r="MP72" s="38"/>
      <c r="MQ72" s="38"/>
      <c r="MR72" s="38"/>
      <c r="MS72" s="38"/>
      <c r="MT72" s="38"/>
      <c r="MU72" s="38"/>
      <c r="MV72" s="38"/>
      <c r="MW72" s="38"/>
      <c r="MX72" s="38"/>
      <c r="MY72" s="38"/>
      <c r="MZ72" s="38"/>
      <c r="NA72" s="38"/>
      <c r="NB72" s="38"/>
      <c r="NC72" s="38"/>
      <c r="ND72" s="38"/>
      <c r="NE72" s="38"/>
      <c r="NF72" s="38"/>
      <c r="NG72" s="38"/>
      <c r="NH72" s="38"/>
      <c r="NI72" s="38"/>
      <c r="NJ72" s="38"/>
      <c r="NK72" s="38"/>
      <c r="NL72" s="38"/>
      <c r="NM72" s="38"/>
      <c r="NN72" s="38"/>
      <c r="NO72" s="38"/>
      <c r="NP72" s="38"/>
      <c r="NQ72" s="38"/>
      <c r="NR72" s="38"/>
      <c r="NS72" s="38"/>
      <c r="NT72" s="38"/>
      <c r="NU72" s="38"/>
      <c r="NV72" s="38"/>
      <c r="NW72" s="38"/>
      <c r="NX72" s="38"/>
      <c r="NY72" s="38"/>
      <c r="NZ72" s="38"/>
      <c r="OA72" s="38"/>
      <c r="OB72" s="38"/>
      <c r="OC72" s="38"/>
      <c r="OD72" s="38"/>
      <c r="OE72" s="38"/>
      <c r="OF72" s="38"/>
      <c r="OG72" s="38"/>
      <c r="OH72" s="38"/>
      <c r="OI72" s="38"/>
      <c r="OJ72" s="38"/>
      <c r="OK72" s="38"/>
      <c r="OL72" s="38"/>
      <c r="OM72" s="38"/>
      <c r="ON72" s="38"/>
      <c r="OO72" s="38"/>
      <c r="OP72" s="38"/>
      <c r="OQ72" s="38"/>
      <c r="OR72" s="38"/>
      <c r="OS72" s="38"/>
      <c r="OT72" s="38"/>
      <c r="OU72" s="38"/>
      <c r="OV72" s="38"/>
      <c r="OW72" s="38"/>
      <c r="OX72" s="38"/>
      <c r="OY72" s="38"/>
      <c r="OZ72" s="38"/>
      <c r="PA72" s="38"/>
      <c r="PB72" s="38"/>
      <c r="PC72" s="38"/>
      <c r="PD72" s="38"/>
      <c r="PE72" s="38"/>
      <c r="PF72" s="38"/>
      <c r="PG72" s="38"/>
      <c r="PH72" s="38"/>
      <c r="PI72" s="38"/>
      <c r="PJ72" s="38"/>
      <c r="PK72" s="38"/>
      <c r="PL72" s="38"/>
      <c r="PM72" s="38"/>
      <c r="PN72" s="38"/>
      <c r="PO72" s="38"/>
      <c r="PP72" s="38"/>
      <c r="PQ72" s="38"/>
      <c r="PR72" s="38"/>
      <c r="PS72" s="38"/>
      <c r="PT72" s="38"/>
      <c r="PU72" s="38"/>
      <c r="PV72" s="38"/>
      <c r="PW72" s="38"/>
      <c r="PX72" s="38"/>
      <c r="PY72" s="38"/>
      <c r="PZ72" s="38"/>
      <c r="QA72" s="38"/>
      <c r="QB72" s="38"/>
      <c r="QC72" s="38"/>
      <c r="QD72" s="38"/>
      <c r="QE72" s="38"/>
      <c r="QF72" s="38"/>
      <c r="QG72" s="38"/>
      <c r="QH72" s="38"/>
      <c r="QI72" s="38"/>
      <c r="QJ72" s="38"/>
      <c r="QK72" s="38"/>
      <c r="QL72" s="38"/>
      <c r="QM72" s="38"/>
      <c r="QN72" s="38"/>
      <c r="QO72" s="38"/>
      <c r="QP72" s="38"/>
      <c r="QQ72" s="38"/>
      <c r="QR72" s="38"/>
      <c r="QS72" s="38"/>
      <c r="QT72" s="38"/>
      <c r="QU72" s="38"/>
      <c r="QV72" s="38"/>
      <c r="QW72" s="38"/>
      <c r="QX72" s="38"/>
      <c r="QY72" s="38"/>
      <c r="QZ72" s="38"/>
      <c r="RA72" s="38"/>
      <c r="RB72" s="38"/>
      <c r="RC72" s="38"/>
      <c r="RD72" s="38"/>
      <c r="RE72" s="38"/>
      <c r="RF72" s="38"/>
      <c r="RG72" s="38"/>
      <c r="RH72" s="38"/>
      <c r="RI72" s="38"/>
      <c r="RJ72" s="38"/>
      <c r="RK72" s="38"/>
      <c r="RL72" s="38"/>
      <c r="RM72" s="38"/>
      <c r="RN72" s="38"/>
      <c r="RO72" s="38"/>
      <c r="RP72" s="38"/>
      <c r="RQ72" s="38"/>
      <c r="RR72" s="38"/>
      <c r="RS72" s="38"/>
      <c r="RT72" s="38"/>
      <c r="RU72" s="38"/>
      <c r="RV72" s="38"/>
      <c r="RW72" s="38"/>
      <c r="RX72" s="38"/>
      <c r="RY72" s="38"/>
      <c r="RZ72" s="38"/>
      <c r="SA72" s="38"/>
      <c r="SB72" s="38"/>
      <c r="SC72" s="38"/>
      <c r="SD72" s="38"/>
      <c r="SE72" s="38"/>
      <c r="SF72" s="38"/>
      <c r="SG72" s="38"/>
      <c r="SH72" s="38"/>
      <c r="SI72" s="38"/>
      <c r="SJ72" s="38"/>
      <c r="SK72" s="38"/>
      <c r="SL72" s="38"/>
      <c r="SM72" s="38"/>
      <c r="SN72" s="38"/>
      <c r="SO72" s="38"/>
      <c r="SP72" s="38"/>
      <c r="SQ72" s="38"/>
      <c r="SR72" s="38"/>
      <c r="SS72" s="38"/>
      <c r="ST72" s="38"/>
      <c r="SU72" s="38"/>
      <c r="SV72" s="38"/>
      <c r="SW72" s="38"/>
      <c r="SX72" s="38"/>
      <c r="SY72" s="38"/>
      <c r="SZ72" s="38"/>
      <c r="TA72" s="38"/>
      <c r="TB72" s="38"/>
      <c r="TC72" s="38"/>
      <c r="TD72" s="38"/>
      <c r="TE72" s="38"/>
      <c r="TF72" s="38"/>
      <c r="TG72" s="38"/>
      <c r="TH72" s="38"/>
      <c r="TI72" s="38"/>
      <c r="TJ72" s="38"/>
      <c r="TK72" s="38"/>
      <c r="TL72" s="38"/>
      <c r="TM72" s="38"/>
    </row>
    <row r="73" spans="2:533" s="39" customFormat="1" ht="37.5" x14ac:dyDescent="0.25">
      <c r="B73" s="50" t="s">
        <v>125</v>
      </c>
      <c r="C73" s="41" t="s">
        <v>151</v>
      </c>
      <c r="D73" s="56" t="s">
        <v>152</v>
      </c>
      <c r="E73" s="87" t="s">
        <v>131</v>
      </c>
      <c r="F73" s="53">
        <v>2</v>
      </c>
      <c r="G73" s="59"/>
      <c r="H73" s="46"/>
      <c r="I73" s="47">
        <f t="shared" si="9"/>
        <v>0</v>
      </c>
      <c r="J73" s="48">
        <v>2031</v>
      </c>
      <c r="K73" s="47" t="s">
        <v>30</v>
      </c>
      <c r="L73" s="49"/>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c r="EK73" s="38"/>
      <c r="EL73" s="38"/>
      <c r="EM73" s="38"/>
      <c r="EN73" s="38"/>
      <c r="EO73" s="38"/>
      <c r="EP73" s="38"/>
      <c r="EQ73" s="38"/>
      <c r="ER73" s="38"/>
      <c r="ES73" s="38"/>
      <c r="ET73" s="38"/>
      <c r="EU73" s="38"/>
      <c r="EV73" s="38"/>
      <c r="EW73" s="38"/>
      <c r="EX73" s="38"/>
      <c r="EY73" s="38"/>
      <c r="EZ73" s="38"/>
      <c r="FA73" s="38"/>
      <c r="FB73" s="38"/>
      <c r="FC73" s="38"/>
      <c r="FD73" s="38"/>
      <c r="FE73" s="38"/>
      <c r="FF73" s="38"/>
      <c r="FG73" s="38"/>
      <c r="FH73" s="38"/>
      <c r="FI73" s="38"/>
      <c r="FJ73" s="38"/>
      <c r="FK73" s="38"/>
      <c r="FL73" s="38"/>
      <c r="FM73" s="38"/>
      <c r="FN73" s="38"/>
      <c r="FO73" s="38"/>
      <c r="FP73" s="38"/>
      <c r="FQ73" s="38"/>
      <c r="FR73" s="38"/>
      <c r="FS73" s="38"/>
      <c r="FT73" s="38"/>
      <c r="FU73" s="38"/>
      <c r="FV73" s="38"/>
      <c r="FW73" s="38"/>
      <c r="FX73" s="38"/>
      <c r="FY73" s="38"/>
      <c r="FZ73" s="38"/>
      <c r="GA73" s="38"/>
      <c r="GB73" s="38"/>
      <c r="GC73" s="38"/>
      <c r="GD73" s="38"/>
      <c r="GE73" s="38"/>
      <c r="GF73" s="38"/>
      <c r="GG73" s="38"/>
      <c r="GH73" s="38"/>
      <c r="GI73" s="38"/>
      <c r="GJ73" s="38"/>
      <c r="GK73" s="38"/>
      <c r="GL73" s="38"/>
      <c r="GM73" s="38"/>
      <c r="GN73" s="38"/>
      <c r="GO73" s="38"/>
      <c r="GP73" s="38"/>
      <c r="GQ73" s="38"/>
      <c r="GR73" s="38"/>
      <c r="GS73" s="38"/>
      <c r="GT73" s="38"/>
      <c r="GU73" s="38"/>
      <c r="GV73" s="38"/>
      <c r="GW73" s="38"/>
      <c r="GX73" s="38"/>
      <c r="GY73" s="38"/>
      <c r="GZ73" s="38"/>
      <c r="HA73" s="38"/>
      <c r="HB73" s="38"/>
      <c r="HC73" s="38"/>
      <c r="HD73" s="38"/>
      <c r="HE73" s="38"/>
      <c r="HF73" s="38"/>
      <c r="HG73" s="38"/>
      <c r="HH73" s="38"/>
      <c r="HI73" s="38"/>
      <c r="HJ73" s="38"/>
      <c r="HK73" s="38"/>
      <c r="HL73" s="38"/>
      <c r="HM73" s="38"/>
      <c r="HN73" s="38"/>
      <c r="HO73" s="38"/>
      <c r="HP73" s="38"/>
      <c r="HQ73" s="38"/>
      <c r="HR73" s="38"/>
      <c r="HS73" s="38"/>
      <c r="HT73" s="38"/>
      <c r="HU73" s="38"/>
      <c r="HV73" s="38"/>
      <c r="HW73" s="38"/>
      <c r="HX73" s="38"/>
      <c r="HY73" s="38"/>
      <c r="HZ73" s="38"/>
      <c r="IA73" s="38"/>
      <c r="IB73" s="38"/>
      <c r="IC73" s="38"/>
      <c r="ID73" s="38"/>
      <c r="IE73" s="38"/>
      <c r="IF73" s="38"/>
      <c r="IG73" s="38"/>
      <c r="IH73" s="38"/>
      <c r="II73" s="38"/>
      <c r="IJ73" s="38"/>
      <c r="IK73" s="38"/>
      <c r="IL73" s="38"/>
      <c r="IM73" s="38"/>
      <c r="IN73" s="38"/>
      <c r="IO73" s="38"/>
      <c r="IP73" s="38"/>
      <c r="IQ73" s="38"/>
      <c r="IR73" s="38"/>
      <c r="IS73" s="38"/>
      <c r="IT73" s="38"/>
      <c r="IU73" s="38"/>
      <c r="IV73" s="38"/>
      <c r="IW73" s="38"/>
      <c r="IX73" s="38"/>
      <c r="IY73" s="38"/>
      <c r="IZ73" s="38"/>
      <c r="JA73" s="38"/>
      <c r="JB73" s="38"/>
      <c r="JC73" s="38"/>
      <c r="JD73" s="38"/>
      <c r="JE73" s="38"/>
      <c r="JF73" s="38"/>
      <c r="JG73" s="38"/>
      <c r="JH73" s="38"/>
      <c r="JI73" s="38"/>
      <c r="JJ73" s="38"/>
      <c r="JK73" s="38"/>
      <c r="JL73" s="38"/>
      <c r="JM73" s="38"/>
      <c r="JN73" s="38"/>
      <c r="JO73" s="38"/>
      <c r="JP73" s="38"/>
      <c r="JQ73" s="38"/>
      <c r="JR73" s="38"/>
      <c r="JS73" s="38"/>
      <c r="JT73" s="38"/>
      <c r="JU73" s="38"/>
      <c r="JV73" s="38"/>
      <c r="JW73" s="38"/>
      <c r="JX73" s="38"/>
      <c r="JY73" s="38"/>
      <c r="JZ73" s="38"/>
      <c r="KA73" s="38"/>
      <c r="KB73" s="38"/>
      <c r="KC73" s="38"/>
      <c r="KD73" s="38"/>
      <c r="KE73" s="38"/>
      <c r="KF73" s="38"/>
      <c r="KG73" s="38"/>
      <c r="KH73" s="38"/>
      <c r="KI73" s="38"/>
      <c r="KJ73" s="38"/>
      <c r="KK73" s="38"/>
      <c r="KL73" s="38"/>
      <c r="KM73" s="38"/>
      <c r="KN73" s="38"/>
      <c r="KO73" s="38"/>
      <c r="KP73" s="38"/>
      <c r="KQ73" s="38"/>
      <c r="KR73" s="38"/>
      <c r="KS73" s="38"/>
      <c r="KT73" s="38"/>
      <c r="KU73" s="38"/>
      <c r="KV73" s="38"/>
      <c r="KW73" s="38"/>
      <c r="KX73" s="38"/>
      <c r="KY73" s="38"/>
      <c r="KZ73" s="38"/>
      <c r="LA73" s="38"/>
      <c r="LB73" s="38"/>
      <c r="LC73" s="38"/>
      <c r="LD73" s="38"/>
      <c r="LE73" s="38"/>
      <c r="LF73" s="38"/>
      <c r="LG73" s="38"/>
      <c r="LH73" s="38"/>
      <c r="LI73" s="38"/>
      <c r="LJ73" s="38"/>
      <c r="LK73" s="38"/>
      <c r="LL73" s="38"/>
      <c r="LM73" s="38"/>
      <c r="LN73" s="38"/>
      <c r="LO73" s="38"/>
      <c r="LP73" s="38"/>
      <c r="LQ73" s="38"/>
      <c r="LR73" s="38"/>
      <c r="LS73" s="38"/>
      <c r="LT73" s="38"/>
      <c r="LU73" s="38"/>
      <c r="LV73" s="38"/>
      <c r="LW73" s="38"/>
      <c r="LX73" s="38"/>
      <c r="LY73" s="38"/>
      <c r="LZ73" s="38"/>
      <c r="MA73" s="38"/>
      <c r="MB73" s="38"/>
      <c r="MC73" s="38"/>
      <c r="MD73" s="38"/>
      <c r="ME73" s="38"/>
      <c r="MF73" s="38"/>
      <c r="MG73" s="38"/>
      <c r="MH73" s="38"/>
      <c r="MI73" s="38"/>
      <c r="MJ73" s="38"/>
      <c r="MK73" s="38"/>
      <c r="ML73" s="38"/>
      <c r="MM73" s="38"/>
      <c r="MN73" s="38"/>
      <c r="MO73" s="38"/>
      <c r="MP73" s="38"/>
      <c r="MQ73" s="38"/>
      <c r="MR73" s="38"/>
      <c r="MS73" s="38"/>
      <c r="MT73" s="38"/>
      <c r="MU73" s="38"/>
      <c r="MV73" s="38"/>
      <c r="MW73" s="38"/>
      <c r="MX73" s="38"/>
      <c r="MY73" s="38"/>
      <c r="MZ73" s="38"/>
      <c r="NA73" s="38"/>
      <c r="NB73" s="38"/>
      <c r="NC73" s="38"/>
      <c r="ND73" s="38"/>
      <c r="NE73" s="38"/>
      <c r="NF73" s="38"/>
      <c r="NG73" s="38"/>
      <c r="NH73" s="38"/>
      <c r="NI73" s="38"/>
      <c r="NJ73" s="38"/>
      <c r="NK73" s="38"/>
      <c r="NL73" s="38"/>
      <c r="NM73" s="38"/>
      <c r="NN73" s="38"/>
      <c r="NO73" s="38"/>
      <c r="NP73" s="38"/>
      <c r="NQ73" s="38"/>
      <c r="NR73" s="38"/>
      <c r="NS73" s="38"/>
      <c r="NT73" s="38"/>
      <c r="NU73" s="38"/>
      <c r="NV73" s="38"/>
      <c r="NW73" s="38"/>
      <c r="NX73" s="38"/>
      <c r="NY73" s="38"/>
      <c r="NZ73" s="38"/>
      <c r="OA73" s="38"/>
      <c r="OB73" s="38"/>
      <c r="OC73" s="38"/>
      <c r="OD73" s="38"/>
      <c r="OE73" s="38"/>
      <c r="OF73" s="38"/>
      <c r="OG73" s="38"/>
      <c r="OH73" s="38"/>
      <c r="OI73" s="38"/>
      <c r="OJ73" s="38"/>
      <c r="OK73" s="38"/>
      <c r="OL73" s="38"/>
      <c r="OM73" s="38"/>
      <c r="ON73" s="38"/>
      <c r="OO73" s="38"/>
      <c r="OP73" s="38"/>
      <c r="OQ73" s="38"/>
      <c r="OR73" s="38"/>
      <c r="OS73" s="38"/>
      <c r="OT73" s="38"/>
      <c r="OU73" s="38"/>
      <c r="OV73" s="38"/>
      <c r="OW73" s="38"/>
      <c r="OX73" s="38"/>
      <c r="OY73" s="38"/>
      <c r="OZ73" s="38"/>
      <c r="PA73" s="38"/>
      <c r="PB73" s="38"/>
      <c r="PC73" s="38"/>
      <c r="PD73" s="38"/>
      <c r="PE73" s="38"/>
      <c r="PF73" s="38"/>
      <c r="PG73" s="38"/>
      <c r="PH73" s="38"/>
      <c r="PI73" s="38"/>
      <c r="PJ73" s="38"/>
      <c r="PK73" s="38"/>
      <c r="PL73" s="38"/>
      <c r="PM73" s="38"/>
      <c r="PN73" s="38"/>
      <c r="PO73" s="38"/>
      <c r="PP73" s="38"/>
      <c r="PQ73" s="38"/>
      <c r="PR73" s="38"/>
      <c r="PS73" s="38"/>
      <c r="PT73" s="38"/>
      <c r="PU73" s="38"/>
      <c r="PV73" s="38"/>
      <c r="PW73" s="38"/>
      <c r="PX73" s="38"/>
      <c r="PY73" s="38"/>
      <c r="PZ73" s="38"/>
      <c r="QA73" s="38"/>
      <c r="QB73" s="38"/>
      <c r="QC73" s="38"/>
      <c r="QD73" s="38"/>
      <c r="QE73" s="38"/>
      <c r="QF73" s="38"/>
      <c r="QG73" s="38"/>
      <c r="QH73" s="38"/>
      <c r="QI73" s="38"/>
      <c r="QJ73" s="38"/>
      <c r="QK73" s="38"/>
      <c r="QL73" s="38"/>
      <c r="QM73" s="38"/>
      <c r="QN73" s="38"/>
      <c r="QO73" s="38"/>
      <c r="QP73" s="38"/>
      <c r="QQ73" s="38"/>
      <c r="QR73" s="38"/>
      <c r="QS73" s="38"/>
      <c r="QT73" s="38"/>
      <c r="QU73" s="38"/>
      <c r="QV73" s="38"/>
      <c r="QW73" s="38"/>
      <c r="QX73" s="38"/>
      <c r="QY73" s="38"/>
      <c r="QZ73" s="38"/>
      <c r="RA73" s="38"/>
      <c r="RB73" s="38"/>
      <c r="RC73" s="38"/>
      <c r="RD73" s="38"/>
      <c r="RE73" s="38"/>
      <c r="RF73" s="38"/>
      <c r="RG73" s="38"/>
      <c r="RH73" s="38"/>
      <c r="RI73" s="38"/>
      <c r="RJ73" s="38"/>
      <c r="RK73" s="38"/>
      <c r="RL73" s="38"/>
      <c r="RM73" s="38"/>
      <c r="RN73" s="38"/>
      <c r="RO73" s="38"/>
      <c r="RP73" s="38"/>
      <c r="RQ73" s="38"/>
      <c r="RR73" s="38"/>
      <c r="RS73" s="38"/>
      <c r="RT73" s="38"/>
      <c r="RU73" s="38"/>
      <c r="RV73" s="38"/>
      <c r="RW73" s="38"/>
      <c r="RX73" s="38"/>
      <c r="RY73" s="38"/>
      <c r="RZ73" s="38"/>
      <c r="SA73" s="38"/>
      <c r="SB73" s="38"/>
      <c r="SC73" s="38"/>
      <c r="SD73" s="38"/>
      <c r="SE73" s="38"/>
      <c r="SF73" s="38"/>
      <c r="SG73" s="38"/>
      <c r="SH73" s="38"/>
      <c r="SI73" s="38"/>
      <c r="SJ73" s="38"/>
      <c r="SK73" s="38"/>
      <c r="SL73" s="38"/>
      <c r="SM73" s="38"/>
      <c r="SN73" s="38"/>
      <c r="SO73" s="38"/>
      <c r="SP73" s="38"/>
      <c r="SQ73" s="38"/>
      <c r="SR73" s="38"/>
      <c r="SS73" s="38"/>
      <c r="ST73" s="38"/>
      <c r="SU73" s="38"/>
      <c r="SV73" s="38"/>
      <c r="SW73" s="38"/>
      <c r="SX73" s="38"/>
      <c r="SY73" s="38"/>
      <c r="SZ73" s="38"/>
      <c r="TA73" s="38"/>
      <c r="TB73" s="38"/>
      <c r="TC73" s="38"/>
      <c r="TD73" s="38"/>
      <c r="TE73" s="38"/>
      <c r="TF73" s="38"/>
      <c r="TG73" s="38"/>
      <c r="TH73" s="38"/>
      <c r="TI73" s="38"/>
      <c r="TJ73" s="38"/>
      <c r="TK73" s="38"/>
      <c r="TL73" s="38"/>
      <c r="TM73" s="38"/>
    </row>
    <row r="74" spans="2:533" s="39" customFormat="1" ht="37.5" x14ac:dyDescent="0.25">
      <c r="B74" s="50" t="s">
        <v>125</v>
      </c>
      <c r="C74" s="41" t="s">
        <v>153</v>
      </c>
      <c r="D74" s="56" t="s">
        <v>154</v>
      </c>
      <c r="E74" s="87" t="s">
        <v>131</v>
      </c>
      <c r="F74" s="53">
        <v>1</v>
      </c>
      <c r="G74" s="59"/>
      <c r="H74" s="46"/>
      <c r="I74" s="47">
        <f t="shared" si="9"/>
        <v>0</v>
      </c>
      <c r="J74" s="48">
        <v>2031</v>
      </c>
      <c r="K74" s="47" t="s">
        <v>30</v>
      </c>
      <c r="L74" s="49"/>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c r="DC74" s="38"/>
      <c r="DD74" s="38"/>
      <c r="DE74" s="38"/>
      <c r="DF74" s="38"/>
      <c r="DG74" s="38"/>
      <c r="DH74" s="38"/>
      <c r="DI74" s="38"/>
      <c r="DJ74" s="38"/>
      <c r="DK74" s="38"/>
      <c r="DL74" s="38"/>
      <c r="DM74" s="38"/>
      <c r="DN74" s="38"/>
      <c r="DO74" s="38"/>
      <c r="DP74" s="38"/>
      <c r="DQ74" s="38"/>
      <c r="DR74" s="38"/>
      <c r="DS74" s="38"/>
      <c r="DT74" s="38"/>
      <c r="DU74" s="38"/>
      <c r="DV74" s="38"/>
      <c r="DW74" s="38"/>
      <c r="DX74" s="38"/>
      <c r="DY74" s="38"/>
      <c r="DZ74" s="38"/>
      <c r="EA74" s="38"/>
      <c r="EB74" s="38"/>
      <c r="EC74" s="38"/>
      <c r="ED74" s="38"/>
      <c r="EE74" s="38"/>
      <c r="EF74" s="38"/>
      <c r="EG74" s="38"/>
      <c r="EH74" s="38"/>
      <c r="EI74" s="38"/>
      <c r="EJ74" s="38"/>
      <c r="EK74" s="38"/>
      <c r="EL74" s="38"/>
      <c r="EM74" s="38"/>
      <c r="EN74" s="38"/>
      <c r="EO74" s="38"/>
      <c r="EP74" s="38"/>
      <c r="EQ74" s="38"/>
      <c r="ER74" s="38"/>
      <c r="ES74" s="38"/>
      <c r="ET74" s="38"/>
      <c r="EU74" s="38"/>
      <c r="EV74" s="38"/>
      <c r="EW74" s="38"/>
      <c r="EX74" s="38"/>
      <c r="EY74" s="38"/>
      <c r="EZ74" s="38"/>
      <c r="FA74" s="38"/>
      <c r="FB74" s="38"/>
      <c r="FC74" s="38"/>
      <c r="FD74" s="38"/>
      <c r="FE74" s="38"/>
      <c r="FF74" s="38"/>
      <c r="FG74" s="38"/>
      <c r="FH74" s="38"/>
      <c r="FI74" s="38"/>
      <c r="FJ74" s="38"/>
      <c r="FK74" s="38"/>
      <c r="FL74" s="38"/>
      <c r="FM74" s="38"/>
      <c r="FN74" s="38"/>
      <c r="FO74" s="38"/>
      <c r="FP74" s="38"/>
      <c r="FQ74" s="38"/>
      <c r="FR74" s="38"/>
      <c r="FS74" s="38"/>
      <c r="FT74" s="38"/>
      <c r="FU74" s="38"/>
      <c r="FV74" s="38"/>
      <c r="FW74" s="38"/>
      <c r="FX74" s="38"/>
      <c r="FY74" s="38"/>
      <c r="FZ74" s="38"/>
      <c r="GA74" s="38"/>
      <c r="GB74" s="38"/>
      <c r="GC74" s="38"/>
      <c r="GD74" s="38"/>
      <c r="GE74" s="38"/>
      <c r="GF74" s="38"/>
      <c r="GG74" s="38"/>
      <c r="GH74" s="38"/>
      <c r="GI74" s="38"/>
      <c r="GJ74" s="38"/>
      <c r="GK74" s="38"/>
      <c r="GL74" s="38"/>
      <c r="GM74" s="38"/>
      <c r="GN74" s="38"/>
      <c r="GO74" s="38"/>
      <c r="GP74" s="38"/>
      <c r="GQ74" s="38"/>
      <c r="GR74" s="38"/>
      <c r="GS74" s="38"/>
      <c r="GT74" s="38"/>
      <c r="GU74" s="38"/>
      <c r="GV74" s="38"/>
      <c r="GW74" s="38"/>
      <c r="GX74" s="38"/>
      <c r="GY74" s="38"/>
      <c r="GZ74" s="38"/>
      <c r="HA74" s="38"/>
      <c r="HB74" s="38"/>
      <c r="HC74" s="38"/>
      <c r="HD74" s="38"/>
      <c r="HE74" s="38"/>
      <c r="HF74" s="38"/>
      <c r="HG74" s="38"/>
      <c r="HH74" s="38"/>
      <c r="HI74" s="38"/>
      <c r="HJ74" s="38"/>
      <c r="HK74" s="38"/>
      <c r="HL74" s="38"/>
      <c r="HM74" s="38"/>
      <c r="HN74" s="38"/>
      <c r="HO74" s="38"/>
      <c r="HP74" s="38"/>
      <c r="HQ74" s="38"/>
      <c r="HR74" s="38"/>
      <c r="HS74" s="38"/>
      <c r="HT74" s="38"/>
      <c r="HU74" s="38"/>
      <c r="HV74" s="38"/>
      <c r="HW74" s="38"/>
      <c r="HX74" s="38"/>
      <c r="HY74" s="38"/>
      <c r="HZ74" s="38"/>
      <c r="IA74" s="38"/>
      <c r="IB74" s="38"/>
      <c r="IC74" s="38"/>
      <c r="ID74" s="38"/>
      <c r="IE74" s="38"/>
      <c r="IF74" s="38"/>
      <c r="IG74" s="38"/>
      <c r="IH74" s="38"/>
      <c r="II74" s="38"/>
      <c r="IJ74" s="38"/>
      <c r="IK74" s="38"/>
      <c r="IL74" s="38"/>
      <c r="IM74" s="38"/>
      <c r="IN74" s="38"/>
      <c r="IO74" s="38"/>
      <c r="IP74" s="38"/>
      <c r="IQ74" s="38"/>
      <c r="IR74" s="38"/>
      <c r="IS74" s="38"/>
      <c r="IT74" s="38"/>
      <c r="IU74" s="38"/>
      <c r="IV74" s="38"/>
      <c r="IW74" s="38"/>
      <c r="IX74" s="38"/>
      <c r="IY74" s="38"/>
      <c r="IZ74" s="38"/>
      <c r="JA74" s="38"/>
      <c r="JB74" s="38"/>
      <c r="JC74" s="38"/>
      <c r="JD74" s="38"/>
      <c r="JE74" s="38"/>
      <c r="JF74" s="38"/>
      <c r="JG74" s="38"/>
      <c r="JH74" s="38"/>
      <c r="JI74" s="38"/>
      <c r="JJ74" s="38"/>
      <c r="JK74" s="38"/>
      <c r="JL74" s="38"/>
      <c r="JM74" s="38"/>
      <c r="JN74" s="38"/>
      <c r="JO74" s="38"/>
      <c r="JP74" s="38"/>
      <c r="JQ74" s="38"/>
      <c r="JR74" s="38"/>
      <c r="JS74" s="38"/>
      <c r="JT74" s="38"/>
      <c r="JU74" s="38"/>
      <c r="JV74" s="38"/>
      <c r="JW74" s="38"/>
      <c r="JX74" s="38"/>
      <c r="JY74" s="38"/>
      <c r="JZ74" s="38"/>
      <c r="KA74" s="38"/>
      <c r="KB74" s="38"/>
      <c r="KC74" s="38"/>
      <c r="KD74" s="38"/>
      <c r="KE74" s="38"/>
      <c r="KF74" s="38"/>
      <c r="KG74" s="38"/>
      <c r="KH74" s="38"/>
      <c r="KI74" s="38"/>
      <c r="KJ74" s="38"/>
      <c r="KK74" s="38"/>
      <c r="KL74" s="38"/>
      <c r="KM74" s="38"/>
      <c r="KN74" s="38"/>
      <c r="KO74" s="38"/>
      <c r="KP74" s="38"/>
      <c r="KQ74" s="38"/>
      <c r="KR74" s="38"/>
      <c r="KS74" s="38"/>
      <c r="KT74" s="38"/>
      <c r="KU74" s="38"/>
      <c r="KV74" s="38"/>
      <c r="KW74" s="38"/>
      <c r="KX74" s="38"/>
      <c r="KY74" s="38"/>
      <c r="KZ74" s="38"/>
      <c r="LA74" s="38"/>
      <c r="LB74" s="38"/>
      <c r="LC74" s="38"/>
      <c r="LD74" s="38"/>
      <c r="LE74" s="38"/>
      <c r="LF74" s="38"/>
      <c r="LG74" s="38"/>
      <c r="LH74" s="38"/>
      <c r="LI74" s="38"/>
      <c r="LJ74" s="38"/>
      <c r="LK74" s="38"/>
      <c r="LL74" s="38"/>
      <c r="LM74" s="38"/>
      <c r="LN74" s="38"/>
      <c r="LO74" s="38"/>
      <c r="LP74" s="38"/>
      <c r="LQ74" s="38"/>
      <c r="LR74" s="38"/>
      <c r="LS74" s="38"/>
      <c r="LT74" s="38"/>
      <c r="LU74" s="38"/>
      <c r="LV74" s="38"/>
      <c r="LW74" s="38"/>
      <c r="LX74" s="38"/>
      <c r="LY74" s="38"/>
      <c r="LZ74" s="38"/>
      <c r="MA74" s="38"/>
      <c r="MB74" s="38"/>
      <c r="MC74" s="38"/>
      <c r="MD74" s="38"/>
      <c r="ME74" s="38"/>
      <c r="MF74" s="38"/>
      <c r="MG74" s="38"/>
      <c r="MH74" s="38"/>
      <c r="MI74" s="38"/>
      <c r="MJ74" s="38"/>
      <c r="MK74" s="38"/>
      <c r="ML74" s="38"/>
      <c r="MM74" s="38"/>
      <c r="MN74" s="38"/>
      <c r="MO74" s="38"/>
      <c r="MP74" s="38"/>
      <c r="MQ74" s="38"/>
      <c r="MR74" s="38"/>
      <c r="MS74" s="38"/>
      <c r="MT74" s="38"/>
      <c r="MU74" s="38"/>
      <c r="MV74" s="38"/>
      <c r="MW74" s="38"/>
      <c r="MX74" s="38"/>
      <c r="MY74" s="38"/>
      <c r="MZ74" s="38"/>
      <c r="NA74" s="38"/>
      <c r="NB74" s="38"/>
      <c r="NC74" s="38"/>
      <c r="ND74" s="38"/>
      <c r="NE74" s="38"/>
      <c r="NF74" s="38"/>
      <c r="NG74" s="38"/>
      <c r="NH74" s="38"/>
      <c r="NI74" s="38"/>
      <c r="NJ74" s="38"/>
      <c r="NK74" s="38"/>
      <c r="NL74" s="38"/>
      <c r="NM74" s="38"/>
      <c r="NN74" s="38"/>
      <c r="NO74" s="38"/>
      <c r="NP74" s="38"/>
      <c r="NQ74" s="38"/>
      <c r="NR74" s="38"/>
      <c r="NS74" s="38"/>
      <c r="NT74" s="38"/>
      <c r="NU74" s="38"/>
      <c r="NV74" s="38"/>
      <c r="NW74" s="38"/>
      <c r="NX74" s="38"/>
      <c r="NY74" s="38"/>
      <c r="NZ74" s="38"/>
      <c r="OA74" s="38"/>
      <c r="OB74" s="38"/>
      <c r="OC74" s="38"/>
      <c r="OD74" s="38"/>
      <c r="OE74" s="38"/>
      <c r="OF74" s="38"/>
      <c r="OG74" s="38"/>
      <c r="OH74" s="38"/>
      <c r="OI74" s="38"/>
      <c r="OJ74" s="38"/>
      <c r="OK74" s="38"/>
      <c r="OL74" s="38"/>
      <c r="OM74" s="38"/>
      <c r="ON74" s="38"/>
      <c r="OO74" s="38"/>
      <c r="OP74" s="38"/>
      <c r="OQ74" s="38"/>
      <c r="OR74" s="38"/>
      <c r="OS74" s="38"/>
      <c r="OT74" s="38"/>
      <c r="OU74" s="38"/>
      <c r="OV74" s="38"/>
      <c r="OW74" s="38"/>
      <c r="OX74" s="38"/>
      <c r="OY74" s="38"/>
      <c r="OZ74" s="38"/>
      <c r="PA74" s="38"/>
      <c r="PB74" s="38"/>
      <c r="PC74" s="38"/>
      <c r="PD74" s="38"/>
      <c r="PE74" s="38"/>
      <c r="PF74" s="38"/>
      <c r="PG74" s="38"/>
      <c r="PH74" s="38"/>
      <c r="PI74" s="38"/>
      <c r="PJ74" s="38"/>
      <c r="PK74" s="38"/>
      <c r="PL74" s="38"/>
      <c r="PM74" s="38"/>
      <c r="PN74" s="38"/>
      <c r="PO74" s="38"/>
      <c r="PP74" s="38"/>
      <c r="PQ74" s="38"/>
      <c r="PR74" s="38"/>
      <c r="PS74" s="38"/>
      <c r="PT74" s="38"/>
      <c r="PU74" s="38"/>
      <c r="PV74" s="38"/>
      <c r="PW74" s="38"/>
      <c r="PX74" s="38"/>
      <c r="PY74" s="38"/>
      <c r="PZ74" s="38"/>
      <c r="QA74" s="38"/>
      <c r="QB74" s="38"/>
      <c r="QC74" s="38"/>
      <c r="QD74" s="38"/>
      <c r="QE74" s="38"/>
      <c r="QF74" s="38"/>
      <c r="QG74" s="38"/>
      <c r="QH74" s="38"/>
      <c r="QI74" s="38"/>
      <c r="QJ74" s="38"/>
      <c r="QK74" s="38"/>
      <c r="QL74" s="38"/>
      <c r="QM74" s="38"/>
      <c r="QN74" s="38"/>
      <c r="QO74" s="38"/>
      <c r="QP74" s="38"/>
      <c r="QQ74" s="38"/>
      <c r="QR74" s="38"/>
      <c r="QS74" s="38"/>
      <c r="QT74" s="38"/>
      <c r="QU74" s="38"/>
      <c r="QV74" s="38"/>
      <c r="QW74" s="38"/>
      <c r="QX74" s="38"/>
      <c r="QY74" s="38"/>
      <c r="QZ74" s="38"/>
      <c r="RA74" s="38"/>
      <c r="RB74" s="38"/>
      <c r="RC74" s="38"/>
      <c r="RD74" s="38"/>
      <c r="RE74" s="38"/>
      <c r="RF74" s="38"/>
      <c r="RG74" s="38"/>
      <c r="RH74" s="38"/>
      <c r="RI74" s="38"/>
      <c r="RJ74" s="38"/>
      <c r="RK74" s="38"/>
      <c r="RL74" s="38"/>
      <c r="RM74" s="38"/>
      <c r="RN74" s="38"/>
      <c r="RO74" s="38"/>
      <c r="RP74" s="38"/>
      <c r="RQ74" s="38"/>
      <c r="RR74" s="38"/>
      <c r="RS74" s="38"/>
      <c r="RT74" s="38"/>
      <c r="RU74" s="38"/>
      <c r="RV74" s="38"/>
      <c r="RW74" s="38"/>
      <c r="RX74" s="38"/>
      <c r="RY74" s="38"/>
      <c r="RZ74" s="38"/>
      <c r="SA74" s="38"/>
      <c r="SB74" s="38"/>
      <c r="SC74" s="38"/>
      <c r="SD74" s="38"/>
      <c r="SE74" s="38"/>
      <c r="SF74" s="38"/>
      <c r="SG74" s="38"/>
      <c r="SH74" s="38"/>
      <c r="SI74" s="38"/>
      <c r="SJ74" s="38"/>
      <c r="SK74" s="38"/>
      <c r="SL74" s="38"/>
      <c r="SM74" s="38"/>
      <c r="SN74" s="38"/>
      <c r="SO74" s="38"/>
      <c r="SP74" s="38"/>
      <c r="SQ74" s="38"/>
      <c r="SR74" s="38"/>
      <c r="SS74" s="38"/>
      <c r="ST74" s="38"/>
      <c r="SU74" s="38"/>
      <c r="SV74" s="38"/>
      <c r="SW74" s="38"/>
      <c r="SX74" s="38"/>
      <c r="SY74" s="38"/>
      <c r="SZ74" s="38"/>
      <c r="TA74" s="38"/>
      <c r="TB74" s="38"/>
      <c r="TC74" s="38"/>
      <c r="TD74" s="38"/>
      <c r="TE74" s="38"/>
      <c r="TF74" s="38"/>
      <c r="TG74" s="38"/>
      <c r="TH74" s="38"/>
      <c r="TI74" s="38"/>
      <c r="TJ74" s="38"/>
      <c r="TK74" s="38"/>
      <c r="TL74" s="38"/>
      <c r="TM74" s="38"/>
    </row>
    <row r="75" spans="2:533" s="39" customFormat="1" ht="37.5" x14ac:dyDescent="0.25">
      <c r="B75" s="50" t="s">
        <v>125</v>
      </c>
      <c r="C75" s="41" t="s">
        <v>155</v>
      </c>
      <c r="D75" s="56" t="s">
        <v>156</v>
      </c>
      <c r="E75" s="87" t="s">
        <v>131</v>
      </c>
      <c r="F75" s="53">
        <v>1</v>
      </c>
      <c r="G75" s="59"/>
      <c r="H75" s="46"/>
      <c r="I75" s="47">
        <f t="shared" si="9"/>
        <v>0</v>
      </c>
      <c r="J75" s="48">
        <v>2031</v>
      </c>
      <c r="K75" s="47" t="s">
        <v>30</v>
      </c>
      <c r="L75" s="49"/>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c r="DC75" s="38"/>
      <c r="DD75" s="38"/>
      <c r="DE75" s="38"/>
      <c r="DF75" s="38"/>
      <c r="DG75" s="38"/>
      <c r="DH75" s="38"/>
      <c r="DI75" s="38"/>
      <c r="DJ75" s="38"/>
      <c r="DK75" s="38"/>
      <c r="DL75" s="38"/>
      <c r="DM75" s="38"/>
      <c r="DN75" s="38"/>
      <c r="DO75" s="38"/>
      <c r="DP75" s="38"/>
      <c r="DQ75" s="38"/>
      <c r="DR75" s="38"/>
      <c r="DS75" s="38"/>
      <c r="DT75" s="38"/>
      <c r="DU75" s="38"/>
      <c r="DV75" s="38"/>
      <c r="DW75" s="38"/>
      <c r="DX75" s="38"/>
      <c r="DY75" s="38"/>
      <c r="DZ75" s="38"/>
      <c r="EA75" s="38"/>
      <c r="EB75" s="38"/>
      <c r="EC75" s="38"/>
      <c r="ED75" s="38"/>
      <c r="EE75" s="38"/>
      <c r="EF75" s="38"/>
      <c r="EG75" s="38"/>
      <c r="EH75" s="38"/>
      <c r="EI75" s="38"/>
      <c r="EJ75" s="38"/>
      <c r="EK75" s="38"/>
      <c r="EL75" s="38"/>
      <c r="EM75" s="38"/>
      <c r="EN75" s="38"/>
      <c r="EO75" s="38"/>
      <c r="EP75" s="38"/>
      <c r="EQ75" s="38"/>
      <c r="ER75" s="38"/>
      <c r="ES75" s="38"/>
      <c r="ET75" s="38"/>
      <c r="EU75" s="38"/>
      <c r="EV75" s="38"/>
      <c r="EW75" s="38"/>
      <c r="EX75" s="38"/>
      <c r="EY75" s="38"/>
      <c r="EZ75" s="38"/>
      <c r="FA75" s="38"/>
      <c r="FB75" s="38"/>
      <c r="FC75" s="38"/>
      <c r="FD75" s="38"/>
      <c r="FE75" s="38"/>
      <c r="FF75" s="38"/>
      <c r="FG75" s="38"/>
      <c r="FH75" s="38"/>
      <c r="FI75" s="38"/>
      <c r="FJ75" s="38"/>
      <c r="FK75" s="38"/>
      <c r="FL75" s="38"/>
      <c r="FM75" s="38"/>
      <c r="FN75" s="38"/>
      <c r="FO75" s="38"/>
      <c r="FP75" s="38"/>
      <c r="FQ75" s="38"/>
      <c r="FR75" s="38"/>
      <c r="FS75" s="38"/>
      <c r="FT75" s="38"/>
      <c r="FU75" s="38"/>
      <c r="FV75" s="38"/>
      <c r="FW75" s="38"/>
      <c r="FX75" s="38"/>
      <c r="FY75" s="38"/>
      <c r="FZ75" s="38"/>
      <c r="GA75" s="38"/>
      <c r="GB75" s="38"/>
      <c r="GC75" s="38"/>
      <c r="GD75" s="38"/>
      <c r="GE75" s="38"/>
      <c r="GF75" s="38"/>
      <c r="GG75" s="38"/>
      <c r="GH75" s="38"/>
      <c r="GI75" s="38"/>
      <c r="GJ75" s="38"/>
      <c r="GK75" s="38"/>
      <c r="GL75" s="38"/>
      <c r="GM75" s="38"/>
      <c r="GN75" s="38"/>
      <c r="GO75" s="38"/>
      <c r="GP75" s="38"/>
      <c r="GQ75" s="38"/>
      <c r="GR75" s="38"/>
      <c r="GS75" s="38"/>
      <c r="GT75" s="38"/>
      <c r="GU75" s="38"/>
      <c r="GV75" s="38"/>
      <c r="GW75" s="38"/>
      <c r="GX75" s="38"/>
      <c r="GY75" s="38"/>
      <c r="GZ75" s="38"/>
      <c r="HA75" s="38"/>
      <c r="HB75" s="38"/>
      <c r="HC75" s="38"/>
      <c r="HD75" s="38"/>
      <c r="HE75" s="38"/>
      <c r="HF75" s="38"/>
      <c r="HG75" s="38"/>
      <c r="HH75" s="38"/>
      <c r="HI75" s="38"/>
      <c r="HJ75" s="38"/>
      <c r="HK75" s="38"/>
      <c r="HL75" s="38"/>
      <c r="HM75" s="38"/>
      <c r="HN75" s="38"/>
      <c r="HO75" s="38"/>
      <c r="HP75" s="38"/>
      <c r="HQ75" s="38"/>
      <c r="HR75" s="38"/>
      <c r="HS75" s="38"/>
      <c r="HT75" s="38"/>
      <c r="HU75" s="38"/>
      <c r="HV75" s="38"/>
      <c r="HW75" s="38"/>
      <c r="HX75" s="38"/>
      <c r="HY75" s="38"/>
      <c r="HZ75" s="38"/>
      <c r="IA75" s="38"/>
      <c r="IB75" s="38"/>
      <c r="IC75" s="38"/>
      <c r="ID75" s="38"/>
      <c r="IE75" s="38"/>
      <c r="IF75" s="38"/>
      <c r="IG75" s="38"/>
      <c r="IH75" s="38"/>
      <c r="II75" s="38"/>
      <c r="IJ75" s="38"/>
      <c r="IK75" s="38"/>
      <c r="IL75" s="38"/>
      <c r="IM75" s="38"/>
      <c r="IN75" s="38"/>
      <c r="IO75" s="38"/>
      <c r="IP75" s="38"/>
      <c r="IQ75" s="38"/>
      <c r="IR75" s="38"/>
      <c r="IS75" s="38"/>
      <c r="IT75" s="38"/>
      <c r="IU75" s="38"/>
      <c r="IV75" s="38"/>
      <c r="IW75" s="38"/>
      <c r="IX75" s="38"/>
      <c r="IY75" s="38"/>
      <c r="IZ75" s="38"/>
      <c r="JA75" s="38"/>
      <c r="JB75" s="38"/>
      <c r="JC75" s="38"/>
      <c r="JD75" s="38"/>
      <c r="JE75" s="38"/>
      <c r="JF75" s="38"/>
      <c r="JG75" s="38"/>
      <c r="JH75" s="38"/>
      <c r="JI75" s="38"/>
      <c r="JJ75" s="38"/>
      <c r="JK75" s="38"/>
      <c r="JL75" s="38"/>
      <c r="JM75" s="38"/>
      <c r="JN75" s="38"/>
      <c r="JO75" s="38"/>
      <c r="JP75" s="38"/>
      <c r="JQ75" s="38"/>
      <c r="JR75" s="38"/>
      <c r="JS75" s="38"/>
      <c r="JT75" s="38"/>
      <c r="JU75" s="38"/>
      <c r="JV75" s="38"/>
      <c r="JW75" s="38"/>
      <c r="JX75" s="38"/>
      <c r="JY75" s="38"/>
      <c r="JZ75" s="38"/>
      <c r="KA75" s="38"/>
      <c r="KB75" s="38"/>
      <c r="KC75" s="38"/>
      <c r="KD75" s="38"/>
      <c r="KE75" s="38"/>
      <c r="KF75" s="38"/>
      <c r="KG75" s="38"/>
      <c r="KH75" s="38"/>
      <c r="KI75" s="38"/>
      <c r="KJ75" s="38"/>
      <c r="KK75" s="38"/>
      <c r="KL75" s="38"/>
      <c r="KM75" s="38"/>
      <c r="KN75" s="38"/>
      <c r="KO75" s="38"/>
      <c r="KP75" s="38"/>
      <c r="KQ75" s="38"/>
      <c r="KR75" s="38"/>
      <c r="KS75" s="38"/>
      <c r="KT75" s="38"/>
      <c r="KU75" s="38"/>
      <c r="KV75" s="38"/>
      <c r="KW75" s="38"/>
      <c r="KX75" s="38"/>
      <c r="KY75" s="38"/>
      <c r="KZ75" s="38"/>
      <c r="LA75" s="38"/>
      <c r="LB75" s="38"/>
      <c r="LC75" s="38"/>
      <c r="LD75" s="38"/>
      <c r="LE75" s="38"/>
      <c r="LF75" s="38"/>
      <c r="LG75" s="38"/>
      <c r="LH75" s="38"/>
      <c r="LI75" s="38"/>
      <c r="LJ75" s="38"/>
      <c r="LK75" s="38"/>
      <c r="LL75" s="38"/>
      <c r="LM75" s="38"/>
      <c r="LN75" s="38"/>
      <c r="LO75" s="38"/>
      <c r="LP75" s="38"/>
      <c r="LQ75" s="38"/>
      <c r="LR75" s="38"/>
      <c r="LS75" s="38"/>
      <c r="LT75" s="38"/>
      <c r="LU75" s="38"/>
      <c r="LV75" s="38"/>
      <c r="LW75" s="38"/>
      <c r="LX75" s="38"/>
      <c r="LY75" s="38"/>
      <c r="LZ75" s="38"/>
      <c r="MA75" s="38"/>
      <c r="MB75" s="38"/>
      <c r="MC75" s="38"/>
      <c r="MD75" s="38"/>
      <c r="ME75" s="38"/>
      <c r="MF75" s="38"/>
      <c r="MG75" s="38"/>
      <c r="MH75" s="38"/>
      <c r="MI75" s="38"/>
      <c r="MJ75" s="38"/>
      <c r="MK75" s="38"/>
      <c r="ML75" s="38"/>
      <c r="MM75" s="38"/>
      <c r="MN75" s="38"/>
      <c r="MO75" s="38"/>
      <c r="MP75" s="38"/>
      <c r="MQ75" s="38"/>
      <c r="MR75" s="38"/>
      <c r="MS75" s="38"/>
      <c r="MT75" s="38"/>
      <c r="MU75" s="38"/>
      <c r="MV75" s="38"/>
      <c r="MW75" s="38"/>
      <c r="MX75" s="38"/>
      <c r="MY75" s="38"/>
      <c r="MZ75" s="38"/>
      <c r="NA75" s="38"/>
      <c r="NB75" s="38"/>
      <c r="NC75" s="38"/>
      <c r="ND75" s="38"/>
      <c r="NE75" s="38"/>
      <c r="NF75" s="38"/>
      <c r="NG75" s="38"/>
      <c r="NH75" s="38"/>
      <c r="NI75" s="38"/>
      <c r="NJ75" s="38"/>
      <c r="NK75" s="38"/>
      <c r="NL75" s="38"/>
      <c r="NM75" s="38"/>
      <c r="NN75" s="38"/>
      <c r="NO75" s="38"/>
      <c r="NP75" s="38"/>
      <c r="NQ75" s="38"/>
      <c r="NR75" s="38"/>
      <c r="NS75" s="38"/>
      <c r="NT75" s="38"/>
      <c r="NU75" s="38"/>
      <c r="NV75" s="38"/>
      <c r="NW75" s="38"/>
      <c r="NX75" s="38"/>
      <c r="NY75" s="38"/>
      <c r="NZ75" s="38"/>
      <c r="OA75" s="38"/>
      <c r="OB75" s="38"/>
      <c r="OC75" s="38"/>
      <c r="OD75" s="38"/>
      <c r="OE75" s="38"/>
      <c r="OF75" s="38"/>
      <c r="OG75" s="38"/>
      <c r="OH75" s="38"/>
      <c r="OI75" s="38"/>
      <c r="OJ75" s="38"/>
      <c r="OK75" s="38"/>
      <c r="OL75" s="38"/>
      <c r="OM75" s="38"/>
      <c r="ON75" s="38"/>
      <c r="OO75" s="38"/>
      <c r="OP75" s="38"/>
      <c r="OQ75" s="38"/>
      <c r="OR75" s="38"/>
      <c r="OS75" s="38"/>
      <c r="OT75" s="38"/>
      <c r="OU75" s="38"/>
      <c r="OV75" s="38"/>
      <c r="OW75" s="38"/>
      <c r="OX75" s="38"/>
      <c r="OY75" s="38"/>
      <c r="OZ75" s="38"/>
      <c r="PA75" s="38"/>
      <c r="PB75" s="38"/>
      <c r="PC75" s="38"/>
      <c r="PD75" s="38"/>
      <c r="PE75" s="38"/>
      <c r="PF75" s="38"/>
      <c r="PG75" s="38"/>
      <c r="PH75" s="38"/>
      <c r="PI75" s="38"/>
      <c r="PJ75" s="38"/>
      <c r="PK75" s="38"/>
      <c r="PL75" s="38"/>
      <c r="PM75" s="38"/>
      <c r="PN75" s="38"/>
      <c r="PO75" s="38"/>
      <c r="PP75" s="38"/>
      <c r="PQ75" s="38"/>
      <c r="PR75" s="38"/>
      <c r="PS75" s="38"/>
      <c r="PT75" s="38"/>
      <c r="PU75" s="38"/>
      <c r="PV75" s="38"/>
      <c r="PW75" s="38"/>
      <c r="PX75" s="38"/>
      <c r="PY75" s="38"/>
      <c r="PZ75" s="38"/>
      <c r="QA75" s="38"/>
      <c r="QB75" s="38"/>
      <c r="QC75" s="38"/>
      <c r="QD75" s="38"/>
      <c r="QE75" s="38"/>
      <c r="QF75" s="38"/>
      <c r="QG75" s="38"/>
      <c r="QH75" s="38"/>
      <c r="QI75" s="38"/>
      <c r="QJ75" s="38"/>
      <c r="QK75" s="38"/>
      <c r="QL75" s="38"/>
      <c r="QM75" s="38"/>
      <c r="QN75" s="38"/>
      <c r="QO75" s="38"/>
      <c r="QP75" s="38"/>
      <c r="QQ75" s="38"/>
      <c r="QR75" s="38"/>
      <c r="QS75" s="38"/>
      <c r="QT75" s="38"/>
      <c r="QU75" s="38"/>
      <c r="QV75" s="38"/>
      <c r="QW75" s="38"/>
      <c r="QX75" s="38"/>
      <c r="QY75" s="38"/>
      <c r="QZ75" s="38"/>
      <c r="RA75" s="38"/>
      <c r="RB75" s="38"/>
      <c r="RC75" s="38"/>
      <c r="RD75" s="38"/>
      <c r="RE75" s="38"/>
      <c r="RF75" s="38"/>
      <c r="RG75" s="38"/>
      <c r="RH75" s="38"/>
      <c r="RI75" s="38"/>
      <c r="RJ75" s="38"/>
      <c r="RK75" s="38"/>
      <c r="RL75" s="38"/>
      <c r="RM75" s="38"/>
      <c r="RN75" s="38"/>
      <c r="RO75" s="38"/>
      <c r="RP75" s="38"/>
      <c r="RQ75" s="38"/>
      <c r="RR75" s="38"/>
      <c r="RS75" s="38"/>
      <c r="RT75" s="38"/>
      <c r="RU75" s="38"/>
      <c r="RV75" s="38"/>
      <c r="RW75" s="38"/>
      <c r="RX75" s="38"/>
      <c r="RY75" s="38"/>
      <c r="RZ75" s="38"/>
      <c r="SA75" s="38"/>
      <c r="SB75" s="38"/>
      <c r="SC75" s="38"/>
      <c r="SD75" s="38"/>
      <c r="SE75" s="38"/>
      <c r="SF75" s="38"/>
      <c r="SG75" s="38"/>
      <c r="SH75" s="38"/>
      <c r="SI75" s="38"/>
      <c r="SJ75" s="38"/>
      <c r="SK75" s="38"/>
      <c r="SL75" s="38"/>
      <c r="SM75" s="38"/>
      <c r="SN75" s="38"/>
      <c r="SO75" s="38"/>
      <c r="SP75" s="38"/>
      <c r="SQ75" s="38"/>
      <c r="SR75" s="38"/>
      <c r="SS75" s="38"/>
      <c r="ST75" s="38"/>
      <c r="SU75" s="38"/>
      <c r="SV75" s="38"/>
      <c r="SW75" s="38"/>
      <c r="SX75" s="38"/>
      <c r="SY75" s="38"/>
      <c r="SZ75" s="38"/>
      <c r="TA75" s="38"/>
      <c r="TB75" s="38"/>
      <c r="TC75" s="38"/>
      <c r="TD75" s="38"/>
      <c r="TE75" s="38"/>
      <c r="TF75" s="38"/>
      <c r="TG75" s="38"/>
      <c r="TH75" s="38"/>
      <c r="TI75" s="38"/>
      <c r="TJ75" s="38"/>
      <c r="TK75" s="38"/>
      <c r="TL75" s="38"/>
      <c r="TM75" s="38"/>
    </row>
    <row r="76" spans="2:533" s="39" customFormat="1" ht="37.5" x14ac:dyDescent="0.25">
      <c r="B76" s="50" t="s">
        <v>125</v>
      </c>
      <c r="C76" s="41" t="s">
        <v>157</v>
      </c>
      <c r="D76" s="56" t="s">
        <v>158</v>
      </c>
      <c r="E76" s="87" t="s">
        <v>131</v>
      </c>
      <c r="F76" s="53">
        <v>1</v>
      </c>
      <c r="G76" s="59"/>
      <c r="H76" s="46"/>
      <c r="I76" s="47">
        <f t="shared" si="9"/>
        <v>0</v>
      </c>
      <c r="J76" s="48">
        <v>2031</v>
      </c>
      <c r="K76" s="47" t="s">
        <v>30</v>
      </c>
      <c r="L76" s="49"/>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c r="DA76" s="38"/>
      <c r="DB76" s="38"/>
      <c r="DC76" s="38"/>
      <c r="DD76" s="38"/>
      <c r="DE76" s="38"/>
      <c r="DF76" s="38"/>
      <c r="DG76" s="38"/>
      <c r="DH76" s="38"/>
      <c r="DI76" s="38"/>
      <c r="DJ76" s="38"/>
      <c r="DK76" s="38"/>
      <c r="DL76" s="38"/>
      <c r="DM76" s="38"/>
      <c r="DN76" s="38"/>
      <c r="DO76" s="38"/>
      <c r="DP76" s="38"/>
      <c r="DQ76" s="38"/>
      <c r="DR76" s="38"/>
      <c r="DS76" s="38"/>
      <c r="DT76" s="38"/>
      <c r="DU76" s="38"/>
      <c r="DV76" s="38"/>
      <c r="DW76" s="38"/>
      <c r="DX76" s="38"/>
      <c r="DY76" s="38"/>
      <c r="DZ76" s="38"/>
      <c r="EA76" s="38"/>
      <c r="EB76" s="38"/>
      <c r="EC76" s="38"/>
      <c r="ED76" s="38"/>
      <c r="EE76" s="38"/>
      <c r="EF76" s="38"/>
      <c r="EG76" s="38"/>
      <c r="EH76" s="38"/>
      <c r="EI76" s="38"/>
      <c r="EJ76" s="38"/>
      <c r="EK76" s="38"/>
      <c r="EL76" s="38"/>
      <c r="EM76" s="38"/>
      <c r="EN76" s="38"/>
      <c r="EO76" s="38"/>
      <c r="EP76" s="38"/>
      <c r="EQ76" s="38"/>
      <c r="ER76" s="38"/>
      <c r="ES76" s="38"/>
      <c r="ET76" s="38"/>
      <c r="EU76" s="38"/>
      <c r="EV76" s="38"/>
      <c r="EW76" s="38"/>
      <c r="EX76" s="38"/>
      <c r="EY76" s="38"/>
      <c r="EZ76" s="38"/>
      <c r="FA76" s="38"/>
      <c r="FB76" s="38"/>
      <c r="FC76" s="38"/>
      <c r="FD76" s="38"/>
      <c r="FE76" s="38"/>
      <c r="FF76" s="38"/>
      <c r="FG76" s="38"/>
      <c r="FH76" s="38"/>
      <c r="FI76" s="38"/>
      <c r="FJ76" s="38"/>
      <c r="FK76" s="38"/>
      <c r="FL76" s="38"/>
      <c r="FM76" s="38"/>
      <c r="FN76" s="38"/>
      <c r="FO76" s="38"/>
      <c r="FP76" s="38"/>
      <c r="FQ76" s="38"/>
      <c r="FR76" s="38"/>
      <c r="FS76" s="38"/>
      <c r="FT76" s="38"/>
      <c r="FU76" s="38"/>
      <c r="FV76" s="38"/>
      <c r="FW76" s="38"/>
      <c r="FX76" s="38"/>
      <c r="FY76" s="38"/>
      <c r="FZ76" s="38"/>
      <c r="GA76" s="38"/>
      <c r="GB76" s="38"/>
      <c r="GC76" s="38"/>
      <c r="GD76" s="38"/>
      <c r="GE76" s="38"/>
      <c r="GF76" s="38"/>
      <c r="GG76" s="38"/>
      <c r="GH76" s="38"/>
      <c r="GI76" s="38"/>
      <c r="GJ76" s="38"/>
      <c r="GK76" s="38"/>
      <c r="GL76" s="38"/>
      <c r="GM76" s="38"/>
      <c r="GN76" s="38"/>
      <c r="GO76" s="38"/>
      <c r="GP76" s="38"/>
      <c r="GQ76" s="38"/>
      <c r="GR76" s="38"/>
      <c r="GS76" s="38"/>
      <c r="GT76" s="38"/>
      <c r="GU76" s="38"/>
      <c r="GV76" s="38"/>
      <c r="GW76" s="38"/>
      <c r="GX76" s="38"/>
      <c r="GY76" s="38"/>
      <c r="GZ76" s="38"/>
      <c r="HA76" s="38"/>
      <c r="HB76" s="38"/>
      <c r="HC76" s="38"/>
      <c r="HD76" s="38"/>
      <c r="HE76" s="38"/>
      <c r="HF76" s="38"/>
      <c r="HG76" s="38"/>
      <c r="HH76" s="38"/>
      <c r="HI76" s="38"/>
      <c r="HJ76" s="38"/>
      <c r="HK76" s="38"/>
      <c r="HL76" s="38"/>
      <c r="HM76" s="38"/>
      <c r="HN76" s="38"/>
      <c r="HO76" s="38"/>
      <c r="HP76" s="38"/>
      <c r="HQ76" s="38"/>
      <c r="HR76" s="38"/>
      <c r="HS76" s="38"/>
      <c r="HT76" s="38"/>
      <c r="HU76" s="38"/>
      <c r="HV76" s="38"/>
      <c r="HW76" s="38"/>
      <c r="HX76" s="38"/>
      <c r="HY76" s="38"/>
      <c r="HZ76" s="38"/>
      <c r="IA76" s="38"/>
      <c r="IB76" s="38"/>
      <c r="IC76" s="38"/>
      <c r="ID76" s="38"/>
      <c r="IE76" s="38"/>
      <c r="IF76" s="38"/>
      <c r="IG76" s="38"/>
      <c r="IH76" s="38"/>
      <c r="II76" s="38"/>
      <c r="IJ76" s="38"/>
      <c r="IK76" s="38"/>
      <c r="IL76" s="38"/>
      <c r="IM76" s="38"/>
      <c r="IN76" s="38"/>
      <c r="IO76" s="38"/>
      <c r="IP76" s="38"/>
      <c r="IQ76" s="38"/>
      <c r="IR76" s="38"/>
      <c r="IS76" s="38"/>
      <c r="IT76" s="38"/>
      <c r="IU76" s="38"/>
      <c r="IV76" s="38"/>
      <c r="IW76" s="38"/>
      <c r="IX76" s="38"/>
      <c r="IY76" s="38"/>
      <c r="IZ76" s="38"/>
      <c r="JA76" s="38"/>
      <c r="JB76" s="38"/>
      <c r="JC76" s="38"/>
      <c r="JD76" s="38"/>
      <c r="JE76" s="38"/>
      <c r="JF76" s="38"/>
      <c r="JG76" s="38"/>
      <c r="JH76" s="38"/>
      <c r="JI76" s="38"/>
      <c r="JJ76" s="38"/>
      <c r="JK76" s="38"/>
      <c r="JL76" s="38"/>
      <c r="JM76" s="38"/>
      <c r="JN76" s="38"/>
      <c r="JO76" s="38"/>
      <c r="JP76" s="38"/>
      <c r="JQ76" s="38"/>
      <c r="JR76" s="38"/>
      <c r="JS76" s="38"/>
      <c r="JT76" s="38"/>
      <c r="JU76" s="38"/>
      <c r="JV76" s="38"/>
      <c r="JW76" s="38"/>
      <c r="JX76" s="38"/>
      <c r="JY76" s="38"/>
      <c r="JZ76" s="38"/>
      <c r="KA76" s="38"/>
      <c r="KB76" s="38"/>
      <c r="KC76" s="38"/>
      <c r="KD76" s="38"/>
      <c r="KE76" s="38"/>
      <c r="KF76" s="38"/>
      <c r="KG76" s="38"/>
      <c r="KH76" s="38"/>
      <c r="KI76" s="38"/>
      <c r="KJ76" s="38"/>
      <c r="KK76" s="38"/>
      <c r="KL76" s="38"/>
      <c r="KM76" s="38"/>
      <c r="KN76" s="38"/>
      <c r="KO76" s="38"/>
      <c r="KP76" s="38"/>
      <c r="KQ76" s="38"/>
      <c r="KR76" s="38"/>
      <c r="KS76" s="38"/>
      <c r="KT76" s="38"/>
      <c r="KU76" s="38"/>
      <c r="KV76" s="38"/>
      <c r="KW76" s="38"/>
      <c r="KX76" s="38"/>
      <c r="KY76" s="38"/>
      <c r="KZ76" s="38"/>
      <c r="LA76" s="38"/>
      <c r="LB76" s="38"/>
      <c r="LC76" s="38"/>
      <c r="LD76" s="38"/>
      <c r="LE76" s="38"/>
      <c r="LF76" s="38"/>
      <c r="LG76" s="38"/>
      <c r="LH76" s="38"/>
      <c r="LI76" s="38"/>
      <c r="LJ76" s="38"/>
      <c r="LK76" s="38"/>
      <c r="LL76" s="38"/>
      <c r="LM76" s="38"/>
      <c r="LN76" s="38"/>
      <c r="LO76" s="38"/>
      <c r="LP76" s="38"/>
      <c r="LQ76" s="38"/>
      <c r="LR76" s="38"/>
      <c r="LS76" s="38"/>
      <c r="LT76" s="38"/>
      <c r="LU76" s="38"/>
      <c r="LV76" s="38"/>
      <c r="LW76" s="38"/>
      <c r="LX76" s="38"/>
      <c r="LY76" s="38"/>
      <c r="LZ76" s="38"/>
      <c r="MA76" s="38"/>
      <c r="MB76" s="38"/>
      <c r="MC76" s="38"/>
      <c r="MD76" s="38"/>
      <c r="ME76" s="38"/>
      <c r="MF76" s="38"/>
      <c r="MG76" s="38"/>
      <c r="MH76" s="38"/>
      <c r="MI76" s="38"/>
      <c r="MJ76" s="38"/>
      <c r="MK76" s="38"/>
      <c r="ML76" s="38"/>
      <c r="MM76" s="38"/>
      <c r="MN76" s="38"/>
      <c r="MO76" s="38"/>
      <c r="MP76" s="38"/>
      <c r="MQ76" s="38"/>
      <c r="MR76" s="38"/>
      <c r="MS76" s="38"/>
      <c r="MT76" s="38"/>
      <c r="MU76" s="38"/>
      <c r="MV76" s="38"/>
      <c r="MW76" s="38"/>
      <c r="MX76" s="38"/>
      <c r="MY76" s="38"/>
      <c r="MZ76" s="38"/>
      <c r="NA76" s="38"/>
      <c r="NB76" s="38"/>
      <c r="NC76" s="38"/>
      <c r="ND76" s="38"/>
      <c r="NE76" s="38"/>
      <c r="NF76" s="38"/>
      <c r="NG76" s="38"/>
      <c r="NH76" s="38"/>
      <c r="NI76" s="38"/>
      <c r="NJ76" s="38"/>
      <c r="NK76" s="38"/>
      <c r="NL76" s="38"/>
      <c r="NM76" s="38"/>
      <c r="NN76" s="38"/>
      <c r="NO76" s="38"/>
      <c r="NP76" s="38"/>
      <c r="NQ76" s="38"/>
      <c r="NR76" s="38"/>
      <c r="NS76" s="38"/>
      <c r="NT76" s="38"/>
      <c r="NU76" s="38"/>
      <c r="NV76" s="38"/>
      <c r="NW76" s="38"/>
      <c r="NX76" s="38"/>
      <c r="NY76" s="38"/>
      <c r="NZ76" s="38"/>
      <c r="OA76" s="38"/>
      <c r="OB76" s="38"/>
      <c r="OC76" s="38"/>
      <c r="OD76" s="38"/>
      <c r="OE76" s="38"/>
      <c r="OF76" s="38"/>
      <c r="OG76" s="38"/>
      <c r="OH76" s="38"/>
      <c r="OI76" s="38"/>
      <c r="OJ76" s="38"/>
      <c r="OK76" s="38"/>
      <c r="OL76" s="38"/>
      <c r="OM76" s="38"/>
      <c r="ON76" s="38"/>
      <c r="OO76" s="38"/>
      <c r="OP76" s="38"/>
      <c r="OQ76" s="38"/>
      <c r="OR76" s="38"/>
      <c r="OS76" s="38"/>
      <c r="OT76" s="38"/>
      <c r="OU76" s="38"/>
      <c r="OV76" s="38"/>
      <c r="OW76" s="38"/>
      <c r="OX76" s="38"/>
      <c r="OY76" s="38"/>
      <c r="OZ76" s="38"/>
      <c r="PA76" s="38"/>
      <c r="PB76" s="38"/>
      <c r="PC76" s="38"/>
      <c r="PD76" s="38"/>
      <c r="PE76" s="38"/>
      <c r="PF76" s="38"/>
      <c r="PG76" s="38"/>
      <c r="PH76" s="38"/>
      <c r="PI76" s="38"/>
      <c r="PJ76" s="38"/>
      <c r="PK76" s="38"/>
      <c r="PL76" s="38"/>
      <c r="PM76" s="38"/>
      <c r="PN76" s="38"/>
      <c r="PO76" s="38"/>
      <c r="PP76" s="38"/>
      <c r="PQ76" s="38"/>
      <c r="PR76" s="38"/>
      <c r="PS76" s="38"/>
      <c r="PT76" s="38"/>
      <c r="PU76" s="38"/>
      <c r="PV76" s="38"/>
      <c r="PW76" s="38"/>
      <c r="PX76" s="38"/>
      <c r="PY76" s="38"/>
      <c r="PZ76" s="38"/>
      <c r="QA76" s="38"/>
      <c r="QB76" s="38"/>
      <c r="QC76" s="38"/>
      <c r="QD76" s="38"/>
      <c r="QE76" s="38"/>
      <c r="QF76" s="38"/>
      <c r="QG76" s="38"/>
      <c r="QH76" s="38"/>
      <c r="QI76" s="38"/>
      <c r="QJ76" s="38"/>
      <c r="QK76" s="38"/>
      <c r="QL76" s="38"/>
      <c r="QM76" s="38"/>
      <c r="QN76" s="38"/>
      <c r="QO76" s="38"/>
      <c r="QP76" s="38"/>
      <c r="QQ76" s="38"/>
      <c r="QR76" s="38"/>
      <c r="QS76" s="38"/>
      <c r="QT76" s="38"/>
      <c r="QU76" s="38"/>
      <c r="QV76" s="38"/>
      <c r="QW76" s="38"/>
      <c r="QX76" s="38"/>
      <c r="QY76" s="38"/>
      <c r="QZ76" s="38"/>
      <c r="RA76" s="38"/>
      <c r="RB76" s="38"/>
      <c r="RC76" s="38"/>
      <c r="RD76" s="38"/>
      <c r="RE76" s="38"/>
      <c r="RF76" s="38"/>
      <c r="RG76" s="38"/>
      <c r="RH76" s="38"/>
      <c r="RI76" s="38"/>
      <c r="RJ76" s="38"/>
      <c r="RK76" s="38"/>
      <c r="RL76" s="38"/>
      <c r="RM76" s="38"/>
      <c r="RN76" s="38"/>
      <c r="RO76" s="38"/>
      <c r="RP76" s="38"/>
      <c r="RQ76" s="38"/>
      <c r="RR76" s="38"/>
      <c r="RS76" s="38"/>
      <c r="RT76" s="38"/>
      <c r="RU76" s="38"/>
      <c r="RV76" s="38"/>
      <c r="RW76" s="38"/>
      <c r="RX76" s="38"/>
      <c r="RY76" s="38"/>
      <c r="RZ76" s="38"/>
      <c r="SA76" s="38"/>
      <c r="SB76" s="38"/>
      <c r="SC76" s="38"/>
      <c r="SD76" s="38"/>
      <c r="SE76" s="38"/>
      <c r="SF76" s="38"/>
      <c r="SG76" s="38"/>
      <c r="SH76" s="38"/>
      <c r="SI76" s="38"/>
      <c r="SJ76" s="38"/>
      <c r="SK76" s="38"/>
      <c r="SL76" s="38"/>
      <c r="SM76" s="38"/>
      <c r="SN76" s="38"/>
      <c r="SO76" s="38"/>
      <c r="SP76" s="38"/>
      <c r="SQ76" s="38"/>
      <c r="SR76" s="38"/>
      <c r="SS76" s="38"/>
      <c r="ST76" s="38"/>
      <c r="SU76" s="38"/>
      <c r="SV76" s="38"/>
      <c r="SW76" s="38"/>
      <c r="SX76" s="38"/>
      <c r="SY76" s="38"/>
      <c r="SZ76" s="38"/>
      <c r="TA76" s="38"/>
      <c r="TB76" s="38"/>
      <c r="TC76" s="38"/>
      <c r="TD76" s="38"/>
      <c r="TE76" s="38"/>
      <c r="TF76" s="38"/>
      <c r="TG76" s="38"/>
      <c r="TH76" s="38"/>
      <c r="TI76" s="38"/>
      <c r="TJ76" s="38"/>
      <c r="TK76" s="38"/>
      <c r="TL76" s="38"/>
      <c r="TM76" s="38"/>
    </row>
    <row r="77" spans="2:533" s="39" customFormat="1" ht="37.5" x14ac:dyDescent="0.25">
      <c r="B77" s="50"/>
      <c r="C77" s="41"/>
      <c r="D77" s="56" t="s">
        <v>159</v>
      </c>
      <c r="E77" s="87" t="s">
        <v>131</v>
      </c>
      <c r="F77" s="53">
        <v>1</v>
      </c>
      <c r="G77" s="59"/>
      <c r="H77" s="46"/>
      <c r="I77" s="47">
        <f t="shared" si="9"/>
        <v>0</v>
      </c>
      <c r="J77" s="48">
        <v>2031</v>
      </c>
      <c r="K77" s="47" t="s">
        <v>30</v>
      </c>
      <c r="L77" s="49"/>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c r="DA77" s="38"/>
      <c r="DB77" s="38"/>
      <c r="DC77" s="38"/>
      <c r="DD77" s="38"/>
      <c r="DE77" s="38"/>
      <c r="DF77" s="38"/>
      <c r="DG77" s="38"/>
      <c r="DH77" s="38"/>
      <c r="DI77" s="38"/>
      <c r="DJ77" s="38"/>
      <c r="DK77" s="38"/>
      <c r="DL77" s="38"/>
      <c r="DM77" s="38"/>
      <c r="DN77" s="38"/>
      <c r="DO77" s="38"/>
      <c r="DP77" s="38"/>
      <c r="DQ77" s="38"/>
      <c r="DR77" s="38"/>
      <c r="DS77" s="38"/>
      <c r="DT77" s="38"/>
      <c r="DU77" s="38"/>
      <c r="DV77" s="38"/>
      <c r="DW77" s="38"/>
      <c r="DX77" s="38"/>
      <c r="DY77" s="38"/>
      <c r="DZ77" s="38"/>
      <c r="EA77" s="38"/>
      <c r="EB77" s="38"/>
      <c r="EC77" s="38"/>
      <c r="ED77" s="38"/>
      <c r="EE77" s="38"/>
      <c r="EF77" s="38"/>
      <c r="EG77" s="38"/>
      <c r="EH77" s="38"/>
      <c r="EI77" s="38"/>
      <c r="EJ77" s="38"/>
      <c r="EK77" s="38"/>
      <c r="EL77" s="38"/>
      <c r="EM77" s="38"/>
      <c r="EN77" s="38"/>
      <c r="EO77" s="38"/>
      <c r="EP77" s="38"/>
      <c r="EQ77" s="38"/>
      <c r="ER77" s="38"/>
      <c r="ES77" s="38"/>
      <c r="ET77" s="38"/>
      <c r="EU77" s="38"/>
      <c r="EV77" s="38"/>
      <c r="EW77" s="38"/>
      <c r="EX77" s="38"/>
      <c r="EY77" s="38"/>
      <c r="EZ77" s="38"/>
      <c r="FA77" s="38"/>
      <c r="FB77" s="38"/>
      <c r="FC77" s="38"/>
      <c r="FD77" s="38"/>
      <c r="FE77" s="38"/>
      <c r="FF77" s="38"/>
      <c r="FG77" s="38"/>
      <c r="FH77" s="38"/>
      <c r="FI77" s="38"/>
      <c r="FJ77" s="38"/>
      <c r="FK77" s="38"/>
      <c r="FL77" s="38"/>
      <c r="FM77" s="38"/>
      <c r="FN77" s="38"/>
      <c r="FO77" s="38"/>
      <c r="FP77" s="38"/>
      <c r="FQ77" s="38"/>
      <c r="FR77" s="38"/>
      <c r="FS77" s="38"/>
      <c r="FT77" s="38"/>
      <c r="FU77" s="38"/>
      <c r="FV77" s="38"/>
      <c r="FW77" s="38"/>
      <c r="FX77" s="38"/>
      <c r="FY77" s="38"/>
      <c r="FZ77" s="38"/>
      <c r="GA77" s="38"/>
      <c r="GB77" s="38"/>
      <c r="GC77" s="38"/>
      <c r="GD77" s="38"/>
      <c r="GE77" s="38"/>
      <c r="GF77" s="38"/>
      <c r="GG77" s="38"/>
      <c r="GH77" s="38"/>
      <c r="GI77" s="38"/>
      <c r="GJ77" s="38"/>
      <c r="GK77" s="38"/>
      <c r="GL77" s="38"/>
      <c r="GM77" s="38"/>
      <c r="GN77" s="38"/>
      <c r="GO77" s="38"/>
      <c r="GP77" s="38"/>
      <c r="GQ77" s="38"/>
      <c r="GR77" s="38"/>
      <c r="GS77" s="38"/>
      <c r="GT77" s="38"/>
      <c r="GU77" s="38"/>
      <c r="GV77" s="38"/>
      <c r="GW77" s="38"/>
      <c r="GX77" s="38"/>
      <c r="GY77" s="38"/>
      <c r="GZ77" s="38"/>
      <c r="HA77" s="38"/>
      <c r="HB77" s="38"/>
      <c r="HC77" s="38"/>
      <c r="HD77" s="38"/>
      <c r="HE77" s="38"/>
      <c r="HF77" s="38"/>
      <c r="HG77" s="38"/>
      <c r="HH77" s="38"/>
      <c r="HI77" s="38"/>
      <c r="HJ77" s="38"/>
      <c r="HK77" s="38"/>
      <c r="HL77" s="38"/>
      <c r="HM77" s="38"/>
      <c r="HN77" s="38"/>
      <c r="HO77" s="38"/>
      <c r="HP77" s="38"/>
      <c r="HQ77" s="38"/>
      <c r="HR77" s="38"/>
      <c r="HS77" s="38"/>
      <c r="HT77" s="38"/>
      <c r="HU77" s="38"/>
      <c r="HV77" s="38"/>
      <c r="HW77" s="38"/>
      <c r="HX77" s="38"/>
      <c r="HY77" s="38"/>
      <c r="HZ77" s="38"/>
      <c r="IA77" s="38"/>
      <c r="IB77" s="38"/>
      <c r="IC77" s="38"/>
      <c r="ID77" s="38"/>
      <c r="IE77" s="38"/>
      <c r="IF77" s="38"/>
      <c r="IG77" s="38"/>
      <c r="IH77" s="38"/>
      <c r="II77" s="38"/>
      <c r="IJ77" s="38"/>
      <c r="IK77" s="38"/>
      <c r="IL77" s="38"/>
      <c r="IM77" s="38"/>
      <c r="IN77" s="38"/>
      <c r="IO77" s="38"/>
      <c r="IP77" s="38"/>
      <c r="IQ77" s="38"/>
      <c r="IR77" s="38"/>
      <c r="IS77" s="38"/>
      <c r="IT77" s="38"/>
      <c r="IU77" s="38"/>
      <c r="IV77" s="38"/>
      <c r="IW77" s="38"/>
      <c r="IX77" s="38"/>
      <c r="IY77" s="38"/>
      <c r="IZ77" s="38"/>
      <c r="JA77" s="38"/>
      <c r="JB77" s="38"/>
      <c r="JC77" s="38"/>
      <c r="JD77" s="38"/>
      <c r="JE77" s="38"/>
      <c r="JF77" s="38"/>
      <c r="JG77" s="38"/>
      <c r="JH77" s="38"/>
      <c r="JI77" s="38"/>
      <c r="JJ77" s="38"/>
      <c r="JK77" s="38"/>
      <c r="JL77" s="38"/>
      <c r="JM77" s="38"/>
      <c r="JN77" s="38"/>
      <c r="JO77" s="38"/>
      <c r="JP77" s="38"/>
      <c r="JQ77" s="38"/>
      <c r="JR77" s="38"/>
      <c r="JS77" s="38"/>
      <c r="JT77" s="38"/>
      <c r="JU77" s="38"/>
      <c r="JV77" s="38"/>
      <c r="JW77" s="38"/>
      <c r="JX77" s="38"/>
      <c r="JY77" s="38"/>
      <c r="JZ77" s="38"/>
      <c r="KA77" s="38"/>
      <c r="KB77" s="38"/>
      <c r="KC77" s="38"/>
      <c r="KD77" s="38"/>
      <c r="KE77" s="38"/>
      <c r="KF77" s="38"/>
      <c r="KG77" s="38"/>
      <c r="KH77" s="38"/>
      <c r="KI77" s="38"/>
      <c r="KJ77" s="38"/>
      <c r="KK77" s="38"/>
      <c r="KL77" s="38"/>
      <c r="KM77" s="38"/>
      <c r="KN77" s="38"/>
      <c r="KO77" s="38"/>
      <c r="KP77" s="38"/>
      <c r="KQ77" s="38"/>
      <c r="KR77" s="38"/>
      <c r="KS77" s="38"/>
      <c r="KT77" s="38"/>
      <c r="KU77" s="38"/>
      <c r="KV77" s="38"/>
      <c r="KW77" s="38"/>
      <c r="KX77" s="38"/>
      <c r="KY77" s="38"/>
      <c r="KZ77" s="38"/>
      <c r="LA77" s="38"/>
      <c r="LB77" s="38"/>
      <c r="LC77" s="38"/>
      <c r="LD77" s="38"/>
      <c r="LE77" s="38"/>
      <c r="LF77" s="38"/>
      <c r="LG77" s="38"/>
      <c r="LH77" s="38"/>
      <c r="LI77" s="38"/>
      <c r="LJ77" s="38"/>
      <c r="LK77" s="38"/>
      <c r="LL77" s="38"/>
      <c r="LM77" s="38"/>
      <c r="LN77" s="38"/>
      <c r="LO77" s="38"/>
      <c r="LP77" s="38"/>
      <c r="LQ77" s="38"/>
      <c r="LR77" s="38"/>
      <c r="LS77" s="38"/>
      <c r="LT77" s="38"/>
      <c r="LU77" s="38"/>
      <c r="LV77" s="38"/>
      <c r="LW77" s="38"/>
      <c r="LX77" s="38"/>
      <c r="LY77" s="38"/>
      <c r="LZ77" s="38"/>
      <c r="MA77" s="38"/>
      <c r="MB77" s="38"/>
      <c r="MC77" s="38"/>
      <c r="MD77" s="38"/>
      <c r="ME77" s="38"/>
      <c r="MF77" s="38"/>
      <c r="MG77" s="38"/>
      <c r="MH77" s="38"/>
      <c r="MI77" s="38"/>
      <c r="MJ77" s="38"/>
      <c r="MK77" s="38"/>
      <c r="ML77" s="38"/>
      <c r="MM77" s="38"/>
      <c r="MN77" s="38"/>
      <c r="MO77" s="38"/>
      <c r="MP77" s="38"/>
      <c r="MQ77" s="38"/>
      <c r="MR77" s="38"/>
      <c r="MS77" s="38"/>
      <c r="MT77" s="38"/>
      <c r="MU77" s="38"/>
      <c r="MV77" s="38"/>
      <c r="MW77" s="38"/>
      <c r="MX77" s="38"/>
      <c r="MY77" s="38"/>
      <c r="MZ77" s="38"/>
      <c r="NA77" s="38"/>
      <c r="NB77" s="38"/>
      <c r="NC77" s="38"/>
      <c r="ND77" s="38"/>
      <c r="NE77" s="38"/>
      <c r="NF77" s="38"/>
      <c r="NG77" s="38"/>
      <c r="NH77" s="38"/>
      <c r="NI77" s="38"/>
      <c r="NJ77" s="38"/>
      <c r="NK77" s="38"/>
      <c r="NL77" s="38"/>
      <c r="NM77" s="38"/>
      <c r="NN77" s="38"/>
      <c r="NO77" s="38"/>
      <c r="NP77" s="38"/>
      <c r="NQ77" s="38"/>
      <c r="NR77" s="38"/>
      <c r="NS77" s="38"/>
      <c r="NT77" s="38"/>
      <c r="NU77" s="38"/>
      <c r="NV77" s="38"/>
      <c r="NW77" s="38"/>
      <c r="NX77" s="38"/>
      <c r="NY77" s="38"/>
      <c r="NZ77" s="38"/>
      <c r="OA77" s="38"/>
      <c r="OB77" s="38"/>
      <c r="OC77" s="38"/>
      <c r="OD77" s="38"/>
      <c r="OE77" s="38"/>
      <c r="OF77" s="38"/>
      <c r="OG77" s="38"/>
      <c r="OH77" s="38"/>
      <c r="OI77" s="38"/>
      <c r="OJ77" s="38"/>
      <c r="OK77" s="38"/>
      <c r="OL77" s="38"/>
      <c r="OM77" s="38"/>
      <c r="ON77" s="38"/>
      <c r="OO77" s="38"/>
      <c r="OP77" s="38"/>
      <c r="OQ77" s="38"/>
      <c r="OR77" s="38"/>
      <c r="OS77" s="38"/>
      <c r="OT77" s="38"/>
      <c r="OU77" s="38"/>
      <c r="OV77" s="38"/>
      <c r="OW77" s="38"/>
      <c r="OX77" s="38"/>
      <c r="OY77" s="38"/>
      <c r="OZ77" s="38"/>
      <c r="PA77" s="38"/>
      <c r="PB77" s="38"/>
      <c r="PC77" s="38"/>
      <c r="PD77" s="38"/>
      <c r="PE77" s="38"/>
      <c r="PF77" s="38"/>
      <c r="PG77" s="38"/>
      <c r="PH77" s="38"/>
      <c r="PI77" s="38"/>
      <c r="PJ77" s="38"/>
      <c r="PK77" s="38"/>
      <c r="PL77" s="38"/>
      <c r="PM77" s="38"/>
      <c r="PN77" s="38"/>
      <c r="PO77" s="38"/>
      <c r="PP77" s="38"/>
      <c r="PQ77" s="38"/>
      <c r="PR77" s="38"/>
      <c r="PS77" s="38"/>
      <c r="PT77" s="38"/>
      <c r="PU77" s="38"/>
      <c r="PV77" s="38"/>
      <c r="PW77" s="38"/>
      <c r="PX77" s="38"/>
      <c r="PY77" s="38"/>
      <c r="PZ77" s="38"/>
      <c r="QA77" s="38"/>
      <c r="QB77" s="38"/>
      <c r="QC77" s="38"/>
      <c r="QD77" s="38"/>
      <c r="QE77" s="38"/>
      <c r="QF77" s="38"/>
      <c r="QG77" s="38"/>
      <c r="QH77" s="38"/>
      <c r="QI77" s="38"/>
      <c r="QJ77" s="38"/>
      <c r="QK77" s="38"/>
      <c r="QL77" s="38"/>
      <c r="QM77" s="38"/>
      <c r="QN77" s="38"/>
      <c r="QO77" s="38"/>
      <c r="QP77" s="38"/>
      <c r="QQ77" s="38"/>
      <c r="QR77" s="38"/>
      <c r="QS77" s="38"/>
      <c r="QT77" s="38"/>
      <c r="QU77" s="38"/>
      <c r="QV77" s="38"/>
      <c r="QW77" s="38"/>
      <c r="QX77" s="38"/>
      <c r="QY77" s="38"/>
      <c r="QZ77" s="38"/>
      <c r="RA77" s="38"/>
      <c r="RB77" s="38"/>
      <c r="RC77" s="38"/>
      <c r="RD77" s="38"/>
      <c r="RE77" s="38"/>
      <c r="RF77" s="38"/>
      <c r="RG77" s="38"/>
      <c r="RH77" s="38"/>
      <c r="RI77" s="38"/>
      <c r="RJ77" s="38"/>
      <c r="RK77" s="38"/>
      <c r="RL77" s="38"/>
      <c r="RM77" s="38"/>
      <c r="RN77" s="38"/>
      <c r="RO77" s="38"/>
      <c r="RP77" s="38"/>
      <c r="RQ77" s="38"/>
      <c r="RR77" s="38"/>
      <c r="RS77" s="38"/>
      <c r="RT77" s="38"/>
      <c r="RU77" s="38"/>
      <c r="RV77" s="38"/>
      <c r="RW77" s="38"/>
      <c r="RX77" s="38"/>
      <c r="RY77" s="38"/>
      <c r="RZ77" s="38"/>
      <c r="SA77" s="38"/>
      <c r="SB77" s="38"/>
      <c r="SC77" s="38"/>
      <c r="SD77" s="38"/>
      <c r="SE77" s="38"/>
      <c r="SF77" s="38"/>
      <c r="SG77" s="38"/>
      <c r="SH77" s="38"/>
      <c r="SI77" s="38"/>
      <c r="SJ77" s="38"/>
      <c r="SK77" s="38"/>
      <c r="SL77" s="38"/>
      <c r="SM77" s="38"/>
      <c r="SN77" s="38"/>
      <c r="SO77" s="38"/>
      <c r="SP77" s="38"/>
      <c r="SQ77" s="38"/>
      <c r="SR77" s="38"/>
      <c r="SS77" s="38"/>
      <c r="ST77" s="38"/>
      <c r="SU77" s="38"/>
      <c r="SV77" s="38"/>
      <c r="SW77" s="38"/>
      <c r="SX77" s="38"/>
      <c r="SY77" s="38"/>
      <c r="SZ77" s="38"/>
      <c r="TA77" s="38"/>
      <c r="TB77" s="38"/>
      <c r="TC77" s="38"/>
      <c r="TD77" s="38"/>
      <c r="TE77" s="38"/>
      <c r="TF77" s="38"/>
      <c r="TG77" s="38"/>
      <c r="TH77" s="38"/>
      <c r="TI77" s="38"/>
      <c r="TJ77" s="38"/>
      <c r="TK77" s="38"/>
      <c r="TL77" s="38"/>
      <c r="TM77" s="38"/>
    </row>
    <row r="78" spans="2:533" s="39" customFormat="1" ht="37.5" x14ac:dyDescent="0.25">
      <c r="B78" s="50"/>
      <c r="C78" s="41"/>
      <c r="D78" s="56" t="s">
        <v>160</v>
      </c>
      <c r="E78" s="87" t="s">
        <v>131</v>
      </c>
      <c r="F78" s="53">
        <v>1</v>
      </c>
      <c r="G78" s="59"/>
      <c r="H78" s="46"/>
      <c r="I78" s="47">
        <f t="shared" si="9"/>
        <v>0</v>
      </c>
      <c r="J78" s="48">
        <v>2031</v>
      </c>
      <c r="K78" s="47" t="s">
        <v>30</v>
      </c>
      <c r="L78" s="49"/>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c r="DA78" s="38"/>
      <c r="DB78" s="38"/>
      <c r="DC78" s="38"/>
      <c r="DD78" s="38"/>
      <c r="DE78" s="38"/>
      <c r="DF78" s="38"/>
      <c r="DG78" s="38"/>
      <c r="DH78" s="38"/>
      <c r="DI78" s="38"/>
      <c r="DJ78" s="38"/>
      <c r="DK78" s="38"/>
      <c r="DL78" s="38"/>
      <c r="DM78" s="38"/>
      <c r="DN78" s="38"/>
      <c r="DO78" s="38"/>
      <c r="DP78" s="38"/>
      <c r="DQ78" s="38"/>
      <c r="DR78" s="38"/>
      <c r="DS78" s="38"/>
      <c r="DT78" s="38"/>
      <c r="DU78" s="38"/>
      <c r="DV78" s="38"/>
      <c r="DW78" s="38"/>
      <c r="DX78" s="38"/>
      <c r="DY78" s="38"/>
      <c r="DZ78" s="38"/>
      <c r="EA78" s="38"/>
      <c r="EB78" s="38"/>
      <c r="EC78" s="38"/>
      <c r="ED78" s="38"/>
      <c r="EE78" s="38"/>
      <c r="EF78" s="38"/>
      <c r="EG78" s="38"/>
      <c r="EH78" s="38"/>
      <c r="EI78" s="38"/>
      <c r="EJ78" s="38"/>
      <c r="EK78" s="38"/>
      <c r="EL78" s="38"/>
      <c r="EM78" s="38"/>
      <c r="EN78" s="38"/>
      <c r="EO78" s="38"/>
      <c r="EP78" s="38"/>
      <c r="EQ78" s="38"/>
      <c r="ER78" s="38"/>
      <c r="ES78" s="38"/>
      <c r="ET78" s="38"/>
      <c r="EU78" s="38"/>
      <c r="EV78" s="38"/>
      <c r="EW78" s="38"/>
      <c r="EX78" s="38"/>
      <c r="EY78" s="38"/>
      <c r="EZ78" s="38"/>
      <c r="FA78" s="38"/>
      <c r="FB78" s="38"/>
      <c r="FC78" s="38"/>
      <c r="FD78" s="38"/>
      <c r="FE78" s="38"/>
      <c r="FF78" s="38"/>
      <c r="FG78" s="38"/>
      <c r="FH78" s="38"/>
      <c r="FI78" s="38"/>
      <c r="FJ78" s="38"/>
      <c r="FK78" s="38"/>
      <c r="FL78" s="38"/>
      <c r="FM78" s="38"/>
      <c r="FN78" s="38"/>
      <c r="FO78" s="38"/>
      <c r="FP78" s="38"/>
      <c r="FQ78" s="38"/>
      <c r="FR78" s="38"/>
      <c r="FS78" s="38"/>
      <c r="FT78" s="38"/>
      <c r="FU78" s="38"/>
      <c r="FV78" s="38"/>
      <c r="FW78" s="38"/>
      <c r="FX78" s="38"/>
      <c r="FY78" s="38"/>
      <c r="FZ78" s="38"/>
      <c r="GA78" s="38"/>
      <c r="GB78" s="38"/>
      <c r="GC78" s="38"/>
      <c r="GD78" s="38"/>
      <c r="GE78" s="38"/>
      <c r="GF78" s="38"/>
      <c r="GG78" s="38"/>
      <c r="GH78" s="38"/>
      <c r="GI78" s="38"/>
      <c r="GJ78" s="38"/>
      <c r="GK78" s="38"/>
      <c r="GL78" s="38"/>
      <c r="GM78" s="38"/>
      <c r="GN78" s="38"/>
      <c r="GO78" s="38"/>
      <c r="GP78" s="38"/>
      <c r="GQ78" s="38"/>
      <c r="GR78" s="38"/>
      <c r="GS78" s="38"/>
      <c r="GT78" s="38"/>
      <c r="GU78" s="38"/>
      <c r="GV78" s="38"/>
      <c r="GW78" s="38"/>
      <c r="GX78" s="38"/>
      <c r="GY78" s="38"/>
      <c r="GZ78" s="38"/>
      <c r="HA78" s="38"/>
      <c r="HB78" s="38"/>
      <c r="HC78" s="38"/>
      <c r="HD78" s="38"/>
      <c r="HE78" s="38"/>
      <c r="HF78" s="38"/>
      <c r="HG78" s="38"/>
      <c r="HH78" s="38"/>
      <c r="HI78" s="38"/>
      <c r="HJ78" s="38"/>
      <c r="HK78" s="38"/>
      <c r="HL78" s="38"/>
      <c r="HM78" s="38"/>
      <c r="HN78" s="38"/>
      <c r="HO78" s="38"/>
      <c r="HP78" s="38"/>
      <c r="HQ78" s="38"/>
      <c r="HR78" s="38"/>
      <c r="HS78" s="38"/>
      <c r="HT78" s="38"/>
      <c r="HU78" s="38"/>
      <c r="HV78" s="38"/>
      <c r="HW78" s="38"/>
      <c r="HX78" s="38"/>
      <c r="HY78" s="38"/>
      <c r="HZ78" s="38"/>
      <c r="IA78" s="38"/>
      <c r="IB78" s="38"/>
      <c r="IC78" s="38"/>
      <c r="ID78" s="38"/>
      <c r="IE78" s="38"/>
      <c r="IF78" s="38"/>
      <c r="IG78" s="38"/>
      <c r="IH78" s="38"/>
      <c r="II78" s="38"/>
      <c r="IJ78" s="38"/>
      <c r="IK78" s="38"/>
      <c r="IL78" s="38"/>
      <c r="IM78" s="38"/>
      <c r="IN78" s="38"/>
      <c r="IO78" s="38"/>
      <c r="IP78" s="38"/>
      <c r="IQ78" s="38"/>
      <c r="IR78" s="38"/>
      <c r="IS78" s="38"/>
      <c r="IT78" s="38"/>
      <c r="IU78" s="38"/>
      <c r="IV78" s="38"/>
      <c r="IW78" s="38"/>
      <c r="IX78" s="38"/>
      <c r="IY78" s="38"/>
      <c r="IZ78" s="38"/>
      <c r="JA78" s="38"/>
      <c r="JB78" s="38"/>
      <c r="JC78" s="38"/>
      <c r="JD78" s="38"/>
      <c r="JE78" s="38"/>
      <c r="JF78" s="38"/>
      <c r="JG78" s="38"/>
      <c r="JH78" s="38"/>
      <c r="JI78" s="38"/>
      <c r="JJ78" s="38"/>
      <c r="JK78" s="38"/>
      <c r="JL78" s="38"/>
      <c r="JM78" s="38"/>
      <c r="JN78" s="38"/>
      <c r="JO78" s="38"/>
      <c r="JP78" s="38"/>
      <c r="JQ78" s="38"/>
      <c r="JR78" s="38"/>
      <c r="JS78" s="38"/>
      <c r="JT78" s="38"/>
      <c r="JU78" s="38"/>
      <c r="JV78" s="38"/>
      <c r="JW78" s="38"/>
      <c r="JX78" s="38"/>
      <c r="JY78" s="38"/>
      <c r="JZ78" s="38"/>
      <c r="KA78" s="38"/>
      <c r="KB78" s="38"/>
      <c r="KC78" s="38"/>
      <c r="KD78" s="38"/>
      <c r="KE78" s="38"/>
      <c r="KF78" s="38"/>
      <c r="KG78" s="38"/>
      <c r="KH78" s="38"/>
      <c r="KI78" s="38"/>
      <c r="KJ78" s="38"/>
      <c r="KK78" s="38"/>
      <c r="KL78" s="38"/>
      <c r="KM78" s="38"/>
      <c r="KN78" s="38"/>
      <c r="KO78" s="38"/>
      <c r="KP78" s="38"/>
      <c r="KQ78" s="38"/>
      <c r="KR78" s="38"/>
      <c r="KS78" s="38"/>
      <c r="KT78" s="38"/>
      <c r="KU78" s="38"/>
      <c r="KV78" s="38"/>
      <c r="KW78" s="38"/>
      <c r="KX78" s="38"/>
      <c r="KY78" s="38"/>
      <c r="KZ78" s="38"/>
      <c r="LA78" s="38"/>
      <c r="LB78" s="38"/>
      <c r="LC78" s="38"/>
      <c r="LD78" s="38"/>
      <c r="LE78" s="38"/>
      <c r="LF78" s="38"/>
      <c r="LG78" s="38"/>
      <c r="LH78" s="38"/>
      <c r="LI78" s="38"/>
      <c r="LJ78" s="38"/>
      <c r="LK78" s="38"/>
      <c r="LL78" s="38"/>
      <c r="LM78" s="38"/>
      <c r="LN78" s="38"/>
      <c r="LO78" s="38"/>
      <c r="LP78" s="38"/>
      <c r="LQ78" s="38"/>
      <c r="LR78" s="38"/>
      <c r="LS78" s="38"/>
      <c r="LT78" s="38"/>
      <c r="LU78" s="38"/>
      <c r="LV78" s="38"/>
      <c r="LW78" s="38"/>
      <c r="LX78" s="38"/>
      <c r="LY78" s="38"/>
      <c r="LZ78" s="38"/>
      <c r="MA78" s="38"/>
      <c r="MB78" s="38"/>
      <c r="MC78" s="38"/>
      <c r="MD78" s="38"/>
      <c r="ME78" s="38"/>
      <c r="MF78" s="38"/>
      <c r="MG78" s="38"/>
      <c r="MH78" s="38"/>
      <c r="MI78" s="38"/>
      <c r="MJ78" s="38"/>
      <c r="MK78" s="38"/>
      <c r="ML78" s="38"/>
      <c r="MM78" s="38"/>
      <c r="MN78" s="38"/>
      <c r="MO78" s="38"/>
      <c r="MP78" s="38"/>
      <c r="MQ78" s="38"/>
      <c r="MR78" s="38"/>
      <c r="MS78" s="38"/>
      <c r="MT78" s="38"/>
      <c r="MU78" s="38"/>
      <c r="MV78" s="38"/>
      <c r="MW78" s="38"/>
      <c r="MX78" s="38"/>
      <c r="MY78" s="38"/>
      <c r="MZ78" s="38"/>
      <c r="NA78" s="38"/>
      <c r="NB78" s="38"/>
      <c r="NC78" s="38"/>
      <c r="ND78" s="38"/>
      <c r="NE78" s="38"/>
      <c r="NF78" s="38"/>
      <c r="NG78" s="38"/>
      <c r="NH78" s="38"/>
      <c r="NI78" s="38"/>
      <c r="NJ78" s="38"/>
      <c r="NK78" s="38"/>
      <c r="NL78" s="38"/>
      <c r="NM78" s="38"/>
      <c r="NN78" s="38"/>
      <c r="NO78" s="38"/>
      <c r="NP78" s="38"/>
      <c r="NQ78" s="38"/>
      <c r="NR78" s="38"/>
      <c r="NS78" s="38"/>
      <c r="NT78" s="38"/>
      <c r="NU78" s="38"/>
      <c r="NV78" s="38"/>
      <c r="NW78" s="38"/>
      <c r="NX78" s="38"/>
      <c r="NY78" s="38"/>
      <c r="NZ78" s="38"/>
      <c r="OA78" s="38"/>
      <c r="OB78" s="38"/>
      <c r="OC78" s="38"/>
      <c r="OD78" s="38"/>
      <c r="OE78" s="38"/>
      <c r="OF78" s="38"/>
      <c r="OG78" s="38"/>
      <c r="OH78" s="38"/>
      <c r="OI78" s="38"/>
      <c r="OJ78" s="38"/>
      <c r="OK78" s="38"/>
      <c r="OL78" s="38"/>
      <c r="OM78" s="38"/>
      <c r="ON78" s="38"/>
      <c r="OO78" s="38"/>
      <c r="OP78" s="38"/>
      <c r="OQ78" s="38"/>
      <c r="OR78" s="38"/>
      <c r="OS78" s="38"/>
      <c r="OT78" s="38"/>
      <c r="OU78" s="38"/>
      <c r="OV78" s="38"/>
      <c r="OW78" s="38"/>
      <c r="OX78" s="38"/>
      <c r="OY78" s="38"/>
      <c r="OZ78" s="38"/>
      <c r="PA78" s="38"/>
      <c r="PB78" s="38"/>
      <c r="PC78" s="38"/>
      <c r="PD78" s="38"/>
      <c r="PE78" s="38"/>
      <c r="PF78" s="38"/>
      <c r="PG78" s="38"/>
      <c r="PH78" s="38"/>
      <c r="PI78" s="38"/>
      <c r="PJ78" s="38"/>
      <c r="PK78" s="38"/>
      <c r="PL78" s="38"/>
      <c r="PM78" s="38"/>
      <c r="PN78" s="38"/>
      <c r="PO78" s="38"/>
      <c r="PP78" s="38"/>
      <c r="PQ78" s="38"/>
      <c r="PR78" s="38"/>
      <c r="PS78" s="38"/>
      <c r="PT78" s="38"/>
      <c r="PU78" s="38"/>
      <c r="PV78" s="38"/>
      <c r="PW78" s="38"/>
      <c r="PX78" s="38"/>
      <c r="PY78" s="38"/>
      <c r="PZ78" s="38"/>
      <c r="QA78" s="38"/>
      <c r="QB78" s="38"/>
      <c r="QC78" s="38"/>
      <c r="QD78" s="38"/>
      <c r="QE78" s="38"/>
      <c r="QF78" s="38"/>
      <c r="QG78" s="38"/>
      <c r="QH78" s="38"/>
      <c r="QI78" s="38"/>
      <c r="QJ78" s="38"/>
      <c r="QK78" s="38"/>
      <c r="QL78" s="38"/>
      <c r="QM78" s="38"/>
      <c r="QN78" s="38"/>
      <c r="QO78" s="38"/>
      <c r="QP78" s="38"/>
      <c r="QQ78" s="38"/>
      <c r="QR78" s="38"/>
      <c r="QS78" s="38"/>
      <c r="QT78" s="38"/>
      <c r="QU78" s="38"/>
      <c r="QV78" s="38"/>
      <c r="QW78" s="38"/>
      <c r="QX78" s="38"/>
      <c r="QY78" s="38"/>
      <c r="QZ78" s="38"/>
      <c r="RA78" s="38"/>
      <c r="RB78" s="38"/>
      <c r="RC78" s="38"/>
      <c r="RD78" s="38"/>
      <c r="RE78" s="38"/>
      <c r="RF78" s="38"/>
      <c r="RG78" s="38"/>
      <c r="RH78" s="38"/>
      <c r="RI78" s="38"/>
      <c r="RJ78" s="38"/>
      <c r="RK78" s="38"/>
      <c r="RL78" s="38"/>
      <c r="RM78" s="38"/>
      <c r="RN78" s="38"/>
      <c r="RO78" s="38"/>
      <c r="RP78" s="38"/>
      <c r="RQ78" s="38"/>
      <c r="RR78" s="38"/>
      <c r="RS78" s="38"/>
      <c r="RT78" s="38"/>
      <c r="RU78" s="38"/>
      <c r="RV78" s="38"/>
      <c r="RW78" s="38"/>
      <c r="RX78" s="38"/>
      <c r="RY78" s="38"/>
      <c r="RZ78" s="38"/>
      <c r="SA78" s="38"/>
      <c r="SB78" s="38"/>
      <c r="SC78" s="38"/>
      <c r="SD78" s="38"/>
      <c r="SE78" s="38"/>
      <c r="SF78" s="38"/>
      <c r="SG78" s="38"/>
      <c r="SH78" s="38"/>
      <c r="SI78" s="38"/>
      <c r="SJ78" s="38"/>
      <c r="SK78" s="38"/>
      <c r="SL78" s="38"/>
      <c r="SM78" s="38"/>
      <c r="SN78" s="38"/>
      <c r="SO78" s="38"/>
      <c r="SP78" s="38"/>
      <c r="SQ78" s="38"/>
      <c r="SR78" s="38"/>
      <c r="SS78" s="38"/>
      <c r="ST78" s="38"/>
      <c r="SU78" s="38"/>
      <c r="SV78" s="38"/>
      <c r="SW78" s="38"/>
      <c r="SX78" s="38"/>
      <c r="SY78" s="38"/>
      <c r="SZ78" s="38"/>
      <c r="TA78" s="38"/>
      <c r="TB78" s="38"/>
      <c r="TC78" s="38"/>
      <c r="TD78" s="38"/>
      <c r="TE78" s="38"/>
      <c r="TF78" s="38"/>
      <c r="TG78" s="38"/>
      <c r="TH78" s="38"/>
      <c r="TI78" s="38"/>
      <c r="TJ78" s="38"/>
      <c r="TK78" s="38"/>
      <c r="TL78" s="38"/>
      <c r="TM78" s="38"/>
    </row>
    <row r="79" spans="2:533" s="39" customFormat="1" ht="168.75" x14ac:dyDescent="0.25">
      <c r="B79" s="50"/>
      <c r="C79" s="41"/>
      <c r="D79" s="63" t="s">
        <v>161</v>
      </c>
      <c r="E79" s="87"/>
      <c r="F79" s="53"/>
      <c r="G79" s="59"/>
      <c r="H79" s="46"/>
      <c r="I79" s="47"/>
      <c r="J79" s="48"/>
      <c r="K79" s="47"/>
      <c r="L79" s="49"/>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c r="DA79" s="38"/>
      <c r="DB79" s="38"/>
      <c r="DC79" s="38"/>
      <c r="DD79" s="38"/>
      <c r="DE79" s="38"/>
      <c r="DF79" s="38"/>
      <c r="DG79" s="38"/>
      <c r="DH79" s="38"/>
      <c r="DI79" s="38"/>
      <c r="DJ79" s="38"/>
      <c r="DK79" s="38"/>
      <c r="DL79" s="38"/>
      <c r="DM79" s="38"/>
      <c r="DN79" s="38"/>
      <c r="DO79" s="38"/>
      <c r="DP79" s="38"/>
      <c r="DQ79" s="38"/>
      <c r="DR79" s="38"/>
      <c r="DS79" s="38"/>
      <c r="DT79" s="38"/>
      <c r="DU79" s="38"/>
      <c r="DV79" s="38"/>
      <c r="DW79" s="38"/>
      <c r="DX79" s="38"/>
      <c r="DY79" s="38"/>
      <c r="DZ79" s="38"/>
      <c r="EA79" s="38"/>
      <c r="EB79" s="38"/>
      <c r="EC79" s="38"/>
      <c r="ED79" s="38"/>
      <c r="EE79" s="38"/>
      <c r="EF79" s="38"/>
      <c r="EG79" s="38"/>
      <c r="EH79" s="38"/>
      <c r="EI79" s="38"/>
      <c r="EJ79" s="38"/>
      <c r="EK79" s="38"/>
      <c r="EL79" s="38"/>
      <c r="EM79" s="38"/>
      <c r="EN79" s="38"/>
      <c r="EO79" s="38"/>
      <c r="EP79" s="38"/>
      <c r="EQ79" s="38"/>
      <c r="ER79" s="38"/>
      <c r="ES79" s="38"/>
      <c r="ET79" s="38"/>
      <c r="EU79" s="38"/>
      <c r="EV79" s="38"/>
      <c r="EW79" s="38"/>
      <c r="EX79" s="38"/>
      <c r="EY79" s="38"/>
      <c r="EZ79" s="38"/>
      <c r="FA79" s="38"/>
      <c r="FB79" s="38"/>
      <c r="FC79" s="38"/>
      <c r="FD79" s="38"/>
      <c r="FE79" s="38"/>
      <c r="FF79" s="38"/>
      <c r="FG79" s="38"/>
      <c r="FH79" s="38"/>
      <c r="FI79" s="38"/>
      <c r="FJ79" s="38"/>
      <c r="FK79" s="38"/>
      <c r="FL79" s="38"/>
      <c r="FM79" s="38"/>
      <c r="FN79" s="38"/>
      <c r="FO79" s="38"/>
      <c r="FP79" s="38"/>
      <c r="FQ79" s="38"/>
      <c r="FR79" s="38"/>
      <c r="FS79" s="38"/>
      <c r="FT79" s="38"/>
      <c r="FU79" s="38"/>
      <c r="FV79" s="38"/>
      <c r="FW79" s="38"/>
      <c r="FX79" s="38"/>
      <c r="FY79" s="38"/>
      <c r="FZ79" s="38"/>
      <c r="GA79" s="38"/>
      <c r="GB79" s="38"/>
      <c r="GC79" s="38"/>
      <c r="GD79" s="38"/>
      <c r="GE79" s="38"/>
      <c r="GF79" s="38"/>
      <c r="GG79" s="38"/>
      <c r="GH79" s="38"/>
      <c r="GI79" s="38"/>
      <c r="GJ79" s="38"/>
      <c r="GK79" s="38"/>
      <c r="GL79" s="38"/>
      <c r="GM79" s="38"/>
      <c r="GN79" s="38"/>
      <c r="GO79" s="38"/>
      <c r="GP79" s="38"/>
      <c r="GQ79" s="38"/>
      <c r="GR79" s="38"/>
      <c r="GS79" s="38"/>
      <c r="GT79" s="38"/>
      <c r="GU79" s="38"/>
      <c r="GV79" s="38"/>
      <c r="GW79" s="38"/>
      <c r="GX79" s="38"/>
      <c r="GY79" s="38"/>
      <c r="GZ79" s="38"/>
      <c r="HA79" s="38"/>
      <c r="HB79" s="38"/>
      <c r="HC79" s="38"/>
      <c r="HD79" s="38"/>
      <c r="HE79" s="38"/>
      <c r="HF79" s="38"/>
      <c r="HG79" s="38"/>
      <c r="HH79" s="38"/>
      <c r="HI79" s="38"/>
      <c r="HJ79" s="38"/>
      <c r="HK79" s="38"/>
      <c r="HL79" s="38"/>
      <c r="HM79" s="38"/>
      <c r="HN79" s="38"/>
      <c r="HO79" s="38"/>
      <c r="HP79" s="38"/>
      <c r="HQ79" s="38"/>
      <c r="HR79" s="38"/>
      <c r="HS79" s="38"/>
      <c r="HT79" s="38"/>
      <c r="HU79" s="38"/>
      <c r="HV79" s="38"/>
      <c r="HW79" s="38"/>
      <c r="HX79" s="38"/>
      <c r="HY79" s="38"/>
      <c r="HZ79" s="38"/>
      <c r="IA79" s="38"/>
      <c r="IB79" s="38"/>
      <c r="IC79" s="38"/>
      <c r="ID79" s="38"/>
      <c r="IE79" s="38"/>
      <c r="IF79" s="38"/>
      <c r="IG79" s="38"/>
      <c r="IH79" s="38"/>
      <c r="II79" s="38"/>
      <c r="IJ79" s="38"/>
      <c r="IK79" s="38"/>
      <c r="IL79" s="38"/>
      <c r="IM79" s="38"/>
      <c r="IN79" s="38"/>
      <c r="IO79" s="38"/>
      <c r="IP79" s="38"/>
      <c r="IQ79" s="38"/>
      <c r="IR79" s="38"/>
      <c r="IS79" s="38"/>
      <c r="IT79" s="38"/>
      <c r="IU79" s="38"/>
      <c r="IV79" s="38"/>
      <c r="IW79" s="38"/>
      <c r="IX79" s="38"/>
      <c r="IY79" s="38"/>
      <c r="IZ79" s="38"/>
      <c r="JA79" s="38"/>
      <c r="JB79" s="38"/>
      <c r="JC79" s="38"/>
      <c r="JD79" s="38"/>
      <c r="JE79" s="38"/>
      <c r="JF79" s="38"/>
      <c r="JG79" s="38"/>
      <c r="JH79" s="38"/>
      <c r="JI79" s="38"/>
      <c r="JJ79" s="38"/>
      <c r="JK79" s="38"/>
      <c r="JL79" s="38"/>
      <c r="JM79" s="38"/>
      <c r="JN79" s="38"/>
      <c r="JO79" s="38"/>
      <c r="JP79" s="38"/>
      <c r="JQ79" s="38"/>
      <c r="JR79" s="38"/>
      <c r="JS79" s="38"/>
      <c r="JT79" s="38"/>
      <c r="JU79" s="38"/>
      <c r="JV79" s="38"/>
      <c r="JW79" s="38"/>
      <c r="JX79" s="38"/>
      <c r="JY79" s="38"/>
      <c r="JZ79" s="38"/>
      <c r="KA79" s="38"/>
      <c r="KB79" s="38"/>
      <c r="KC79" s="38"/>
      <c r="KD79" s="38"/>
      <c r="KE79" s="38"/>
      <c r="KF79" s="38"/>
      <c r="KG79" s="38"/>
      <c r="KH79" s="38"/>
      <c r="KI79" s="38"/>
      <c r="KJ79" s="38"/>
      <c r="KK79" s="38"/>
      <c r="KL79" s="38"/>
      <c r="KM79" s="38"/>
      <c r="KN79" s="38"/>
      <c r="KO79" s="38"/>
      <c r="KP79" s="38"/>
      <c r="KQ79" s="38"/>
      <c r="KR79" s="38"/>
      <c r="KS79" s="38"/>
      <c r="KT79" s="38"/>
      <c r="KU79" s="38"/>
      <c r="KV79" s="38"/>
      <c r="KW79" s="38"/>
      <c r="KX79" s="38"/>
      <c r="KY79" s="38"/>
      <c r="KZ79" s="38"/>
      <c r="LA79" s="38"/>
      <c r="LB79" s="38"/>
      <c r="LC79" s="38"/>
      <c r="LD79" s="38"/>
      <c r="LE79" s="38"/>
      <c r="LF79" s="38"/>
      <c r="LG79" s="38"/>
      <c r="LH79" s="38"/>
      <c r="LI79" s="38"/>
      <c r="LJ79" s="38"/>
      <c r="LK79" s="38"/>
      <c r="LL79" s="38"/>
      <c r="LM79" s="38"/>
      <c r="LN79" s="38"/>
      <c r="LO79" s="38"/>
      <c r="LP79" s="38"/>
      <c r="LQ79" s="38"/>
      <c r="LR79" s="38"/>
      <c r="LS79" s="38"/>
      <c r="LT79" s="38"/>
      <c r="LU79" s="38"/>
      <c r="LV79" s="38"/>
      <c r="LW79" s="38"/>
      <c r="LX79" s="38"/>
      <c r="LY79" s="38"/>
      <c r="LZ79" s="38"/>
      <c r="MA79" s="38"/>
      <c r="MB79" s="38"/>
      <c r="MC79" s="38"/>
      <c r="MD79" s="38"/>
      <c r="ME79" s="38"/>
      <c r="MF79" s="38"/>
      <c r="MG79" s="38"/>
      <c r="MH79" s="38"/>
      <c r="MI79" s="38"/>
      <c r="MJ79" s="38"/>
      <c r="MK79" s="38"/>
      <c r="ML79" s="38"/>
      <c r="MM79" s="38"/>
      <c r="MN79" s="38"/>
      <c r="MO79" s="38"/>
      <c r="MP79" s="38"/>
      <c r="MQ79" s="38"/>
      <c r="MR79" s="38"/>
      <c r="MS79" s="38"/>
      <c r="MT79" s="38"/>
      <c r="MU79" s="38"/>
      <c r="MV79" s="38"/>
      <c r="MW79" s="38"/>
      <c r="MX79" s="38"/>
      <c r="MY79" s="38"/>
      <c r="MZ79" s="38"/>
      <c r="NA79" s="38"/>
      <c r="NB79" s="38"/>
      <c r="NC79" s="38"/>
      <c r="ND79" s="38"/>
      <c r="NE79" s="38"/>
      <c r="NF79" s="38"/>
      <c r="NG79" s="38"/>
      <c r="NH79" s="38"/>
      <c r="NI79" s="38"/>
      <c r="NJ79" s="38"/>
      <c r="NK79" s="38"/>
      <c r="NL79" s="38"/>
      <c r="NM79" s="38"/>
      <c r="NN79" s="38"/>
      <c r="NO79" s="38"/>
      <c r="NP79" s="38"/>
      <c r="NQ79" s="38"/>
      <c r="NR79" s="38"/>
      <c r="NS79" s="38"/>
      <c r="NT79" s="38"/>
      <c r="NU79" s="38"/>
      <c r="NV79" s="38"/>
      <c r="NW79" s="38"/>
      <c r="NX79" s="38"/>
      <c r="NY79" s="38"/>
      <c r="NZ79" s="38"/>
      <c r="OA79" s="38"/>
      <c r="OB79" s="38"/>
      <c r="OC79" s="38"/>
      <c r="OD79" s="38"/>
      <c r="OE79" s="38"/>
      <c r="OF79" s="38"/>
      <c r="OG79" s="38"/>
      <c r="OH79" s="38"/>
      <c r="OI79" s="38"/>
      <c r="OJ79" s="38"/>
      <c r="OK79" s="38"/>
      <c r="OL79" s="38"/>
      <c r="OM79" s="38"/>
      <c r="ON79" s="38"/>
      <c r="OO79" s="38"/>
      <c r="OP79" s="38"/>
      <c r="OQ79" s="38"/>
      <c r="OR79" s="38"/>
      <c r="OS79" s="38"/>
      <c r="OT79" s="38"/>
      <c r="OU79" s="38"/>
      <c r="OV79" s="38"/>
      <c r="OW79" s="38"/>
      <c r="OX79" s="38"/>
      <c r="OY79" s="38"/>
      <c r="OZ79" s="38"/>
      <c r="PA79" s="38"/>
      <c r="PB79" s="38"/>
      <c r="PC79" s="38"/>
      <c r="PD79" s="38"/>
      <c r="PE79" s="38"/>
      <c r="PF79" s="38"/>
      <c r="PG79" s="38"/>
      <c r="PH79" s="38"/>
      <c r="PI79" s="38"/>
      <c r="PJ79" s="38"/>
      <c r="PK79" s="38"/>
      <c r="PL79" s="38"/>
      <c r="PM79" s="38"/>
      <c r="PN79" s="38"/>
      <c r="PO79" s="38"/>
      <c r="PP79" s="38"/>
      <c r="PQ79" s="38"/>
      <c r="PR79" s="38"/>
      <c r="PS79" s="38"/>
      <c r="PT79" s="38"/>
      <c r="PU79" s="38"/>
      <c r="PV79" s="38"/>
      <c r="PW79" s="38"/>
      <c r="PX79" s="38"/>
      <c r="PY79" s="38"/>
      <c r="PZ79" s="38"/>
      <c r="QA79" s="38"/>
      <c r="QB79" s="38"/>
      <c r="QC79" s="38"/>
      <c r="QD79" s="38"/>
      <c r="QE79" s="38"/>
      <c r="QF79" s="38"/>
      <c r="QG79" s="38"/>
      <c r="QH79" s="38"/>
      <c r="QI79" s="38"/>
      <c r="QJ79" s="38"/>
      <c r="QK79" s="38"/>
      <c r="QL79" s="38"/>
      <c r="QM79" s="38"/>
      <c r="QN79" s="38"/>
      <c r="QO79" s="38"/>
      <c r="QP79" s="38"/>
      <c r="QQ79" s="38"/>
      <c r="QR79" s="38"/>
      <c r="QS79" s="38"/>
      <c r="QT79" s="38"/>
      <c r="QU79" s="38"/>
      <c r="QV79" s="38"/>
      <c r="QW79" s="38"/>
      <c r="QX79" s="38"/>
      <c r="QY79" s="38"/>
      <c r="QZ79" s="38"/>
      <c r="RA79" s="38"/>
      <c r="RB79" s="38"/>
      <c r="RC79" s="38"/>
      <c r="RD79" s="38"/>
      <c r="RE79" s="38"/>
      <c r="RF79" s="38"/>
      <c r="RG79" s="38"/>
      <c r="RH79" s="38"/>
      <c r="RI79" s="38"/>
      <c r="RJ79" s="38"/>
      <c r="RK79" s="38"/>
      <c r="RL79" s="38"/>
      <c r="RM79" s="38"/>
      <c r="RN79" s="38"/>
      <c r="RO79" s="38"/>
      <c r="RP79" s="38"/>
      <c r="RQ79" s="38"/>
      <c r="RR79" s="38"/>
      <c r="RS79" s="38"/>
      <c r="RT79" s="38"/>
      <c r="RU79" s="38"/>
      <c r="RV79" s="38"/>
      <c r="RW79" s="38"/>
      <c r="RX79" s="38"/>
      <c r="RY79" s="38"/>
      <c r="RZ79" s="38"/>
      <c r="SA79" s="38"/>
      <c r="SB79" s="38"/>
      <c r="SC79" s="38"/>
      <c r="SD79" s="38"/>
      <c r="SE79" s="38"/>
      <c r="SF79" s="38"/>
      <c r="SG79" s="38"/>
      <c r="SH79" s="38"/>
      <c r="SI79" s="38"/>
      <c r="SJ79" s="38"/>
      <c r="SK79" s="38"/>
      <c r="SL79" s="38"/>
      <c r="SM79" s="38"/>
      <c r="SN79" s="38"/>
      <c r="SO79" s="38"/>
      <c r="SP79" s="38"/>
      <c r="SQ79" s="38"/>
      <c r="SR79" s="38"/>
      <c r="SS79" s="38"/>
      <c r="ST79" s="38"/>
      <c r="SU79" s="38"/>
      <c r="SV79" s="38"/>
      <c r="SW79" s="38"/>
      <c r="SX79" s="38"/>
      <c r="SY79" s="38"/>
      <c r="SZ79" s="38"/>
      <c r="TA79" s="38"/>
      <c r="TB79" s="38"/>
      <c r="TC79" s="38"/>
      <c r="TD79" s="38"/>
      <c r="TE79" s="38"/>
      <c r="TF79" s="38"/>
      <c r="TG79" s="38"/>
      <c r="TH79" s="38"/>
      <c r="TI79" s="38"/>
      <c r="TJ79" s="38"/>
      <c r="TK79" s="38"/>
      <c r="TL79" s="38"/>
      <c r="TM79" s="38"/>
    </row>
    <row r="80" spans="2:533" s="39" customFormat="1" ht="18.75" x14ac:dyDescent="0.25">
      <c r="B80" s="50"/>
      <c r="C80" s="41"/>
      <c r="D80" s="56" t="s">
        <v>162</v>
      </c>
      <c r="E80" s="87" t="s">
        <v>131</v>
      </c>
      <c r="F80" s="53">
        <v>14</v>
      </c>
      <c r="G80" s="59"/>
      <c r="H80" s="46"/>
      <c r="I80" s="47">
        <f t="shared" si="9"/>
        <v>0</v>
      </c>
      <c r="J80" s="48">
        <v>2031</v>
      </c>
      <c r="K80" s="47" t="s">
        <v>30</v>
      </c>
      <c r="L80" s="49"/>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c r="DA80" s="38"/>
      <c r="DB80" s="38"/>
      <c r="DC80" s="38"/>
      <c r="DD80" s="38"/>
      <c r="DE80" s="38"/>
      <c r="DF80" s="38"/>
      <c r="DG80" s="38"/>
      <c r="DH80" s="38"/>
      <c r="DI80" s="38"/>
      <c r="DJ80" s="38"/>
      <c r="DK80" s="38"/>
      <c r="DL80" s="38"/>
      <c r="DM80" s="38"/>
      <c r="DN80" s="38"/>
      <c r="DO80" s="38"/>
      <c r="DP80" s="38"/>
      <c r="DQ80" s="38"/>
      <c r="DR80" s="38"/>
      <c r="DS80" s="38"/>
      <c r="DT80" s="38"/>
      <c r="DU80" s="38"/>
      <c r="DV80" s="38"/>
      <c r="DW80" s="38"/>
      <c r="DX80" s="38"/>
      <c r="DY80" s="38"/>
      <c r="DZ80" s="38"/>
      <c r="EA80" s="38"/>
      <c r="EB80" s="38"/>
      <c r="EC80" s="38"/>
      <c r="ED80" s="38"/>
      <c r="EE80" s="38"/>
      <c r="EF80" s="38"/>
      <c r="EG80" s="38"/>
      <c r="EH80" s="38"/>
      <c r="EI80" s="38"/>
      <c r="EJ80" s="38"/>
      <c r="EK80" s="38"/>
      <c r="EL80" s="38"/>
      <c r="EM80" s="38"/>
      <c r="EN80" s="38"/>
      <c r="EO80" s="38"/>
      <c r="EP80" s="38"/>
      <c r="EQ80" s="38"/>
      <c r="ER80" s="38"/>
      <c r="ES80" s="38"/>
      <c r="ET80" s="38"/>
      <c r="EU80" s="38"/>
      <c r="EV80" s="38"/>
      <c r="EW80" s="38"/>
      <c r="EX80" s="38"/>
      <c r="EY80" s="38"/>
      <c r="EZ80" s="38"/>
      <c r="FA80" s="38"/>
      <c r="FB80" s="38"/>
      <c r="FC80" s="38"/>
      <c r="FD80" s="38"/>
      <c r="FE80" s="38"/>
      <c r="FF80" s="38"/>
      <c r="FG80" s="38"/>
      <c r="FH80" s="38"/>
      <c r="FI80" s="38"/>
      <c r="FJ80" s="38"/>
      <c r="FK80" s="38"/>
      <c r="FL80" s="38"/>
      <c r="FM80" s="38"/>
      <c r="FN80" s="38"/>
      <c r="FO80" s="38"/>
      <c r="FP80" s="38"/>
      <c r="FQ80" s="38"/>
      <c r="FR80" s="38"/>
      <c r="FS80" s="38"/>
      <c r="FT80" s="38"/>
      <c r="FU80" s="38"/>
      <c r="FV80" s="38"/>
      <c r="FW80" s="38"/>
      <c r="FX80" s="38"/>
      <c r="FY80" s="38"/>
      <c r="FZ80" s="38"/>
      <c r="GA80" s="38"/>
      <c r="GB80" s="38"/>
      <c r="GC80" s="38"/>
      <c r="GD80" s="38"/>
      <c r="GE80" s="38"/>
      <c r="GF80" s="38"/>
      <c r="GG80" s="38"/>
      <c r="GH80" s="38"/>
      <c r="GI80" s="38"/>
      <c r="GJ80" s="38"/>
      <c r="GK80" s="38"/>
      <c r="GL80" s="38"/>
      <c r="GM80" s="38"/>
      <c r="GN80" s="38"/>
      <c r="GO80" s="38"/>
      <c r="GP80" s="38"/>
      <c r="GQ80" s="38"/>
      <c r="GR80" s="38"/>
      <c r="GS80" s="38"/>
      <c r="GT80" s="38"/>
      <c r="GU80" s="38"/>
      <c r="GV80" s="38"/>
      <c r="GW80" s="38"/>
      <c r="GX80" s="38"/>
      <c r="GY80" s="38"/>
      <c r="GZ80" s="38"/>
      <c r="HA80" s="38"/>
      <c r="HB80" s="38"/>
      <c r="HC80" s="38"/>
      <c r="HD80" s="38"/>
      <c r="HE80" s="38"/>
      <c r="HF80" s="38"/>
      <c r="HG80" s="38"/>
      <c r="HH80" s="38"/>
      <c r="HI80" s="38"/>
      <c r="HJ80" s="38"/>
      <c r="HK80" s="38"/>
      <c r="HL80" s="38"/>
      <c r="HM80" s="38"/>
      <c r="HN80" s="38"/>
      <c r="HO80" s="38"/>
      <c r="HP80" s="38"/>
      <c r="HQ80" s="38"/>
      <c r="HR80" s="38"/>
      <c r="HS80" s="38"/>
      <c r="HT80" s="38"/>
      <c r="HU80" s="38"/>
      <c r="HV80" s="38"/>
      <c r="HW80" s="38"/>
      <c r="HX80" s="38"/>
      <c r="HY80" s="38"/>
      <c r="HZ80" s="38"/>
      <c r="IA80" s="38"/>
      <c r="IB80" s="38"/>
      <c r="IC80" s="38"/>
      <c r="ID80" s="38"/>
      <c r="IE80" s="38"/>
      <c r="IF80" s="38"/>
      <c r="IG80" s="38"/>
      <c r="IH80" s="38"/>
      <c r="II80" s="38"/>
      <c r="IJ80" s="38"/>
      <c r="IK80" s="38"/>
      <c r="IL80" s="38"/>
      <c r="IM80" s="38"/>
      <c r="IN80" s="38"/>
      <c r="IO80" s="38"/>
      <c r="IP80" s="38"/>
      <c r="IQ80" s="38"/>
      <c r="IR80" s="38"/>
      <c r="IS80" s="38"/>
      <c r="IT80" s="38"/>
      <c r="IU80" s="38"/>
      <c r="IV80" s="38"/>
      <c r="IW80" s="38"/>
      <c r="IX80" s="38"/>
      <c r="IY80" s="38"/>
      <c r="IZ80" s="38"/>
      <c r="JA80" s="38"/>
      <c r="JB80" s="38"/>
      <c r="JC80" s="38"/>
      <c r="JD80" s="38"/>
      <c r="JE80" s="38"/>
      <c r="JF80" s="38"/>
      <c r="JG80" s="38"/>
      <c r="JH80" s="38"/>
      <c r="JI80" s="38"/>
      <c r="JJ80" s="38"/>
      <c r="JK80" s="38"/>
      <c r="JL80" s="38"/>
      <c r="JM80" s="38"/>
      <c r="JN80" s="38"/>
      <c r="JO80" s="38"/>
      <c r="JP80" s="38"/>
      <c r="JQ80" s="38"/>
      <c r="JR80" s="38"/>
      <c r="JS80" s="38"/>
      <c r="JT80" s="38"/>
      <c r="JU80" s="38"/>
      <c r="JV80" s="38"/>
      <c r="JW80" s="38"/>
      <c r="JX80" s="38"/>
      <c r="JY80" s="38"/>
      <c r="JZ80" s="38"/>
      <c r="KA80" s="38"/>
      <c r="KB80" s="38"/>
      <c r="KC80" s="38"/>
      <c r="KD80" s="38"/>
      <c r="KE80" s="38"/>
      <c r="KF80" s="38"/>
      <c r="KG80" s="38"/>
      <c r="KH80" s="38"/>
      <c r="KI80" s="38"/>
      <c r="KJ80" s="38"/>
      <c r="KK80" s="38"/>
      <c r="KL80" s="38"/>
      <c r="KM80" s="38"/>
      <c r="KN80" s="38"/>
      <c r="KO80" s="38"/>
      <c r="KP80" s="38"/>
      <c r="KQ80" s="38"/>
      <c r="KR80" s="38"/>
      <c r="KS80" s="38"/>
      <c r="KT80" s="38"/>
      <c r="KU80" s="38"/>
      <c r="KV80" s="38"/>
      <c r="KW80" s="38"/>
      <c r="KX80" s="38"/>
      <c r="KY80" s="38"/>
      <c r="KZ80" s="38"/>
      <c r="LA80" s="38"/>
      <c r="LB80" s="38"/>
      <c r="LC80" s="38"/>
      <c r="LD80" s="38"/>
      <c r="LE80" s="38"/>
      <c r="LF80" s="38"/>
      <c r="LG80" s="38"/>
      <c r="LH80" s="38"/>
      <c r="LI80" s="38"/>
      <c r="LJ80" s="38"/>
      <c r="LK80" s="38"/>
      <c r="LL80" s="38"/>
      <c r="LM80" s="38"/>
      <c r="LN80" s="38"/>
      <c r="LO80" s="38"/>
      <c r="LP80" s="38"/>
      <c r="LQ80" s="38"/>
      <c r="LR80" s="38"/>
      <c r="LS80" s="38"/>
      <c r="LT80" s="38"/>
      <c r="LU80" s="38"/>
      <c r="LV80" s="38"/>
      <c r="LW80" s="38"/>
      <c r="LX80" s="38"/>
      <c r="LY80" s="38"/>
      <c r="LZ80" s="38"/>
      <c r="MA80" s="38"/>
      <c r="MB80" s="38"/>
      <c r="MC80" s="38"/>
      <c r="MD80" s="38"/>
      <c r="ME80" s="38"/>
      <c r="MF80" s="38"/>
      <c r="MG80" s="38"/>
      <c r="MH80" s="38"/>
      <c r="MI80" s="38"/>
      <c r="MJ80" s="38"/>
      <c r="MK80" s="38"/>
      <c r="ML80" s="38"/>
      <c r="MM80" s="38"/>
      <c r="MN80" s="38"/>
      <c r="MO80" s="38"/>
      <c r="MP80" s="38"/>
      <c r="MQ80" s="38"/>
      <c r="MR80" s="38"/>
      <c r="MS80" s="38"/>
      <c r="MT80" s="38"/>
      <c r="MU80" s="38"/>
      <c r="MV80" s="38"/>
      <c r="MW80" s="38"/>
      <c r="MX80" s="38"/>
      <c r="MY80" s="38"/>
      <c r="MZ80" s="38"/>
      <c r="NA80" s="38"/>
      <c r="NB80" s="38"/>
      <c r="NC80" s="38"/>
      <c r="ND80" s="38"/>
      <c r="NE80" s="38"/>
      <c r="NF80" s="38"/>
      <c r="NG80" s="38"/>
      <c r="NH80" s="38"/>
      <c r="NI80" s="38"/>
      <c r="NJ80" s="38"/>
      <c r="NK80" s="38"/>
      <c r="NL80" s="38"/>
      <c r="NM80" s="38"/>
      <c r="NN80" s="38"/>
      <c r="NO80" s="38"/>
      <c r="NP80" s="38"/>
      <c r="NQ80" s="38"/>
      <c r="NR80" s="38"/>
      <c r="NS80" s="38"/>
      <c r="NT80" s="38"/>
      <c r="NU80" s="38"/>
      <c r="NV80" s="38"/>
      <c r="NW80" s="38"/>
      <c r="NX80" s="38"/>
      <c r="NY80" s="38"/>
      <c r="NZ80" s="38"/>
      <c r="OA80" s="38"/>
      <c r="OB80" s="38"/>
      <c r="OC80" s="38"/>
      <c r="OD80" s="38"/>
      <c r="OE80" s="38"/>
      <c r="OF80" s="38"/>
      <c r="OG80" s="38"/>
      <c r="OH80" s="38"/>
      <c r="OI80" s="38"/>
      <c r="OJ80" s="38"/>
      <c r="OK80" s="38"/>
      <c r="OL80" s="38"/>
      <c r="OM80" s="38"/>
      <c r="ON80" s="38"/>
      <c r="OO80" s="38"/>
      <c r="OP80" s="38"/>
      <c r="OQ80" s="38"/>
      <c r="OR80" s="38"/>
      <c r="OS80" s="38"/>
      <c r="OT80" s="38"/>
      <c r="OU80" s="38"/>
      <c r="OV80" s="38"/>
      <c r="OW80" s="38"/>
      <c r="OX80" s="38"/>
      <c r="OY80" s="38"/>
      <c r="OZ80" s="38"/>
      <c r="PA80" s="38"/>
      <c r="PB80" s="38"/>
      <c r="PC80" s="38"/>
      <c r="PD80" s="38"/>
      <c r="PE80" s="38"/>
      <c r="PF80" s="38"/>
      <c r="PG80" s="38"/>
      <c r="PH80" s="38"/>
      <c r="PI80" s="38"/>
      <c r="PJ80" s="38"/>
      <c r="PK80" s="38"/>
      <c r="PL80" s="38"/>
      <c r="PM80" s="38"/>
      <c r="PN80" s="38"/>
      <c r="PO80" s="38"/>
      <c r="PP80" s="38"/>
      <c r="PQ80" s="38"/>
      <c r="PR80" s="38"/>
      <c r="PS80" s="38"/>
      <c r="PT80" s="38"/>
      <c r="PU80" s="38"/>
      <c r="PV80" s="38"/>
      <c r="PW80" s="38"/>
      <c r="PX80" s="38"/>
      <c r="PY80" s="38"/>
      <c r="PZ80" s="38"/>
      <c r="QA80" s="38"/>
      <c r="QB80" s="38"/>
      <c r="QC80" s="38"/>
      <c r="QD80" s="38"/>
      <c r="QE80" s="38"/>
      <c r="QF80" s="38"/>
      <c r="QG80" s="38"/>
      <c r="QH80" s="38"/>
      <c r="QI80" s="38"/>
      <c r="QJ80" s="38"/>
      <c r="QK80" s="38"/>
      <c r="QL80" s="38"/>
      <c r="QM80" s="38"/>
      <c r="QN80" s="38"/>
      <c r="QO80" s="38"/>
      <c r="QP80" s="38"/>
      <c r="QQ80" s="38"/>
      <c r="QR80" s="38"/>
      <c r="QS80" s="38"/>
      <c r="QT80" s="38"/>
      <c r="QU80" s="38"/>
      <c r="QV80" s="38"/>
      <c r="QW80" s="38"/>
      <c r="QX80" s="38"/>
      <c r="QY80" s="38"/>
      <c r="QZ80" s="38"/>
      <c r="RA80" s="38"/>
      <c r="RB80" s="38"/>
      <c r="RC80" s="38"/>
      <c r="RD80" s="38"/>
      <c r="RE80" s="38"/>
      <c r="RF80" s="38"/>
      <c r="RG80" s="38"/>
      <c r="RH80" s="38"/>
      <c r="RI80" s="38"/>
      <c r="RJ80" s="38"/>
      <c r="RK80" s="38"/>
      <c r="RL80" s="38"/>
      <c r="RM80" s="38"/>
      <c r="RN80" s="38"/>
      <c r="RO80" s="38"/>
      <c r="RP80" s="38"/>
      <c r="RQ80" s="38"/>
      <c r="RR80" s="38"/>
      <c r="RS80" s="38"/>
      <c r="RT80" s="38"/>
      <c r="RU80" s="38"/>
      <c r="RV80" s="38"/>
      <c r="RW80" s="38"/>
      <c r="RX80" s="38"/>
      <c r="RY80" s="38"/>
      <c r="RZ80" s="38"/>
      <c r="SA80" s="38"/>
      <c r="SB80" s="38"/>
      <c r="SC80" s="38"/>
      <c r="SD80" s="38"/>
      <c r="SE80" s="38"/>
      <c r="SF80" s="38"/>
      <c r="SG80" s="38"/>
      <c r="SH80" s="38"/>
      <c r="SI80" s="38"/>
      <c r="SJ80" s="38"/>
      <c r="SK80" s="38"/>
      <c r="SL80" s="38"/>
      <c r="SM80" s="38"/>
      <c r="SN80" s="38"/>
      <c r="SO80" s="38"/>
      <c r="SP80" s="38"/>
      <c r="SQ80" s="38"/>
      <c r="SR80" s="38"/>
      <c r="SS80" s="38"/>
      <c r="ST80" s="38"/>
      <c r="SU80" s="38"/>
      <c r="SV80" s="38"/>
      <c r="SW80" s="38"/>
      <c r="SX80" s="38"/>
      <c r="SY80" s="38"/>
      <c r="SZ80" s="38"/>
      <c r="TA80" s="38"/>
      <c r="TB80" s="38"/>
      <c r="TC80" s="38"/>
      <c r="TD80" s="38"/>
      <c r="TE80" s="38"/>
      <c r="TF80" s="38"/>
      <c r="TG80" s="38"/>
      <c r="TH80" s="38"/>
      <c r="TI80" s="38"/>
      <c r="TJ80" s="38"/>
      <c r="TK80" s="38"/>
      <c r="TL80" s="38"/>
      <c r="TM80" s="38"/>
    </row>
    <row r="81" spans="1:533" s="68" customFormat="1" ht="93.75" x14ac:dyDescent="0.25">
      <c r="A81" s="39"/>
      <c r="B81" s="40" t="s">
        <v>163</v>
      </c>
      <c r="C81" s="41"/>
      <c r="D81" s="57" t="s">
        <v>164</v>
      </c>
      <c r="E81" s="86"/>
      <c r="F81" s="53"/>
      <c r="G81" s="54"/>
      <c r="H81" s="46"/>
      <c r="I81" s="55"/>
      <c r="J81" s="48"/>
      <c r="K81" s="47"/>
      <c r="L81" s="49"/>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c r="DA81" s="38"/>
      <c r="DB81" s="38"/>
      <c r="DC81" s="38"/>
      <c r="DD81" s="38"/>
      <c r="DE81" s="38"/>
      <c r="DF81" s="38"/>
      <c r="DG81" s="38"/>
      <c r="DH81" s="38"/>
      <c r="DI81" s="38"/>
      <c r="DJ81" s="38"/>
      <c r="DK81" s="38"/>
      <c r="DL81" s="38"/>
      <c r="DM81" s="38"/>
      <c r="DN81" s="38"/>
      <c r="DO81" s="38"/>
      <c r="DP81" s="38"/>
      <c r="DQ81" s="38"/>
      <c r="DR81" s="38"/>
      <c r="DS81" s="38"/>
      <c r="DT81" s="38"/>
      <c r="DU81" s="38"/>
      <c r="DV81" s="38"/>
      <c r="DW81" s="38"/>
      <c r="DX81" s="38"/>
      <c r="DY81" s="38"/>
      <c r="DZ81" s="38"/>
      <c r="EA81" s="38"/>
      <c r="EB81" s="38"/>
      <c r="EC81" s="38"/>
      <c r="ED81" s="38"/>
      <c r="EE81" s="38"/>
      <c r="EF81" s="38"/>
      <c r="EG81" s="38"/>
      <c r="EH81" s="38"/>
      <c r="EI81" s="38"/>
      <c r="EJ81" s="38"/>
      <c r="EK81" s="38"/>
      <c r="EL81" s="38"/>
      <c r="EM81" s="38"/>
      <c r="EN81" s="38"/>
      <c r="EO81" s="38"/>
      <c r="EP81" s="38"/>
      <c r="EQ81" s="38"/>
      <c r="ER81" s="38"/>
      <c r="ES81" s="38"/>
      <c r="ET81" s="38"/>
      <c r="EU81" s="38"/>
      <c r="EV81" s="38"/>
      <c r="EW81" s="38"/>
      <c r="EX81" s="38"/>
      <c r="EY81" s="38"/>
      <c r="EZ81" s="38"/>
      <c r="FA81" s="38"/>
      <c r="FB81" s="38"/>
      <c r="FC81" s="38"/>
      <c r="FD81" s="38"/>
      <c r="FE81" s="38"/>
      <c r="FF81" s="38"/>
      <c r="FG81" s="38"/>
      <c r="FH81" s="38"/>
      <c r="FI81" s="38"/>
      <c r="FJ81" s="38"/>
      <c r="FK81" s="38"/>
      <c r="FL81" s="38"/>
      <c r="FM81" s="38"/>
      <c r="FN81" s="38"/>
      <c r="FO81" s="38"/>
      <c r="FP81" s="38"/>
      <c r="FQ81" s="38"/>
      <c r="FR81" s="38"/>
      <c r="FS81" s="38"/>
      <c r="FT81" s="38"/>
      <c r="FU81" s="38"/>
      <c r="FV81" s="38"/>
      <c r="FW81" s="38"/>
      <c r="FX81" s="38"/>
      <c r="FY81" s="38"/>
      <c r="FZ81" s="38"/>
      <c r="GA81" s="38"/>
      <c r="GB81" s="38"/>
      <c r="GC81" s="38"/>
      <c r="GD81" s="38"/>
      <c r="GE81" s="38"/>
      <c r="GF81" s="38"/>
      <c r="GG81" s="38"/>
      <c r="GH81" s="38"/>
      <c r="GI81" s="38"/>
      <c r="GJ81" s="38"/>
      <c r="GK81" s="38"/>
      <c r="GL81" s="38"/>
      <c r="GM81" s="38"/>
      <c r="GN81" s="38"/>
      <c r="GO81" s="38"/>
      <c r="GP81" s="38"/>
      <c r="GQ81" s="38"/>
      <c r="GR81" s="38"/>
      <c r="GS81" s="38"/>
      <c r="GT81" s="38"/>
      <c r="GU81" s="38"/>
      <c r="GV81" s="38"/>
      <c r="GW81" s="38"/>
      <c r="GX81" s="38"/>
      <c r="GY81" s="38"/>
      <c r="GZ81" s="38"/>
      <c r="HA81" s="38"/>
      <c r="HB81" s="38"/>
      <c r="HC81" s="38"/>
      <c r="HD81" s="38"/>
      <c r="HE81" s="38"/>
      <c r="HF81" s="38"/>
      <c r="HG81" s="38"/>
      <c r="HH81" s="38"/>
      <c r="HI81" s="38"/>
      <c r="HJ81" s="38"/>
      <c r="HK81" s="38"/>
      <c r="HL81" s="38"/>
      <c r="HM81" s="38"/>
      <c r="HN81" s="38"/>
      <c r="HO81" s="38"/>
      <c r="HP81" s="38"/>
      <c r="HQ81" s="38"/>
      <c r="HR81" s="38"/>
      <c r="HS81" s="38"/>
      <c r="HT81" s="38"/>
      <c r="HU81" s="38"/>
      <c r="HV81" s="38"/>
      <c r="HW81" s="38"/>
      <c r="HX81" s="38"/>
      <c r="HY81" s="38"/>
      <c r="HZ81" s="38"/>
      <c r="IA81" s="38"/>
      <c r="IB81" s="38"/>
      <c r="IC81" s="38"/>
      <c r="ID81" s="38"/>
      <c r="IE81" s="38"/>
      <c r="IF81" s="38"/>
      <c r="IG81" s="38"/>
      <c r="IH81" s="38"/>
      <c r="II81" s="38"/>
      <c r="IJ81" s="38"/>
      <c r="IK81" s="38"/>
      <c r="IL81" s="38"/>
      <c r="IM81" s="38"/>
      <c r="IN81" s="38"/>
      <c r="IO81" s="38"/>
      <c r="IP81" s="38"/>
      <c r="IQ81" s="38"/>
      <c r="IR81" s="38"/>
      <c r="IS81" s="38"/>
      <c r="IT81" s="38"/>
      <c r="IU81" s="38"/>
      <c r="IV81" s="38"/>
      <c r="IW81" s="38"/>
      <c r="IX81" s="38"/>
      <c r="IY81" s="38"/>
      <c r="IZ81" s="38"/>
      <c r="JA81" s="38"/>
      <c r="JB81" s="38"/>
      <c r="JC81" s="38"/>
      <c r="JD81" s="38"/>
      <c r="JE81" s="38"/>
      <c r="JF81" s="38"/>
      <c r="JG81" s="38"/>
      <c r="JH81" s="38"/>
      <c r="JI81" s="38"/>
      <c r="JJ81" s="38"/>
      <c r="JK81" s="38"/>
      <c r="JL81" s="38"/>
      <c r="JM81" s="38"/>
      <c r="JN81" s="38"/>
      <c r="JO81" s="38"/>
      <c r="JP81" s="38"/>
      <c r="JQ81" s="38"/>
      <c r="JR81" s="38"/>
      <c r="JS81" s="38"/>
      <c r="JT81" s="38"/>
      <c r="JU81" s="38"/>
      <c r="JV81" s="38"/>
      <c r="JW81" s="38"/>
      <c r="JX81" s="38"/>
      <c r="JY81" s="38"/>
      <c r="JZ81" s="38"/>
      <c r="KA81" s="38"/>
      <c r="KB81" s="38"/>
      <c r="KC81" s="38"/>
      <c r="KD81" s="38"/>
      <c r="KE81" s="38"/>
      <c r="KF81" s="38"/>
      <c r="KG81" s="38"/>
      <c r="KH81" s="38"/>
      <c r="KI81" s="38"/>
      <c r="KJ81" s="38"/>
      <c r="KK81" s="38"/>
      <c r="KL81" s="38"/>
      <c r="KM81" s="38"/>
      <c r="KN81" s="38"/>
      <c r="KO81" s="38"/>
      <c r="KP81" s="38"/>
      <c r="KQ81" s="38"/>
      <c r="KR81" s="38"/>
      <c r="KS81" s="38"/>
      <c r="KT81" s="38"/>
      <c r="KU81" s="38"/>
      <c r="KV81" s="38"/>
      <c r="KW81" s="38"/>
      <c r="KX81" s="38"/>
      <c r="KY81" s="38"/>
      <c r="KZ81" s="38"/>
      <c r="LA81" s="38"/>
      <c r="LB81" s="38"/>
      <c r="LC81" s="38"/>
      <c r="LD81" s="38"/>
      <c r="LE81" s="38"/>
      <c r="LF81" s="38"/>
      <c r="LG81" s="38"/>
      <c r="LH81" s="38"/>
      <c r="LI81" s="38"/>
      <c r="LJ81" s="38"/>
      <c r="LK81" s="38"/>
      <c r="LL81" s="38"/>
      <c r="LM81" s="38"/>
      <c r="LN81" s="38"/>
      <c r="LO81" s="38"/>
      <c r="LP81" s="38"/>
      <c r="LQ81" s="38"/>
      <c r="LR81" s="38"/>
      <c r="LS81" s="38"/>
      <c r="LT81" s="38"/>
      <c r="LU81" s="38"/>
      <c r="LV81" s="38"/>
      <c r="LW81" s="38"/>
      <c r="LX81" s="38"/>
      <c r="LY81" s="38"/>
      <c r="LZ81" s="38"/>
      <c r="MA81" s="38"/>
      <c r="MB81" s="38"/>
      <c r="MC81" s="38"/>
      <c r="MD81" s="38"/>
      <c r="ME81" s="38"/>
      <c r="MF81" s="38"/>
      <c r="MG81" s="38"/>
      <c r="MH81" s="38"/>
      <c r="MI81" s="38"/>
      <c r="MJ81" s="38"/>
      <c r="MK81" s="38"/>
      <c r="ML81" s="38"/>
      <c r="MM81" s="38"/>
      <c r="MN81" s="38"/>
      <c r="MO81" s="38"/>
      <c r="MP81" s="38"/>
      <c r="MQ81" s="38"/>
      <c r="MR81" s="38"/>
      <c r="MS81" s="38"/>
      <c r="MT81" s="38"/>
      <c r="MU81" s="38"/>
      <c r="MV81" s="38"/>
      <c r="MW81" s="38"/>
      <c r="MX81" s="38"/>
      <c r="MY81" s="38"/>
      <c r="MZ81" s="38"/>
      <c r="NA81" s="38"/>
      <c r="NB81" s="38"/>
      <c r="NC81" s="38"/>
      <c r="ND81" s="38"/>
      <c r="NE81" s="38"/>
      <c r="NF81" s="38"/>
      <c r="NG81" s="38"/>
      <c r="NH81" s="38"/>
      <c r="NI81" s="38"/>
      <c r="NJ81" s="38"/>
      <c r="NK81" s="38"/>
      <c r="NL81" s="38"/>
      <c r="NM81" s="38"/>
      <c r="NN81" s="38"/>
      <c r="NO81" s="38"/>
      <c r="NP81" s="38"/>
      <c r="NQ81" s="38"/>
      <c r="NR81" s="38"/>
      <c r="NS81" s="38"/>
      <c r="NT81" s="38"/>
      <c r="NU81" s="38"/>
      <c r="NV81" s="38"/>
      <c r="NW81" s="38"/>
      <c r="NX81" s="38"/>
      <c r="NY81" s="38"/>
      <c r="NZ81" s="38"/>
      <c r="OA81" s="38"/>
      <c r="OB81" s="38"/>
      <c r="OC81" s="38"/>
      <c r="OD81" s="38"/>
      <c r="OE81" s="38"/>
      <c r="OF81" s="38"/>
      <c r="OG81" s="38"/>
      <c r="OH81" s="38"/>
      <c r="OI81" s="38"/>
      <c r="OJ81" s="38"/>
      <c r="OK81" s="38"/>
      <c r="OL81" s="38"/>
      <c r="OM81" s="38"/>
      <c r="ON81" s="38"/>
      <c r="OO81" s="38"/>
      <c r="OP81" s="38"/>
      <c r="OQ81" s="38"/>
      <c r="OR81" s="38"/>
      <c r="OS81" s="38"/>
      <c r="OT81" s="38"/>
      <c r="OU81" s="38"/>
      <c r="OV81" s="38"/>
      <c r="OW81" s="38"/>
      <c r="OX81" s="38"/>
      <c r="OY81" s="38"/>
      <c r="OZ81" s="38"/>
      <c r="PA81" s="38"/>
      <c r="PB81" s="38"/>
      <c r="PC81" s="38"/>
      <c r="PD81" s="38"/>
      <c r="PE81" s="38"/>
      <c r="PF81" s="38"/>
      <c r="PG81" s="38"/>
      <c r="PH81" s="38"/>
      <c r="PI81" s="38"/>
      <c r="PJ81" s="38"/>
      <c r="PK81" s="38"/>
      <c r="PL81" s="38"/>
      <c r="PM81" s="38"/>
      <c r="PN81" s="38"/>
      <c r="PO81" s="38"/>
      <c r="PP81" s="38"/>
      <c r="PQ81" s="38"/>
      <c r="PR81" s="38"/>
      <c r="PS81" s="38"/>
      <c r="PT81" s="38"/>
      <c r="PU81" s="38"/>
      <c r="PV81" s="38"/>
      <c r="PW81" s="38"/>
      <c r="PX81" s="38"/>
      <c r="PY81" s="38"/>
      <c r="PZ81" s="38"/>
      <c r="QA81" s="38"/>
      <c r="QB81" s="38"/>
      <c r="QC81" s="38"/>
      <c r="QD81" s="38"/>
      <c r="QE81" s="38"/>
      <c r="QF81" s="38"/>
      <c r="QG81" s="38"/>
      <c r="QH81" s="38"/>
      <c r="QI81" s="38"/>
      <c r="QJ81" s="38"/>
      <c r="QK81" s="38"/>
      <c r="QL81" s="38"/>
      <c r="QM81" s="38"/>
      <c r="QN81" s="38"/>
      <c r="QO81" s="38"/>
      <c r="QP81" s="38"/>
      <c r="QQ81" s="38"/>
      <c r="QR81" s="38"/>
      <c r="QS81" s="38"/>
      <c r="QT81" s="38"/>
      <c r="QU81" s="38"/>
      <c r="QV81" s="38"/>
      <c r="QW81" s="38"/>
      <c r="QX81" s="38"/>
      <c r="QY81" s="38"/>
      <c r="QZ81" s="38"/>
      <c r="RA81" s="38"/>
      <c r="RB81" s="38"/>
      <c r="RC81" s="38"/>
      <c r="RD81" s="38"/>
      <c r="RE81" s="38"/>
      <c r="RF81" s="38"/>
      <c r="RG81" s="38"/>
      <c r="RH81" s="38"/>
      <c r="RI81" s="38"/>
      <c r="RJ81" s="38"/>
      <c r="RK81" s="38"/>
      <c r="RL81" s="38"/>
      <c r="RM81" s="38"/>
      <c r="RN81" s="38"/>
      <c r="RO81" s="38"/>
      <c r="RP81" s="38"/>
      <c r="RQ81" s="38"/>
      <c r="RR81" s="38"/>
      <c r="RS81" s="38"/>
      <c r="RT81" s="38"/>
      <c r="RU81" s="38"/>
      <c r="RV81" s="38"/>
      <c r="RW81" s="38"/>
      <c r="RX81" s="38"/>
      <c r="RY81" s="38"/>
      <c r="RZ81" s="38"/>
      <c r="SA81" s="38"/>
      <c r="SB81" s="38"/>
      <c r="SC81" s="38"/>
      <c r="SD81" s="38"/>
      <c r="SE81" s="38"/>
      <c r="SF81" s="38"/>
      <c r="SG81" s="38"/>
      <c r="SH81" s="38"/>
      <c r="SI81" s="38"/>
      <c r="SJ81" s="38"/>
      <c r="SK81" s="38"/>
      <c r="SL81" s="38"/>
      <c r="SM81" s="38"/>
      <c r="SN81" s="38"/>
      <c r="SO81" s="38"/>
      <c r="SP81" s="38"/>
      <c r="SQ81" s="38"/>
      <c r="SR81" s="38"/>
      <c r="SS81" s="38"/>
      <c r="ST81" s="38"/>
      <c r="SU81" s="38"/>
      <c r="SV81" s="38"/>
      <c r="SW81" s="38"/>
      <c r="SX81" s="38"/>
      <c r="SY81" s="38"/>
      <c r="SZ81" s="38"/>
      <c r="TA81" s="38"/>
      <c r="TB81" s="38"/>
      <c r="TC81" s="38"/>
      <c r="TD81" s="38"/>
      <c r="TE81" s="38"/>
      <c r="TF81" s="38"/>
      <c r="TG81" s="38"/>
      <c r="TH81" s="38"/>
      <c r="TI81" s="38"/>
      <c r="TJ81" s="38"/>
      <c r="TK81" s="38"/>
      <c r="TL81" s="38"/>
      <c r="TM81" s="38"/>
    </row>
    <row r="82" spans="1:533" s="39" customFormat="1" ht="18.75" x14ac:dyDescent="0.25">
      <c r="B82" s="40" t="s">
        <v>163</v>
      </c>
      <c r="C82" s="41" t="s">
        <v>165</v>
      </c>
      <c r="D82" s="56" t="s">
        <v>166</v>
      </c>
      <c r="E82" s="43" t="s">
        <v>131</v>
      </c>
      <c r="F82" s="53">
        <v>6</v>
      </c>
      <c r="G82" s="58"/>
      <c r="H82" s="46"/>
      <c r="I82" s="47">
        <f t="shared" ref="I82" si="10">F82*G82</f>
        <v>0</v>
      </c>
      <c r="J82" s="48" t="s">
        <v>167</v>
      </c>
      <c r="K82" s="47" t="s">
        <v>168</v>
      </c>
      <c r="L82" s="49"/>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c r="DA82" s="38"/>
      <c r="DB82" s="38"/>
      <c r="DC82" s="38"/>
      <c r="DD82" s="38"/>
      <c r="DE82" s="38"/>
      <c r="DF82" s="38"/>
      <c r="DG82" s="38"/>
      <c r="DH82" s="38"/>
      <c r="DI82" s="38"/>
      <c r="DJ82" s="38"/>
      <c r="DK82" s="38"/>
      <c r="DL82" s="38"/>
      <c r="DM82" s="38"/>
      <c r="DN82" s="38"/>
      <c r="DO82" s="38"/>
      <c r="DP82" s="38"/>
      <c r="DQ82" s="38"/>
      <c r="DR82" s="38"/>
      <c r="DS82" s="38"/>
      <c r="DT82" s="38"/>
      <c r="DU82" s="38"/>
      <c r="DV82" s="38"/>
      <c r="DW82" s="38"/>
      <c r="DX82" s="38"/>
      <c r="DY82" s="38"/>
      <c r="DZ82" s="38"/>
      <c r="EA82" s="38"/>
      <c r="EB82" s="38"/>
      <c r="EC82" s="38"/>
      <c r="ED82" s="38"/>
      <c r="EE82" s="38"/>
      <c r="EF82" s="38"/>
      <c r="EG82" s="38"/>
      <c r="EH82" s="38"/>
      <c r="EI82" s="38"/>
      <c r="EJ82" s="38"/>
      <c r="EK82" s="38"/>
      <c r="EL82" s="38"/>
      <c r="EM82" s="38"/>
      <c r="EN82" s="38"/>
      <c r="EO82" s="38"/>
      <c r="EP82" s="38"/>
      <c r="EQ82" s="38"/>
      <c r="ER82" s="38"/>
      <c r="ES82" s="38"/>
      <c r="ET82" s="38"/>
      <c r="EU82" s="38"/>
      <c r="EV82" s="38"/>
      <c r="EW82" s="38"/>
      <c r="EX82" s="38"/>
      <c r="EY82" s="38"/>
      <c r="EZ82" s="38"/>
      <c r="FA82" s="38"/>
      <c r="FB82" s="38"/>
      <c r="FC82" s="38"/>
      <c r="FD82" s="38"/>
      <c r="FE82" s="38"/>
      <c r="FF82" s="38"/>
      <c r="FG82" s="38"/>
      <c r="FH82" s="38"/>
      <c r="FI82" s="38"/>
      <c r="FJ82" s="38"/>
      <c r="FK82" s="38"/>
      <c r="FL82" s="38"/>
      <c r="FM82" s="38"/>
      <c r="FN82" s="38"/>
      <c r="FO82" s="38"/>
      <c r="FP82" s="38"/>
      <c r="FQ82" s="38"/>
      <c r="FR82" s="38"/>
      <c r="FS82" s="38"/>
      <c r="FT82" s="38"/>
      <c r="FU82" s="38"/>
      <c r="FV82" s="38"/>
      <c r="FW82" s="38"/>
      <c r="FX82" s="38"/>
      <c r="FY82" s="38"/>
      <c r="FZ82" s="38"/>
      <c r="GA82" s="38"/>
      <c r="GB82" s="38"/>
      <c r="GC82" s="38"/>
      <c r="GD82" s="38"/>
      <c r="GE82" s="38"/>
      <c r="GF82" s="38"/>
      <c r="GG82" s="38"/>
      <c r="GH82" s="38"/>
      <c r="GI82" s="38"/>
      <c r="GJ82" s="38"/>
      <c r="GK82" s="38"/>
      <c r="GL82" s="38"/>
      <c r="GM82" s="38"/>
      <c r="GN82" s="38"/>
      <c r="GO82" s="38"/>
      <c r="GP82" s="38"/>
      <c r="GQ82" s="38"/>
      <c r="GR82" s="38"/>
      <c r="GS82" s="38"/>
      <c r="GT82" s="38"/>
      <c r="GU82" s="38"/>
      <c r="GV82" s="38"/>
      <c r="GW82" s="38"/>
      <c r="GX82" s="38"/>
      <c r="GY82" s="38"/>
      <c r="GZ82" s="38"/>
      <c r="HA82" s="38"/>
      <c r="HB82" s="38"/>
      <c r="HC82" s="38"/>
      <c r="HD82" s="38"/>
      <c r="HE82" s="38"/>
      <c r="HF82" s="38"/>
      <c r="HG82" s="38"/>
      <c r="HH82" s="38"/>
      <c r="HI82" s="38"/>
      <c r="HJ82" s="38"/>
      <c r="HK82" s="38"/>
      <c r="HL82" s="38"/>
      <c r="HM82" s="38"/>
      <c r="HN82" s="38"/>
      <c r="HO82" s="38"/>
      <c r="HP82" s="38"/>
      <c r="HQ82" s="38"/>
      <c r="HR82" s="38"/>
      <c r="HS82" s="38"/>
      <c r="HT82" s="38"/>
      <c r="HU82" s="38"/>
      <c r="HV82" s="38"/>
      <c r="HW82" s="38"/>
      <c r="HX82" s="38"/>
      <c r="HY82" s="38"/>
      <c r="HZ82" s="38"/>
      <c r="IA82" s="38"/>
      <c r="IB82" s="38"/>
      <c r="IC82" s="38"/>
      <c r="ID82" s="38"/>
      <c r="IE82" s="38"/>
      <c r="IF82" s="38"/>
      <c r="IG82" s="38"/>
      <c r="IH82" s="38"/>
      <c r="II82" s="38"/>
      <c r="IJ82" s="38"/>
      <c r="IK82" s="38"/>
      <c r="IL82" s="38"/>
      <c r="IM82" s="38"/>
      <c r="IN82" s="38"/>
      <c r="IO82" s="38"/>
      <c r="IP82" s="38"/>
      <c r="IQ82" s="38"/>
      <c r="IR82" s="38"/>
      <c r="IS82" s="38"/>
      <c r="IT82" s="38"/>
      <c r="IU82" s="38"/>
      <c r="IV82" s="38"/>
      <c r="IW82" s="38"/>
      <c r="IX82" s="38"/>
      <c r="IY82" s="38"/>
      <c r="IZ82" s="38"/>
      <c r="JA82" s="38"/>
      <c r="JB82" s="38"/>
      <c r="JC82" s="38"/>
      <c r="JD82" s="38"/>
      <c r="JE82" s="38"/>
      <c r="JF82" s="38"/>
      <c r="JG82" s="38"/>
      <c r="JH82" s="38"/>
      <c r="JI82" s="38"/>
      <c r="JJ82" s="38"/>
      <c r="JK82" s="38"/>
      <c r="JL82" s="38"/>
      <c r="JM82" s="38"/>
      <c r="JN82" s="38"/>
      <c r="JO82" s="38"/>
      <c r="JP82" s="38"/>
      <c r="JQ82" s="38"/>
      <c r="JR82" s="38"/>
      <c r="JS82" s="38"/>
      <c r="JT82" s="38"/>
      <c r="JU82" s="38"/>
      <c r="JV82" s="38"/>
      <c r="JW82" s="38"/>
      <c r="JX82" s="38"/>
      <c r="JY82" s="38"/>
      <c r="JZ82" s="38"/>
      <c r="KA82" s="38"/>
      <c r="KB82" s="38"/>
      <c r="KC82" s="38"/>
      <c r="KD82" s="38"/>
      <c r="KE82" s="38"/>
      <c r="KF82" s="38"/>
      <c r="KG82" s="38"/>
      <c r="KH82" s="38"/>
      <c r="KI82" s="38"/>
      <c r="KJ82" s="38"/>
      <c r="KK82" s="38"/>
      <c r="KL82" s="38"/>
      <c r="KM82" s="38"/>
      <c r="KN82" s="38"/>
      <c r="KO82" s="38"/>
      <c r="KP82" s="38"/>
      <c r="KQ82" s="38"/>
      <c r="KR82" s="38"/>
      <c r="KS82" s="38"/>
      <c r="KT82" s="38"/>
      <c r="KU82" s="38"/>
      <c r="KV82" s="38"/>
      <c r="KW82" s="38"/>
      <c r="KX82" s="38"/>
      <c r="KY82" s="38"/>
      <c r="KZ82" s="38"/>
      <c r="LA82" s="38"/>
      <c r="LB82" s="38"/>
      <c r="LC82" s="38"/>
      <c r="LD82" s="38"/>
      <c r="LE82" s="38"/>
      <c r="LF82" s="38"/>
      <c r="LG82" s="38"/>
      <c r="LH82" s="38"/>
      <c r="LI82" s="38"/>
      <c r="LJ82" s="38"/>
      <c r="LK82" s="38"/>
      <c r="LL82" s="38"/>
      <c r="LM82" s="38"/>
      <c r="LN82" s="38"/>
      <c r="LO82" s="38"/>
      <c r="LP82" s="38"/>
      <c r="LQ82" s="38"/>
      <c r="LR82" s="38"/>
      <c r="LS82" s="38"/>
      <c r="LT82" s="38"/>
      <c r="LU82" s="38"/>
      <c r="LV82" s="38"/>
      <c r="LW82" s="38"/>
      <c r="LX82" s="38"/>
      <c r="LY82" s="38"/>
      <c r="LZ82" s="38"/>
      <c r="MA82" s="38"/>
      <c r="MB82" s="38"/>
      <c r="MC82" s="38"/>
      <c r="MD82" s="38"/>
      <c r="ME82" s="38"/>
      <c r="MF82" s="38"/>
      <c r="MG82" s="38"/>
      <c r="MH82" s="38"/>
      <c r="MI82" s="38"/>
      <c r="MJ82" s="38"/>
      <c r="MK82" s="38"/>
      <c r="ML82" s="38"/>
      <c r="MM82" s="38"/>
      <c r="MN82" s="38"/>
      <c r="MO82" s="38"/>
      <c r="MP82" s="38"/>
      <c r="MQ82" s="38"/>
      <c r="MR82" s="38"/>
      <c r="MS82" s="38"/>
      <c r="MT82" s="38"/>
      <c r="MU82" s="38"/>
      <c r="MV82" s="38"/>
      <c r="MW82" s="38"/>
      <c r="MX82" s="38"/>
      <c r="MY82" s="38"/>
      <c r="MZ82" s="38"/>
      <c r="NA82" s="38"/>
      <c r="NB82" s="38"/>
      <c r="NC82" s="38"/>
      <c r="ND82" s="38"/>
      <c r="NE82" s="38"/>
      <c r="NF82" s="38"/>
      <c r="NG82" s="38"/>
      <c r="NH82" s="38"/>
      <c r="NI82" s="38"/>
      <c r="NJ82" s="38"/>
      <c r="NK82" s="38"/>
      <c r="NL82" s="38"/>
      <c r="NM82" s="38"/>
      <c r="NN82" s="38"/>
      <c r="NO82" s="38"/>
      <c r="NP82" s="38"/>
      <c r="NQ82" s="38"/>
      <c r="NR82" s="38"/>
      <c r="NS82" s="38"/>
      <c r="NT82" s="38"/>
      <c r="NU82" s="38"/>
      <c r="NV82" s="38"/>
      <c r="NW82" s="38"/>
      <c r="NX82" s="38"/>
      <c r="NY82" s="38"/>
      <c r="NZ82" s="38"/>
      <c r="OA82" s="38"/>
      <c r="OB82" s="38"/>
      <c r="OC82" s="38"/>
      <c r="OD82" s="38"/>
      <c r="OE82" s="38"/>
      <c r="OF82" s="38"/>
      <c r="OG82" s="38"/>
      <c r="OH82" s="38"/>
      <c r="OI82" s="38"/>
      <c r="OJ82" s="38"/>
      <c r="OK82" s="38"/>
      <c r="OL82" s="38"/>
      <c r="OM82" s="38"/>
      <c r="ON82" s="38"/>
      <c r="OO82" s="38"/>
      <c r="OP82" s="38"/>
      <c r="OQ82" s="38"/>
      <c r="OR82" s="38"/>
      <c r="OS82" s="38"/>
      <c r="OT82" s="38"/>
      <c r="OU82" s="38"/>
      <c r="OV82" s="38"/>
      <c r="OW82" s="38"/>
      <c r="OX82" s="38"/>
      <c r="OY82" s="38"/>
      <c r="OZ82" s="38"/>
      <c r="PA82" s="38"/>
      <c r="PB82" s="38"/>
      <c r="PC82" s="38"/>
      <c r="PD82" s="38"/>
      <c r="PE82" s="38"/>
      <c r="PF82" s="38"/>
      <c r="PG82" s="38"/>
      <c r="PH82" s="38"/>
      <c r="PI82" s="38"/>
      <c r="PJ82" s="38"/>
      <c r="PK82" s="38"/>
      <c r="PL82" s="38"/>
      <c r="PM82" s="38"/>
      <c r="PN82" s="38"/>
      <c r="PO82" s="38"/>
      <c r="PP82" s="38"/>
      <c r="PQ82" s="38"/>
      <c r="PR82" s="38"/>
      <c r="PS82" s="38"/>
      <c r="PT82" s="38"/>
      <c r="PU82" s="38"/>
      <c r="PV82" s="38"/>
      <c r="PW82" s="38"/>
      <c r="PX82" s="38"/>
      <c r="PY82" s="38"/>
      <c r="PZ82" s="38"/>
      <c r="QA82" s="38"/>
      <c r="QB82" s="38"/>
      <c r="QC82" s="38"/>
      <c r="QD82" s="38"/>
      <c r="QE82" s="38"/>
      <c r="QF82" s="38"/>
      <c r="QG82" s="38"/>
      <c r="QH82" s="38"/>
      <c r="QI82" s="38"/>
      <c r="QJ82" s="38"/>
      <c r="QK82" s="38"/>
      <c r="QL82" s="38"/>
      <c r="QM82" s="38"/>
      <c r="QN82" s="38"/>
      <c r="QO82" s="38"/>
      <c r="QP82" s="38"/>
      <c r="QQ82" s="38"/>
      <c r="QR82" s="38"/>
      <c r="QS82" s="38"/>
      <c r="QT82" s="38"/>
      <c r="QU82" s="38"/>
      <c r="QV82" s="38"/>
      <c r="QW82" s="38"/>
      <c r="QX82" s="38"/>
      <c r="QY82" s="38"/>
      <c r="QZ82" s="38"/>
      <c r="RA82" s="38"/>
      <c r="RB82" s="38"/>
      <c r="RC82" s="38"/>
      <c r="RD82" s="38"/>
      <c r="RE82" s="38"/>
      <c r="RF82" s="38"/>
      <c r="RG82" s="38"/>
      <c r="RH82" s="38"/>
      <c r="RI82" s="38"/>
      <c r="RJ82" s="38"/>
      <c r="RK82" s="38"/>
      <c r="RL82" s="38"/>
      <c r="RM82" s="38"/>
      <c r="RN82" s="38"/>
      <c r="RO82" s="38"/>
      <c r="RP82" s="38"/>
      <c r="RQ82" s="38"/>
      <c r="RR82" s="38"/>
      <c r="RS82" s="38"/>
      <c r="RT82" s="38"/>
      <c r="RU82" s="38"/>
      <c r="RV82" s="38"/>
      <c r="RW82" s="38"/>
      <c r="RX82" s="38"/>
      <c r="RY82" s="38"/>
      <c r="RZ82" s="38"/>
      <c r="SA82" s="38"/>
      <c r="SB82" s="38"/>
      <c r="SC82" s="38"/>
      <c r="SD82" s="38"/>
      <c r="SE82" s="38"/>
      <c r="SF82" s="38"/>
      <c r="SG82" s="38"/>
      <c r="SH82" s="38"/>
      <c r="SI82" s="38"/>
      <c r="SJ82" s="38"/>
      <c r="SK82" s="38"/>
      <c r="SL82" s="38"/>
      <c r="SM82" s="38"/>
      <c r="SN82" s="38"/>
      <c r="SO82" s="38"/>
      <c r="SP82" s="38"/>
      <c r="SQ82" s="38"/>
      <c r="SR82" s="38"/>
      <c r="SS82" s="38"/>
      <c r="ST82" s="38"/>
      <c r="SU82" s="38"/>
      <c r="SV82" s="38"/>
      <c r="SW82" s="38"/>
      <c r="SX82" s="38"/>
      <c r="SY82" s="38"/>
      <c r="SZ82" s="38"/>
      <c r="TA82" s="38"/>
      <c r="TB82" s="38"/>
      <c r="TC82" s="38"/>
      <c r="TD82" s="38"/>
      <c r="TE82" s="38"/>
      <c r="TF82" s="38"/>
      <c r="TG82" s="38"/>
      <c r="TH82" s="38"/>
      <c r="TI82" s="38"/>
      <c r="TJ82" s="38"/>
      <c r="TK82" s="38"/>
      <c r="TL82" s="38"/>
      <c r="TM82" s="38"/>
    </row>
    <row r="83" spans="1:533" s="39" customFormat="1" ht="131.25" x14ac:dyDescent="0.25">
      <c r="B83" s="50" t="s">
        <v>169</v>
      </c>
      <c r="C83" s="41"/>
      <c r="D83" s="57" t="s">
        <v>170</v>
      </c>
      <c r="E83" s="52"/>
      <c r="F83" s="53"/>
      <c r="G83" s="54"/>
      <c r="H83" s="46"/>
      <c r="I83" s="55"/>
      <c r="J83" s="48"/>
      <c r="K83" s="47"/>
      <c r="L83" s="49"/>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c r="DA83" s="38"/>
      <c r="DB83" s="38"/>
      <c r="DC83" s="38"/>
      <c r="DD83" s="38"/>
      <c r="DE83" s="38"/>
      <c r="DF83" s="38"/>
      <c r="DG83" s="38"/>
      <c r="DH83" s="38"/>
      <c r="DI83" s="38"/>
      <c r="DJ83" s="38"/>
      <c r="DK83" s="38"/>
      <c r="DL83" s="38"/>
      <c r="DM83" s="38"/>
      <c r="DN83" s="38"/>
      <c r="DO83" s="38"/>
      <c r="DP83" s="38"/>
      <c r="DQ83" s="38"/>
      <c r="DR83" s="38"/>
      <c r="DS83" s="38"/>
      <c r="DT83" s="38"/>
      <c r="DU83" s="38"/>
      <c r="DV83" s="38"/>
      <c r="DW83" s="38"/>
      <c r="DX83" s="38"/>
      <c r="DY83" s="38"/>
      <c r="DZ83" s="38"/>
      <c r="EA83" s="38"/>
      <c r="EB83" s="38"/>
      <c r="EC83" s="38"/>
      <c r="ED83" s="38"/>
      <c r="EE83" s="38"/>
      <c r="EF83" s="38"/>
      <c r="EG83" s="38"/>
      <c r="EH83" s="38"/>
      <c r="EI83" s="38"/>
      <c r="EJ83" s="38"/>
      <c r="EK83" s="38"/>
      <c r="EL83" s="38"/>
      <c r="EM83" s="38"/>
      <c r="EN83" s="38"/>
      <c r="EO83" s="38"/>
      <c r="EP83" s="38"/>
      <c r="EQ83" s="38"/>
      <c r="ER83" s="38"/>
      <c r="ES83" s="38"/>
      <c r="ET83" s="38"/>
      <c r="EU83" s="38"/>
      <c r="EV83" s="38"/>
      <c r="EW83" s="38"/>
      <c r="EX83" s="38"/>
      <c r="EY83" s="38"/>
      <c r="EZ83" s="38"/>
      <c r="FA83" s="38"/>
      <c r="FB83" s="38"/>
      <c r="FC83" s="38"/>
      <c r="FD83" s="38"/>
      <c r="FE83" s="38"/>
      <c r="FF83" s="38"/>
      <c r="FG83" s="38"/>
      <c r="FH83" s="38"/>
      <c r="FI83" s="38"/>
      <c r="FJ83" s="38"/>
      <c r="FK83" s="38"/>
      <c r="FL83" s="38"/>
      <c r="FM83" s="38"/>
      <c r="FN83" s="38"/>
      <c r="FO83" s="38"/>
      <c r="FP83" s="38"/>
      <c r="FQ83" s="38"/>
      <c r="FR83" s="38"/>
      <c r="FS83" s="38"/>
      <c r="FT83" s="38"/>
      <c r="FU83" s="38"/>
      <c r="FV83" s="38"/>
      <c r="FW83" s="38"/>
      <c r="FX83" s="38"/>
      <c r="FY83" s="38"/>
      <c r="FZ83" s="38"/>
      <c r="GA83" s="38"/>
      <c r="GB83" s="38"/>
      <c r="GC83" s="38"/>
      <c r="GD83" s="38"/>
      <c r="GE83" s="38"/>
      <c r="GF83" s="38"/>
      <c r="GG83" s="38"/>
      <c r="GH83" s="38"/>
      <c r="GI83" s="38"/>
      <c r="GJ83" s="38"/>
      <c r="GK83" s="38"/>
      <c r="GL83" s="38"/>
      <c r="GM83" s="38"/>
      <c r="GN83" s="38"/>
      <c r="GO83" s="38"/>
      <c r="GP83" s="38"/>
      <c r="GQ83" s="38"/>
      <c r="GR83" s="38"/>
      <c r="GS83" s="38"/>
      <c r="GT83" s="38"/>
      <c r="GU83" s="38"/>
      <c r="GV83" s="38"/>
      <c r="GW83" s="38"/>
      <c r="GX83" s="38"/>
      <c r="GY83" s="38"/>
      <c r="GZ83" s="38"/>
      <c r="HA83" s="38"/>
      <c r="HB83" s="38"/>
      <c r="HC83" s="38"/>
      <c r="HD83" s="38"/>
      <c r="HE83" s="38"/>
      <c r="HF83" s="38"/>
      <c r="HG83" s="38"/>
      <c r="HH83" s="38"/>
      <c r="HI83" s="38"/>
      <c r="HJ83" s="38"/>
      <c r="HK83" s="38"/>
      <c r="HL83" s="38"/>
      <c r="HM83" s="38"/>
      <c r="HN83" s="38"/>
      <c r="HO83" s="38"/>
      <c r="HP83" s="38"/>
      <c r="HQ83" s="38"/>
      <c r="HR83" s="38"/>
      <c r="HS83" s="38"/>
      <c r="HT83" s="38"/>
      <c r="HU83" s="38"/>
      <c r="HV83" s="38"/>
      <c r="HW83" s="38"/>
      <c r="HX83" s="38"/>
      <c r="HY83" s="38"/>
      <c r="HZ83" s="38"/>
      <c r="IA83" s="38"/>
      <c r="IB83" s="38"/>
      <c r="IC83" s="38"/>
      <c r="ID83" s="38"/>
      <c r="IE83" s="38"/>
      <c r="IF83" s="38"/>
      <c r="IG83" s="38"/>
      <c r="IH83" s="38"/>
      <c r="II83" s="38"/>
      <c r="IJ83" s="38"/>
      <c r="IK83" s="38"/>
      <c r="IL83" s="38"/>
      <c r="IM83" s="38"/>
      <c r="IN83" s="38"/>
      <c r="IO83" s="38"/>
      <c r="IP83" s="38"/>
      <c r="IQ83" s="38"/>
      <c r="IR83" s="38"/>
      <c r="IS83" s="38"/>
      <c r="IT83" s="38"/>
      <c r="IU83" s="38"/>
      <c r="IV83" s="38"/>
      <c r="IW83" s="38"/>
      <c r="IX83" s="38"/>
      <c r="IY83" s="38"/>
      <c r="IZ83" s="38"/>
      <c r="JA83" s="38"/>
      <c r="JB83" s="38"/>
      <c r="JC83" s="38"/>
      <c r="JD83" s="38"/>
      <c r="JE83" s="38"/>
      <c r="JF83" s="38"/>
      <c r="JG83" s="38"/>
      <c r="JH83" s="38"/>
      <c r="JI83" s="38"/>
      <c r="JJ83" s="38"/>
      <c r="JK83" s="38"/>
      <c r="JL83" s="38"/>
      <c r="JM83" s="38"/>
      <c r="JN83" s="38"/>
      <c r="JO83" s="38"/>
      <c r="JP83" s="38"/>
      <c r="JQ83" s="38"/>
      <c r="JR83" s="38"/>
      <c r="JS83" s="38"/>
      <c r="JT83" s="38"/>
      <c r="JU83" s="38"/>
      <c r="JV83" s="38"/>
      <c r="JW83" s="38"/>
      <c r="JX83" s="38"/>
      <c r="JY83" s="38"/>
      <c r="JZ83" s="38"/>
      <c r="KA83" s="38"/>
      <c r="KB83" s="38"/>
      <c r="KC83" s="38"/>
      <c r="KD83" s="38"/>
      <c r="KE83" s="38"/>
      <c r="KF83" s="38"/>
      <c r="KG83" s="38"/>
      <c r="KH83" s="38"/>
      <c r="KI83" s="38"/>
      <c r="KJ83" s="38"/>
      <c r="KK83" s="38"/>
      <c r="KL83" s="38"/>
      <c r="KM83" s="38"/>
      <c r="KN83" s="38"/>
      <c r="KO83" s="38"/>
      <c r="KP83" s="38"/>
      <c r="KQ83" s="38"/>
      <c r="KR83" s="38"/>
      <c r="KS83" s="38"/>
      <c r="KT83" s="38"/>
      <c r="KU83" s="38"/>
      <c r="KV83" s="38"/>
      <c r="KW83" s="38"/>
      <c r="KX83" s="38"/>
      <c r="KY83" s="38"/>
      <c r="KZ83" s="38"/>
      <c r="LA83" s="38"/>
      <c r="LB83" s="38"/>
      <c r="LC83" s="38"/>
      <c r="LD83" s="38"/>
      <c r="LE83" s="38"/>
      <c r="LF83" s="38"/>
      <c r="LG83" s="38"/>
      <c r="LH83" s="38"/>
      <c r="LI83" s="38"/>
      <c r="LJ83" s="38"/>
      <c r="LK83" s="38"/>
      <c r="LL83" s="38"/>
      <c r="LM83" s="38"/>
      <c r="LN83" s="38"/>
      <c r="LO83" s="38"/>
      <c r="LP83" s="38"/>
      <c r="LQ83" s="38"/>
      <c r="LR83" s="38"/>
      <c r="LS83" s="38"/>
      <c r="LT83" s="38"/>
      <c r="LU83" s="38"/>
      <c r="LV83" s="38"/>
      <c r="LW83" s="38"/>
      <c r="LX83" s="38"/>
      <c r="LY83" s="38"/>
      <c r="LZ83" s="38"/>
      <c r="MA83" s="38"/>
      <c r="MB83" s="38"/>
      <c r="MC83" s="38"/>
      <c r="MD83" s="38"/>
      <c r="ME83" s="38"/>
      <c r="MF83" s="38"/>
      <c r="MG83" s="38"/>
      <c r="MH83" s="38"/>
      <c r="MI83" s="38"/>
      <c r="MJ83" s="38"/>
      <c r="MK83" s="38"/>
      <c r="ML83" s="38"/>
      <c r="MM83" s="38"/>
      <c r="MN83" s="38"/>
      <c r="MO83" s="38"/>
      <c r="MP83" s="38"/>
      <c r="MQ83" s="38"/>
      <c r="MR83" s="38"/>
      <c r="MS83" s="38"/>
      <c r="MT83" s="38"/>
      <c r="MU83" s="38"/>
      <c r="MV83" s="38"/>
      <c r="MW83" s="38"/>
      <c r="MX83" s="38"/>
      <c r="MY83" s="38"/>
      <c r="MZ83" s="38"/>
      <c r="NA83" s="38"/>
      <c r="NB83" s="38"/>
      <c r="NC83" s="38"/>
      <c r="ND83" s="38"/>
      <c r="NE83" s="38"/>
      <c r="NF83" s="38"/>
      <c r="NG83" s="38"/>
      <c r="NH83" s="38"/>
      <c r="NI83" s="38"/>
      <c r="NJ83" s="38"/>
      <c r="NK83" s="38"/>
      <c r="NL83" s="38"/>
      <c r="NM83" s="38"/>
      <c r="NN83" s="38"/>
      <c r="NO83" s="38"/>
      <c r="NP83" s="38"/>
      <c r="NQ83" s="38"/>
      <c r="NR83" s="38"/>
      <c r="NS83" s="38"/>
      <c r="NT83" s="38"/>
      <c r="NU83" s="38"/>
      <c r="NV83" s="38"/>
      <c r="NW83" s="38"/>
      <c r="NX83" s="38"/>
      <c r="NY83" s="38"/>
      <c r="NZ83" s="38"/>
      <c r="OA83" s="38"/>
      <c r="OB83" s="38"/>
      <c r="OC83" s="38"/>
      <c r="OD83" s="38"/>
      <c r="OE83" s="38"/>
      <c r="OF83" s="38"/>
      <c r="OG83" s="38"/>
      <c r="OH83" s="38"/>
      <c r="OI83" s="38"/>
      <c r="OJ83" s="38"/>
      <c r="OK83" s="38"/>
      <c r="OL83" s="38"/>
      <c r="OM83" s="38"/>
      <c r="ON83" s="38"/>
      <c r="OO83" s="38"/>
      <c r="OP83" s="38"/>
      <c r="OQ83" s="38"/>
      <c r="OR83" s="38"/>
      <c r="OS83" s="38"/>
      <c r="OT83" s="38"/>
      <c r="OU83" s="38"/>
      <c r="OV83" s="38"/>
      <c r="OW83" s="38"/>
      <c r="OX83" s="38"/>
      <c r="OY83" s="38"/>
      <c r="OZ83" s="38"/>
      <c r="PA83" s="38"/>
      <c r="PB83" s="38"/>
      <c r="PC83" s="38"/>
      <c r="PD83" s="38"/>
      <c r="PE83" s="38"/>
      <c r="PF83" s="38"/>
      <c r="PG83" s="38"/>
      <c r="PH83" s="38"/>
      <c r="PI83" s="38"/>
      <c r="PJ83" s="38"/>
      <c r="PK83" s="38"/>
      <c r="PL83" s="38"/>
      <c r="PM83" s="38"/>
      <c r="PN83" s="38"/>
      <c r="PO83" s="38"/>
      <c r="PP83" s="38"/>
      <c r="PQ83" s="38"/>
      <c r="PR83" s="38"/>
      <c r="PS83" s="38"/>
      <c r="PT83" s="38"/>
      <c r="PU83" s="38"/>
      <c r="PV83" s="38"/>
      <c r="PW83" s="38"/>
      <c r="PX83" s="38"/>
      <c r="PY83" s="38"/>
      <c r="PZ83" s="38"/>
      <c r="QA83" s="38"/>
      <c r="QB83" s="38"/>
      <c r="QC83" s="38"/>
      <c r="QD83" s="38"/>
      <c r="QE83" s="38"/>
      <c r="QF83" s="38"/>
      <c r="QG83" s="38"/>
      <c r="QH83" s="38"/>
      <c r="QI83" s="38"/>
      <c r="QJ83" s="38"/>
      <c r="QK83" s="38"/>
      <c r="QL83" s="38"/>
      <c r="QM83" s="38"/>
      <c r="QN83" s="38"/>
      <c r="QO83" s="38"/>
      <c r="QP83" s="38"/>
      <c r="QQ83" s="38"/>
      <c r="QR83" s="38"/>
      <c r="QS83" s="38"/>
      <c r="QT83" s="38"/>
      <c r="QU83" s="38"/>
      <c r="QV83" s="38"/>
      <c r="QW83" s="38"/>
      <c r="QX83" s="38"/>
      <c r="QY83" s="38"/>
      <c r="QZ83" s="38"/>
      <c r="RA83" s="38"/>
      <c r="RB83" s="38"/>
      <c r="RC83" s="38"/>
      <c r="RD83" s="38"/>
      <c r="RE83" s="38"/>
      <c r="RF83" s="38"/>
      <c r="RG83" s="38"/>
      <c r="RH83" s="38"/>
      <c r="RI83" s="38"/>
      <c r="RJ83" s="38"/>
      <c r="RK83" s="38"/>
      <c r="RL83" s="38"/>
      <c r="RM83" s="38"/>
      <c r="RN83" s="38"/>
      <c r="RO83" s="38"/>
      <c r="RP83" s="38"/>
      <c r="RQ83" s="38"/>
      <c r="RR83" s="38"/>
      <c r="RS83" s="38"/>
      <c r="RT83" s="38"/>
      <c r="RU83" s="38"/>
      <c r="RV83" s="38"/>
      <c r="RW83" s="38"/>
      <c r="RX83" s="38"/>
      <c r="RY83" s="38"/>
      <c r="RZ83" s="38"/>
      <c r="SA83" s="38"/>
      <c r="SB83" s="38"/>
      <c r="SC83" s="38"/>
      <c r="SD83" s="38"/>
      <c r="SE83" s="38"/>
      <c r="SF83" s="38"/>
      <c r="SG83" s="38"/>
      <c r="SH83" s="38"/>
      <c r="SI83" s="38"/>
      <c r="SJ83" s="38"/>
      <c r="SK83" s="38"/>
      <c r="SL83" s="38"/>
      <c r="SM83" s="38"/>
      <c r="SN83" s="38"/>
      <c r="SO83" s="38"/>
      <c r="SP83" s="38"/>
      <c r="SQ83" s="38"/>
      <c r="SR83" s="38"/>
      <c r="SS83" s="38"/>
      <c r="ST83" s="38"/>
      <c r="SU83" s="38"/>
      <c r="SV83" s="38"/>
      <c r="SW83" s="38"/>
      <c r="SX83" s="38"/>
      <c r="SY83" s="38"/>
      <c r="SZ83" s="38"/>
      <c r="TA83" s="38"/>
      <c r="TB83" s="38"/>
      <c r="TC83" s="38"/>
      <c r="TD83" s="38"/>
      <c r="TE83" s="38"/>
      <c r="TF83" s="38"/>
      <c r="TG83" s="38"/>
      <c r="TH83" s="38"/>
      <c r="TI83" s="38"/>
      <c r="TJ83" s="38"/>
      <c r="TK83" s="38"/>
      <c r="TL83" s="38"/>
      <c r="TM83" s="38"/>
    </row>
    <row r="84" spans="1:533" s="39" customFormat="1" ht="18.75" x14ac:dyDescent="0.25">
      <c r="B84" s="50" t="s">
        <v>169</v>
      </c>
      <c r="C84" s="41" t="s">
        <v>171</v>
      </c>
      <c r="D84" s="56" t="s">
        <v>172</v>
      </c>
      <c r="E84" s="43" t="s">
        <v>29</v>
      </c>
      <c r="F84" s="53">
        <v>1023</v>
      </c>
      <c r="G84" s="58"/>
      <c r="H84" s="46"/>
      <c r="I84" s="47">
        <f t="shared" ref="I84:I86" si="11">F84*G84</f>
        <v>0</v>
      </c>
      <c r="J84" s="48">
        <v>2049</v>
      </c>
      <c r="K84" s="47" t="s">
        <v>30</v>
      </c>
      <c r="L84" s="49"/>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c r="DA84" s="38"/>
      <c r="DB84" s="38"/>
      <c r="DC84" s="38"/>
      <c r="DD84" s="38"/>
      <c r="DE84" s="38"/>
      <c r="DF84" s="38"/>
      <c r="DG84" s="38"/>
      <c r="DH84" s="38"/>
      <c r="DI84" s="38"/>
      <c r="DJ84" s="38"/>
      <c r="DK84" s="38"/>
      <c r="DL84" s="38"/>
      <c r="DM84" s="38"/>
      <c r="DN84" s="38"/>
      <c r="DO84" s="38"/>
      <c r="DP84" s="38"/>
      <c r="DQ84" s="38"/>
      <c r="DR84" s="38"/>
      <c r="DS84" s="38"/>
      <c r="DT84" s="38"/>
      <c r="DU84" s="38"/>
      <c r="DV84" s="38"/>
      <c r="DW84" s="38"/>
      <c r="DX84" s="38"/>
      <c r="DY84" s="38"/>
      <c r="DZ84" s="38"/>
      <c r="EA84" s="38"/>
      <c r="EB84" s="38"/>
      <c r="EC84" s="38"/>
      <c r="ED84" s="38"/>
      <c r="EE84" s="38"/>
      <c r="EF84" s="38"/>
      <c r="EG84" s="38"/>
      <c r="EH84" s="38"/>
      <c r="EI84" s="38"/>
      <c r="EJ84" s="38"/>
      <c r="EK84" s="38"/>
      <c r="EL84" s="38"/>
      <c r="EM84" s="38"/>
      <c r="EN84" s="38"/>
      <c r="EO84" s="38"/>
      <c r="EP84" s="38"/>
      <c r="EQ84" s="38"/>
      <c r="ER84" s="38"/>
      <c r="ES84" s="38"/>
      <c r="ET84" s="38"/>
      <c r="EU84" s="38"/>
      <c r="EV84" s="38"/>
      <c r="EW84" s="38"/>
      <c r="EX84" s="38"/>
      <c r="EY84" s="38"/>
      <c r="EZ84" s="38"/>
      <c r="FA84" s="38"/>
      <c r="FB84" s="38"/>
      <c r="FC84" s="38"/>
      <c r="FD84" s="38"/>
      <c r="FE84" s="38"/>
      <c r="FF84" s="38"/>
      <c r="FG84" s="38"/>
      <c r="FH84" s="38"/>
      <c r="FI84" s="38"/>
      <c r="FJ84" s="38"/>
      <c r="FK84" s="38"/>
      <c r="FL84" s="38"/>
      <c r="FM84" s="38"/>
      <c r="FN84" s="38"/>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38"/>
      <c r="GW84" s="38"/>
      <c r="GX84" s="38"/>
      <c r="GY84" s="38"/>
      <c r="GZ84" s="38"/>
      <c r="HA84" s="38"/>
      <c r="HB84" s="38"/>
      <c r="HC84" s="38"/>
      <c r="HD84" s="38"/>
      <c r="HE84" s="38"/>
      <c r="HF84" s="38"/>
      <c r="HG84" s="38"/>
      <c r="HH84" s="38"/>
      <c r="HI84" s="38"/>
      <c r="HJ84" s="38"/>
      <c r="HK84" s="38"/>
      <c r="HL84" s="38"/>
      <c r="HM84" s="38"/>
      <c r="HN84" s="38"/>
      <c r="HO84" s="38"/>
      <c r="HP84" s="38"/>
      <c r="HQ84" s="38"/>
      <c r="HR84" s="38"/>
      <c r="HS84" s="38"/>
      <c r="HT84" s="38"/>
      <c r="HU84" s="38"/>
      <c r="HV84" s="38"/>
      <c r="HW84" s="38"/>
      <c r="HX84" s="38"/>
      <c r="HY84" s="38"/>
      <c r="HZ84" s="38"/>
      <c r="IA84" s="38"/>
      <c r="IB84" s="38"/>
      <c r="IC84" s="38"/>
      <c r="ID84" s="38"/>
      <c r="IE84" s="38"/>
      <c r="IF84" s="38"/>
      <c r="IG84" s="38"/>
      <c r="IH84" s="38"/>
      <c r="II84" s="38"/>
      <c r="IJ84" s="38"/>
      <c r="IK84" s="38"/>
      <c r="IL84" s="38"/>
      <c r="IM84" s="38"/>
      <c r="IN84" s="38"/>
      <c r="IO84" s="38"/>
      <c r="IP84" s="38"/>
      <c r="IQ84" s="38"/>
      <c r="IR84" s="38"/>
      <c r="IS84" s="38"/>
      <c r="IT84" s="38"/>
      <c r="IU84" s="38"/>
      <c r="IV84" s="38"/>
      <c r="IW84" s="38"/>
      <c r="IX84" s="38"/>
      <c r="IY84" s="38"/>
      <c r="IZ84" s="38"/>
      <c r="JA84" s="38"/>
      <c r="JB84" s="38"/>
      <c r="JC84" s="38"/>
      <c r="JD84" s="38"/>
      <c r="JE84" s="38"/>
      <c r="JF84" s="38"/>
      <c r="JG84" s="38"/>
      <c r="JH84" s="38"/>
      <c r="JI84" s="38"/>
      <c r="JJ84" s="38"/>
      <c r="JK84" s="38"/>
      <c r="JL84" s="38"/>
      <c r="JM84" s="38"/>
      <c r="JN84" s="38"/>
      <c r="JO84" s="38"/>
      <c r="JP84" s="38"/>
      <c r="JQ84" s="38"/>
      <c r="JR84" s="38"/>
      <c r="JS84" s="38"/>
      <c r="JT84" s="38"/>
      <c r="JU84" s="38"/>
      <c r="JV84" s="38"/>
      <c r="JW84" s="38"/>
      <c r="JX84" s="38"/>
      <c r="JY84" s="38"/>
      <c r="JZ84" s="38"/>
      <c r="KA84" s="38"/>
      <c r="KB84" s="38"/>
      <c r="KC84" s="38"/>
      <c r="KD84" s="38"/>
      <c r="KE84" s="38"/>
      <c r="KF84" s="38"/>
      <c r="KG84" s="38"/>
      <c r="KH84" s="38"/>
      <c r="KI84" s="38"/>
      <c r="KJ84" s="38"/>
      <c r="KK84" s="38"/>
      <c r="KL84" s="38"/>
      <c r="KM84" s="38"/>
      <c r="KN84" s="38"/>
      <c r="KO84" s="38"/>
      <c r="KP84" s="38"/>
      <c r="KQ84" s="38"/>
      <c r="KR84" s="38"/>
      <c r="KS84" s="38"/>
      <c r="KT84" s="38"/>
      <c r="KU84" s="38"/>
      <c r="KV84" s="38"/>
      <c r="KW84" s="38"/>
      <c r="KX84" s="38"/>
      <c r="KY84" s="38"/>
      <c r="KZ84" s="38"/>
      <c r="LA84" s="38"/>
      <c r="LB84" s="38"/>
      <c r="LC84" s="38"/>
      <c r="LD84" s="38"/>
      <c r="LE84" s="38"/>
      <c r="LF84" s="38"/>
      <c r="LG84" s="38"/>
      <c r="LH84" s="38"/>
      <c r="LI84" s="38"/>
      <c r="LJ84" s="38"/>
      <c r="LK84" s="38"/>
      <c r="LL84" s="38"/>
      <c r="LM84" s="38"/>
      <c r="LN84" s="38"/>
      <c r="LO84" s="38"/>
      <c r="LP84" s="38"/>
      <c r="LQ84" s="38"/>
      <c r="LR84" s="38"/>
      <c r="LS84" s="38"/>
      <c r="LT84" s="38"/>
      <c r="LU84" s="38"/>
      <c r="LV84" s="38"/>
      <c r="LW84" s="38"/>
      <c r="LX84" s="38"/>
      <c r="LY84" s="38"/>
      <c r="LZ84" s="38"/>
      <c r="MA84" s="38"/>
      <c r="MB84" s="38"/>
      <c r="MC84" s="38"/>
      <c r="MD84" s="38"/>
      <c r="ME84" s="38"/>
      <c r="MF84" s="38"/>
      <c r="MG84" s="38"/>
      <c r="MH84" s="38"/>
      <c r="MI84" s="38"/>
      <c r="MJ84" s="38"/>
      <c r="MK84" s="38"/>
      <c r="ML84" s="38"/>
      <c r="MM84" s="38"/>
      <c r="MN84" s="38"/>
      <c r="MO84" s="38"/>
      <c r="MP84" s="38"/>
      <c r="MQ84" s="38"/>
      <c r="MR84" s="38"/>
      <c r="MS84" s="38"/>
      <c r="MT84" s="38"/>
      <c r="MU84" s="38"/>
      <c r="MV84" s="38"/>
      <c r="MW84" s="38"/>
      <c r="MX84" s="38"/>
      <c r="MY84" s="38"/>
      <c r="MZ84" s="38"/>
      <c r="NA84" s="38"/>
      <c r="NB84" s="38"/>
      <c r="NC84" s="38"/>
      <c r="ND84" s="38"/>
      <c r="NE84" s="38"/>
      <c r="NF84" s="38"/>
      <c r="NG84" s="38"/>
      <c r="NH84" s="38"/>
      <c r="NI84" s="38"/>
      <c r="NJ84" s="38"/>
      <c r="NK84" s="38"/>
      <c r="NL84" s="38"/>
      <c r="NM84" s="38"/>
      <c r="NN84" s="38"/>
      <c r="NO84" s="38"/>
      <c r="NP84" s="38"/>
      <c r="NQ84" s="38"/>
      <c r="NR84" s="38"/>
      <c r="NS84" s="38"/>
      <c r="NT84" s="38"/>
      <c r="NU84" s="38"/>
      <c r="NV84" s="38"/>
      <c r="NW84" s="38"/>
      <c r="NX84" s="38"/>
      <c r="NY84" s="38"/>
      <c r="NZ84" s="38"/>
      <c r="OA84" s="38"/>
      <c r="OB84" s="38"/>
      <c r="OC84" s="38"/>
      <c r="OD84" s="38"/>
      <c r="OE84" s="38"/>
      <c r="OF84" s="38"/>
      <c r="OG84" s="38"/>
      <c r="OH84" s="38"/>
      <c r="OI84" s="38"/>
      <c r="OJ84" s="38"/>
      <c r="OK84" s="38"/>
      <c r="OL84" s="38"/>
      <c r="OM84" s="38"/>
      <c r="ON84" s="38"/>
      <c r="OO84" s="38"/>
      <c r="OP84" s="38"/>
      <c r="OQ84" s="38"/>
      <c r="OR84" s="38"/>
      <c r="OS84" s="38"/>
      <c r="OT84" s="38"/>
      <c r="OU84" s="38"/>
      <c r="OV84" s="38"/>
      <c r="OW84" s="38"/>
      <c r="OX84" s="38"/>
      <c r="OY84" s="38"/>
      <c r="OZ84" s="38"/>
      <c r="PA84" s="38"/>
      <c r="PB84" s="38"/>
      <c r="PC84" s="38"/>
      <c r="PD84" s="38"/>
      <c r="PE84" s="38"/>
      <c r="PF84" s="38"/>
      <c r="PG84" s="38"/>
      <c r="PH84" s="38"/>
      <c r="PI84" s="38"/>
      <c r="PJ84" s="38"/>
      <c r="PK84" s="38"/>
      <c r="PL84" s="38"/>
      <c r="PM84" s="38"/>
      <c r="PN84" s="38"/>
      <c r="PO84" s="38"/>
      <c r="PP84" s="38"/>
      <c r="PQ84" s="38"/>
      <c r="PR84" s="38"/>
      <c r="PS84" s="38"/>
      <c r="PT84" s="38"/>
      <c r="PU84" s="38"/>
      <c r="PV84" s="38"/>
      <c r="PW84" s="38"/>
      <c r="PX84" s="38"/>
      <c r="PY84" s="38"/>
      <c r="PZ84" s="38"/>
      <c r="QA84" s="38"/>
      <c r="QB84" s="38"/>
      <c r="QC84" s="38"/>
      <c r="QD84" s="38"/>
      <c r="QE84" s="38"/>
      <c r="QF84" s="38"/>
      <c r="QG84" s="38"/>
      <c r="QH84" s="38"/>
      <c r="QI84" s="38"/>
      <c r="QJ84" s="38"/>
      <c r="QK84" s="38"/>
      <c r="QL84" s="38"/>
      <c r="QM84" s="38"/>
      <c r="QN84" s="38"/>
      <c r="QO84" s="38"/>
      <c r="QP84" s="38"/>
      <c r="QQ84" s="38"/>
      <c r="QR84" s="38"/>
      <c r="QS84" s="38"/>
      <c r="QT84" s="38"/>
      <c r="QU84" s="38"/>
      <c r="QV84" s="38"/>
      <c r="QW84" s="38"/>
      <c r="QX84" s="38"/>
      <c r="QY84" s="38"/>
      <c r="QZ84" s="38"/>
      <c r="RA84" s="38"/>
      <c r="RB84" s="38"/>
      <c r="RC84" s="38"/>
      <c r="RD84" s="38"/>
      <c r="RE84" s="38"/>
      <c r="RF84" s="38"/>
      <c r="RG84" s="38"/>
      <c r="RH84" s="38"/>
      <c r="RI84" s="38"/>
      <c r="RJ84" s="38"/>
      <c r="RK84" s="38"/>
      <c r="RL84" s="38"/>
      <c r="RM84" s="38"/>
      <c r="RN84" s="38"/>
      <c r="RO84" s="38"/>
      <c r="RP84" s="38"/>
      <c r="RQ84" s="38"/>
      <c r="RR84" s="38"/>
      <c r="RS84" s="38"/>
      <c r="RT84" s="38"/>
      <c r="RU84" s="38"/>
      <c r="RV84" s="38"/>
      <c r="RW84" s="38"/>
      <c r="RX84" s="38"/>
      <c r="RY84" s="38"/>
      <c r="RZ84" s="38"/>
      <c r="SA84" s="38"/>
      <c r="SB84" s="38"/>
      <c r="SC84" s="38"/>
      <c r="SD84" s="38"/>
      <c r="SE84" s="38"/>
      <c r="SF84" s="38"/>
      <c r="SG84" s="38"/>
      <c r="SH84" s="38"/>
      <c r="SI84" s="38"/>
      <c r="SJ84" s="38"/>
      <c r="SK84" s="38"/>
      <c r="SL84" s="38"/>
      <c r="SM84" s="38"/>
      <c r="SN84" s="38"/>
      <c r="SO84" s="38"/>
      <c r="SP84" s="38"/>
      <c r="SQ84" s="38"/>
      <c r="SR84" s="38"/>
      <c r="SS84" s="38"/>
      <c r="ST84" s="38"/>
      <c r="SU84" s="38"/>
      <c r="SV84" s="38"/>
      <c r="SW84" s="38"/>
      <c r="SX84" s="38"/>
      <c r="SY84" s="38"/>
      <c r="SZ84" s="38"/>
      <c r="TA84" s="38"/>
      <c r="TB84" s="38"/>
      <c r="TC84" s="38"/>
      <c r="TD84" s="38"/>
      <c r="TE84" s="38"/>
      <c r="TF84" s="38"/>
      <c r="TG84" s="38"/>
      <c r="TH84" s="38"/>
      <c r="TI84" s="38"/>
      <c r="TJ84" s="38"/>
      <c r="TK84" s="38"/>
      <c r="TL84" s="38"/>
      <c r="TM84" s="38"/>
    </row>
    <row r="85" spans="1:533" s="39" customFormat="1" ht="18.75" x14ac:dyDescent="0.25">
      <c r="B85" s="50" t="s">
        <v>169</v>
      </c>
      <c r="C85" s="41" t="s">
        <v>173</v>
      </c>
      <c r="D85" s="56" t="s">
        <v>174</v>
      </c>
      <c r="E85" s="43" t="s">
        <v>29</v>
      </c>
      <c r="F85" s="53">
        <v>273</v>
      </c>
      <c r="G85" s="58"/>
      <c r="H85" s="46"/>
      <c r="I85" s="47">
        <f t="shared" si="11"/>
        <v>0</v>
      </c>
      <c r="J85" s="48">
        <v>2049</v>
      </c>
      <c r="K85" s="47" t="s">
        <v>30</v>
      </c>
      <c r="L85" s="49"/>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c r="DA85" s="38"/>
      <c r="DB85" s="38"/>
      <c r="DC85" s="38"/>
      <c r="DD85" s="38"/>
      <c r="DE85" s="38"/>
      <c r="DF85" s="38"/>
      <c r="DG85" s="38"/>
      <c r="DH85" s="38"/>
      <c r="DI85" s="38"/>
      <c r="DJ85" s="38"/>
      <c r="DK85" s="38"/>
      <c r="DL85" s="38"/>
      <c r="DM85" s="38"/>
      <c r="DN85" s="38"/>
      <c r="DO85" s="38"/>
      <c r="DP85" s="38"/>
      <c r="DQ85" s="38"/>
      <c r="DR85" s="38"/>
      <c r="DS85" s="38"/>
      <c r="DT85" s="38"/>
      <c r="DU85" s="38"/>
      <c r="DV85" s="38"/>
      <c r="DW85" s="38"/>
      <c r="DX85" s="38"/>
      <c r="DY85" s="38"/>
      <c r="DZ85" s="38"/>
      <c r="EA85" s="38"/>
      <c r="EB85" s="38"/>
      <c r="EC85" s="38"/>
      <c r="ED85" s="38"/>
      <c r="EE85" s="38"/>
      <c r="EF85" s="38"/>
      <c r="EG85" s="38"/>
      <c r="EH85" s="38"/>
      <c r="EI85" s="38"/>
      <c r="EJ85" s="38"/>
      <c r="EK85" s="38"/>
      <c r="EL85" s="38"/>
      <c r="EM85" s="38"/>
      <c r="EN85" s="38"/>
      <c r="EO85" s="38"/>
      <c r="EP85" s="38"/>
      <c r="EQ85" s="38"/>
      <c r="ER85" s="38"/>
      <c r="ES85" s="38"/>
      <c r="ET85" s="38"/>
      <c r="EU85" s="38"/>
      <c r="EV85" s="38"/>
      <c r="EW85" s="38"/>
      <c r="EX85" s="38"/>
      <c r="EY85" s="38"/>
      <c r="EZ85" s="38"/>
      <c r="FA85" s="38"/>
      <c r="FB85" s="38"/>
      <c r="FC85" s="38"/>
      <c r="FD85" s="38"/>
      <c r="FE85" s="38"/>
      <c r="FF85" s="38"/>
      <c r="FG85" s="38"/>
      <c r="FH85" s="38"/>
      <c r="FI85" s="38"/>
      <c r="FJ85" s="38"/>
      <c r="FK85" s="38"/>
      <c r="FL85" s="38"/>
      <c r="FM85" s="38"/>
      <c r="FN85" s="38"/>
      <c r="FO85" s="38"/>
      <c r="FP85" s="38"/>
      <c r="FQ85" s="38"/>
      <c r="FR85" s="38"/>
      <c r="FS85" s="38"/>
      <c r="FT85" s="38"/>
      <c r="FU85" s="38"/>
      <c r="FV85" s="38"/>
      <c r="FW85" s="38"/>
      <c r="FX85" s="38"/>
      <c r="FY85" s="38"/>
      <c r="FZ85" s="38"/>
      <c r="GA85" s="38"/>
      <c r="GB85" s="38"/>
      <c r="GC85" s="38"/>
      <c r="GD85" s="38"/>
      <c r="GE85" s="38"/>
      <c r="GF85" s="38"/>
      <c r="GG85" s="38"/>
      <c r="GH85" s="38"/>
      <c r="GI85" s="38"/>
      <c r="GJ85" s="38"/>
      <c r="GK85" s="38"/>
      <c r="GL85" s="38"/>
      <c r="GM85" s="38"/>
      <c r="GN85" s="38"/>
      <c r="GO85" s="38"/>
      <c r="GP85" s="38"/>
      <c r="GQ85" s="38"/>
      <c r="GR85" s="38"/>
      <c r="GS85" s="38"/>
      <c r="GT85" s="38"/>
      <c r="GU85" s="38"/>
      <c r="GV85" s="38"/>
      <c r="GW85" s="38"/>
      <c r="GX85" s="38"/>
      <c r="GY85" s="38"/>
      <c r="GZ85" s="38"/>
      <c r="HA85" s="38"/>
      <c r="HB85" s="38"/>
      <c r="HC85" s="38"/>
      <c r="HD85" s="38"/>
      <c r="HE85" s="38"/>
      <c r="HF85" s="38"/>
      <c r="HG85" s="38"/>
      <c r="HH85" s="38"/>
      <c r="HI85" s="38"/>
      <c r="HJ85" s="38"/>
      <c r="HK85" s="38"/>
      <c r="HL85" s="38"/>
      <c r="HM85" s="38"/>
      <c r="HN85" s="38"/>
      <c r="HO85" s="38"/>
      <c r="HP85" s="38"/>
      <c r="HQ85" s="38"/>
      <c r="HR85" s="38"/>
      <c r="HS85" s="38"/>
      <c r="HT85" s="38"/>
      <c r="HU85" s="38"/>
      <c r="HV85" s="38"/>
      <c r="HW85" s="38"/>
      <c r="HX85" s="38"/>
      <c r="HY85" s="38"/>
      <c r="HZ85" s="38"/>
      <c r="IA85" s="38"/>
      <c r="IB85" s="38"/>
      <c r="IC85" s="38"/>
      <c r="ID85" s="38"/>
      <c r="IE85" s="38"/>
      <c r="IF85" s="38"/>
      <c r="IG85" s="38"/>
      <c r="IH85" s="38"/>
      <c r="II85" s="38"/>
      <c r="IJ85" s="38"/>
      <c r="IK85" s="38"/>
      <c r="IL85" s="38"/>
      <c r="IM85" s="38"/>
      <c r="IN85" s="38"/>
      <c r="IO85" s="38"/>
      <c r="IP85" s="38"/>
      <c r="IQ85" s="38"/>
      <c r="IR85" s="38"/>
      <c r="IS85" s="38"/>
      <c r="IT85" s="38"/>
      <c r="IU85" s="38"/>
      <c r="IV85" s="38"/>
      <c r="IW85" s="38"/>
      <c r="IX85" s="38"/>
      <c r="IY85" s="38"/>
      <c r="IZ85" s="38"/>
      <c r="JA85" s="38"/>
      <c r="JB85" s="38"/>
      <c r="JC85" s="38"/>
      <c r="JD85" s="38"/>
      <c r="JE85" s="38"/>
      <c r="JF85" s="38"/>
      <c r="JG85" s="38"/>
      <c r="JH85" s="38"/>
      <c r="JI85" s="38"/>
      <c r="JJ85" s="38"/>
      <c r="JK85" s="38"/>
      <c r="JL85" s="38"/>
      <c r="JM85" s="38"/>
      <c r="JN85" s="38"/>
      <c r="JO85" s="38"/>
      <c r="JP85" s="38"/>
      <c r="JQ85" s="38"/>
      <c r="JR85" s="38"/>
      <c r="JS85" s="38"/>
      <c r="JT85" s="38"/>
      <c r="JU85" s="38"/>
      <c r="JV85" s="38"/>
      <c r="JW85" s="38"/>
      <c r="JX85" s="38"/>
      <c r="JY85" s="38"/>
      <c r="JZ85" s="38"/>
      <c r="KA85" s="38"/>
      <c r="KB85" s="38"/>
      <c r="KC85" s="38"/>
      <c r="KD85" s="38"/>
      <c r="KE85" s="38"/>
      <c r="KF85" s="38"/>
      <c r="KG85" s="38"/>
      <c r="KH85" s="38"/>
      <c r="KI85" s="38"/>
      <c r="KJ85" s="38"/>
      <c r="KK85" s="38"/>
      <c r="KL85" s="38"/>
      <c r="KM85" s="38"/>
      <c r="KN85" s="38"/>
      <c r="KO85" s="38"/>
      <c r="KP85" s="38"/>
      <c r="KQ85" s="38"/>
      <c r="KR85" s="38"/>
      <c r="KS85" s="38"/>
      <c r="KT85" s="38"/>
      <c r="KU85" s="38"/>
      <c r="KV85" s="38"/>
      <c r="KW85" s="38"/>
      <c r="KX85" s="38"/>
      <c r="KY85" s="38"/>
      <c r="KZ85" s="38"/>
      <c r="LA85" s="38"/>
      <c r="LB85" s="38"/>
      <c r="LC85" s="38"/>
      <c r="LD85" s="38"/>
      <c r="LE85" s="38"/>
      <c r="LF85" s="38"/>
      <c r="LG85" s="38"/>
      <c r="LH85" s="38"/>
      <c r="LI85" s="38"/>
      <c r="LJ85" s="38"/>
      <c r="LK85" s="38"/>
      <c r="LL85" s="38"/>
      <c r="LM85" s="38"/>
      <c r="LN85" s="38"/>
      <c r="LO85" s="38"/>
      <c r="LP85" s="38"/>
      <c r="LQ85" s="38"/>
      <c r="LR85" s="38"/>
      <c r="LS85" s="38"/>
      <c r="LT85" s="38"/>
      <c r="LU85" s="38"/>
      <c r="LV85" s="38"/>
      <c r="LW85" s="38"/>
      <c r="LX85" s="38"/>
      <c r="LY85" s="38"/>
      <c r="LZ85" s="38"/>
      <c r="MA85" s="38"/>
      <c r="MB85" s="38"/>
      <c r="MC85" s="38"/>
      <c r="MD85" s="38"/>
      <c r="ME85" s="38"/>
      <c r="MF85" s="38"/>
      <c r="MG85" s="38"/>
      <c r="MH85" s="38"/>
      <c r="MI85" s="38"/>
      <c r="MJ85" s="38"/>
      <c r="MK85" s="38"/>
      <c r="ML85" s="38"/>
      <c r="MM85" s="38"/>
      <c r="MN85" s="38"/>
      <c r="MO85" s="38"/>
      <c r="MP85" s="38"/>
      <c r="MQ85" s="38"/>
      <c r="MR85" s="38"/>
      <c r="MS85" s="38"/>
      <c r="MT85" s="38"/>
      <c r="MU85" s="38"/>
      <c r="MV85" s="38"/>
      <c r="MW85" s="38"/>
      <c r="MX85" s="38"/>
      <c r="MY85" s="38"/>
      <c r="MZ85" s="38"/>
      <c r="NA85" s="38"/>
      <c r="NB85" s="38"/>
      <c r="NC85" s="38"/>
      <c r="ND85" s="38"/>
      <c r="NE85" s="38"/>
      <c r="NF85" s="38"/>
      <c r="NG85" s="38"/>
      <c r="NH85" s="38"/>
      <c r="NI85" s="38"/>
      <c r="NJ85" s="38"/>
      <c r="NK85" s="38"/>
      <c r="NL85" s="38"/>
      <c r="NM85" s="38"/>
      <c r="NN85" s="38"/>
      <c r="NO85" s="38"/>
      <c r="NP85" s="38"/>
      <c r="NQ85" s="38"/>
      <c r="NR85" s="38"/>
      <c r="NS85" s="38"/>
      <c r="NT85" s="38"/>
      <c r="NU85" s="38"/>
      <c r="NV85" s="38"/>
      <c r="NW85" s="38"/>
      <c r="NX85" s="38"/>
      <c r="NY85" s="38"/>
      <c r="NZ85" s="38"/>
      <c r="OA85" s="38"/>
      <c r="OB85" s="38"/>
      <c r="OC85" s="38"/>
      <c r="OD85" s="38"/>
      <c r="OE85" s="38"/>
      <c r="OF85" s="38"/>
      <c r="OG85" s="38"/>
      <c r="OH85" s="38"/>
      <c r="OI85" s="38"/>
      <c r="OJ85" s="38"/>
      <c r="OK85" s="38"/>
      <c r="OL85" s="38"/>
      <c r="OM85" s="38"/>
      <c r="ON85" s="38"/>
      <c r="OO85" s="38"/>
      <c r="OP85" s="38"/>
      <c r="OQ85" s="38"/>
      <c r="OR85" s="38"/>
      <c r="OS85" s="38"/>
      <c r="OT85" s="38"/>
      <c r="OU85" s="38"/>
      <c r="OV85" s="38"/>
      <c r="OW85" s="38"/>
      <c r="OX85" s="38"/>
      <c r="OY85" s="38"/>
      <c r="OZ85" s="38"/>
      <c r="PA85" s="38"/>
      <c r="PB85" s="38"/>
      <c r="PC85" s="38"/>
      <c r="PD85" s="38"/>
      <c r="PE85" s="38"/>
      <c r="PF85" s="38"/>
      <c r="PG85" s="38"/>
      <c r="PH85" s="38"/>
      <c r="PI85" s="38"/>
      <c r="PJ85" s="38"/>
      <c r="PK85" s="38"/>
      <c r="PL85" s="38"/>
      <c r="PM85" s="38"/>
      <c r="PN85" s="38"/>
      <c r="PO85" s="38"/>
      <c r="PP85" s="38"/>
      <c r="PQ85" s="38"/>
      <c r="PR85" s="38"/>
      <c r="PS85" s="38"/>
      <c r="PT85" s="38"/>
      <c r="PU85" s="38"/>
      <c r="PV85" s="38"/>
      <c r="PW85" s="38"/>
      <c r="PX85" s="38"/>
      <c r="PY85" s="38"/>
      <c r="PZ85" s="38"/>
      <c r="QA85" s="38"/>
      <c r="QB85" s="38"/>
      <c r="QC85" s="38"/>
      <c r="QD85" s="38"/>
      <c r="QE85" s="38"/>
      <c r="QF85" s="38"/>
      <c r="QG85" s="38"/>
      <c r="QH85" s="38"/>
      <c r="QI85" s="38"/>
      <c r="QJ85" s="38"/>
      <c r="QK85" s="38"/>
      <c r="QL85" s="38"/>
      <c r="QM85" s="38"/>
      <c r="QN85" s="38"/>
      <c r="QO85" s="38"/>
      <c r="QP85" s="38"/>
      <c r="QQ85" s="38"/>
      <c r="QR85" s="38"/>
      <c r="QS85" s="38"/>
      <c r="QT85" s="38"/>
      <c r="QU85" s="38"/>
      <c r="QV85" s="38"/>
      <c r="QW85" s="38"/>
      <c r="QX85" s="38"/>
      <c r="QY85" s="38"/>
      <c r="QZ85" s="38"/>
      <c r="RA85" s="38"/>
      <c r="RB85" s="38"/>
      <c r="RC85" s="38"/>
      <c r="RD85" s="38"/>
      <c r="RE85" s="38"/>
      <c r="RF85" s="38"/>
      <c r="RG85" s="38"/>
      <c r="RH85" s="38"/>
      <c r="RI85" s="38"/>
      <c r="RJ85" s="38"/>
      <c r="RK85" s="38"/>
      <c r="RL85" s="38"/>
      <c r="RM85" s="38"/>
      <c r="RN85" s="38"/>
      <c r="RO85" s="38"/>
      <c r="RP85" s="38"/>
      <c r="RQ85" s="38"/>
      <c r="RR85" s="38"/>
      <c r="RS85" s="38"/>
      <c r="RT85" s="38"/>
      <c r="RU85" s="38"/>
      <c r="RV85" s="38"/>
      <c r="RW85" s="38"/>
      <c r="RX85" s="38"/>
      <c r="RY85" s="38"/>
      <c r="RZ85" s="38"/>
      <c r="SA85" s="38"/>
      <c r="SB85" s="38"/>
      <c r="SC85" s="38"/>
      <c r="SD85" s="38"/>
      <c r="SE85" s="38"/>
      <c r="SF85" s="38"/>
      <c r="SG85" s="38"/>
      <c r="SH85" s="38"/>
      <c r="SI85" s="38"/>
      <c r="SJ85" s="38"/>
      <c r="SK85" s="38"/>
      <c r="SL85" s="38"/>
      <c r="SM85" s="38"/>
      <c r="SN85" s="38"/>
      <c r="SO85" s="38"/>
      <c r="SP85" s="38"/>
      <c r="SQ85" s="38"/>
      <c r="SR85" s="38"/>
      <c r="SS85" s="38"/>
      <c r="ST85" s="38"/>
      <c r="SU85" s="38"/>
      <c r="SV85" s="38"/>
      <c r="SW85" s="38"/>
      <c r="SX85" s="38"/>
      <c r="SY85" s="38"/>
      <c r="SZ85" s="38"/>
      <c r="TA85" s="38"/>
      <c r="TB85" s="38"/>
      <c r="TC85" s="38"/>
      <c r="TD85" s="38"/>
      <c r="TE85" s="38"/>
      <c r="TF85" s="38"/>
      <c r="TG85" s="38"/>
      <c r="TH85" s="38"/>
      <c r="TI85" s="38"/>
      <c r="TJ85" s="38"/>
      <c r="TK85" s="38"/>
      <c r="TL85" s="38"/>
      <c r="TM85" s="38"/>
    </row>
    <row r="86" spans="1:533" s="39" customFormat="1" ht="18.75" x14ac:dyDescent="0.25">
      <c r="B86" s="50" t="s">
        <v>169</v>
      </c>
      <c r="C86" s="41" t="s">
        <v>175</v>
      </c>
      <c r="D86" s="56" t="s">
        <v>176</v>
      </c>
      <c r="E86" s="43" t="s">
        <v>29</v>
      </c>
      <c r="F86" s="53">
        <v>349</v>
      </c>
      <c r="G86" s="58"/>
      <c r="H86" s="46"/>
      <c r="I86" s="47">
        <f t="shared" si="11"/>
        <v>0</v>
      </c>
      <c r="J86" s="48">
        <v>2049</v>
      </c>
      <c r="K86" s="47" t="s">
        <v>30</v>
      </c>
      <c r="L86" s="49"/>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c r="CO86" s="38"/>
      <c r="CP86" s="38"/>
      <c r="CQ86" s="38"/>
      <c r="CR86" s="38"/>
      <c r="CS86" s="38"/>
      <c r="CT86" s="38"/>
      <c r="CU86" s="38"/>
      <c r="CV86" s="38"/>
      <c r="CW86" s="38"/>
      <c r="CX86" s="38"/>
      <c r="CY86" s="38"/>
      <c r="CZ86" s="38"/>
      <c r="DA86" s="38"/>
      <c r="DB86" s="38"/>
      <c r="DC86" s="38"/>
      <c r="DD86" s="38"/>
      <c r="DE86" s="38"/>
      <c r="DF86" s="38"/>
      <c r="DG86" s="38"/>
      <c r="DH86" s="38"/>
      <c r="DI86" s="38"/>
      <c r="DJ86" s="38"/>
      <c r="DK86" s="38"/>
      <c r="DL86" s="38"/>
      <c r="DM86" s="38"/>
      <c r="DN86" s="38"/>
      <c r="DO86" s="38"/>
      <c r="DP86" s="38"/>
      <c r="DQ86" s="38"/>
      <c r="DR86" s="38"/>
      <c r="DS86" s="38"/>
      <c r="DT86" s="38"/>
      <c r="DU86" s="38"/>
      <c r="DV86" s="38"/>
      <c r="DW86" s="38"/>
      <c r="DX86" s="38"/>
      <c r="DY86" s="38"/>
      <c r="DZ86" s="38"/>
      <c r="EA86" s="38"/>
      <c r="EB86" s="38"/>
      <c r="EC86" s="38"/>
      <c r="ED86" s="38"/>
      <c r="EE86" s="38"/>
      <c r="EF86" s="38"/>
      <c r="EG86" s="38"/>
      <c r="EH86" s="38"/>
      <c r="EI86" s="38"/>
      <c r="EJ86" s="38"/>
      <c r="EK86" s="38"/>
      <c r="EL86" s="38"/>
      <c r="EM86" s="38"/>
      <c r="EN86" s="38"/>
      <c r="EO86" s="38"/>
      <c r="EP86" s="38"/>
      <c r="EQ86" s="38"/>
      <c r="ER86" s="38"/>
      <c r="ES86" s="38"/>
      <c r="ET86" s="38"/>
      <c r="EU86" s="38"/>
      <c r="EV86" s="38"/>
      <c r="EW86" s="38"/>
      <c r="EX86" s="38"/>
      <c r="EY86" s="38"/>
      <c r="EZ86" s="38"/>
      <c r="FA86" s="38"/>
      <c r="FB86" s="38"/>
      <c r="FC86" s="38"/>
      <c r="FD86" s="38"/>
      <c r="FE86" s="38"/>
      <c r="FF86" s="38"/>
      <c r="FG86" s="38"/>
      <c r="FH86" s="38"/>
      <c r="FI86" s="38"/>
      <c r="FJ86" s="38"/>
      <c r="FK86" s="38"/>
      <c r="FL86" s="38"/>
      <c r="FM86" s="38"/>
      <c r="FN86" s="38"/>
      <c r="FO86" s="38"/>
      <c r="FP86" s="38"/>
      <c r="FQ86" s="38"/>
      <c r="FR86" s="38"/>
      <c r="FS86" s="38"/>
      <c r="FT86" s="38"/>
      <c r="FU86" s="38"/>
      <c r="FV86" s="38"/>
      <c r="FW86" s="38"/>
      <c r="FX86" s="38"/>
      <c r="FY86" s="38"/>
      <c r="FZ86" s="38"/>
      <c r="GA86" s="38"/>
      <c r="GB86" s="38"/>
      <c r="GC86" s="38"/>
      <c r="GD86" s="38"/>
      <c r="GE86" s="38"/>
      <c r="GF86" s="38"/>
      <c r="GG86" s="38"/>
      <c r="GH86" s="38"/>
      <c r="GI86" s="38"/>
      <c r="GJ86" s="38"/>
      <c r="GK86" s="38"/>
      <c r="GL86" s="38"/>
      <c r="GM86" s="38"/>
      <c r="GN86" s="38"/>
      <c r="GO86" s="38"/>
      <c r="GP86" s="38"/>
      <c r="GQ86" s="38"/>
      <c r="GR86" s="38"/>
      <c r="GS86" s="38"/>
      <c r="GT86" s="38"/>
      <c r="GU86" s="38"/>
      <c r="GV86" s="38"/>
      <c r="GW86" s="38"/>
      <c r="GX86" s="38"/>
      <c r="GY86" s="38"/>
      <c r="GZ86" s="38"/>
      <c r="HA86" s="38"/>
      <c r="HB86" s="38"/>
      <c r="HC86" s="38"/>
      <c r="HD86" s="38"/>
      <c r="HE86" s="38"/>
      <c r="HF86" s="38"/>
      <c r="HG86" s="38"/>
      <c r="HH86" s="38"/>
      <c r="HI86" s="38"/>
      <c r="HJ86" s="38"/>
      <c r="HK86" s="38"/>
      <c r="HL86" s="38"/>
      <c r="HM86" s="38"/>
      <c r="HN86" s="38"/>
      <c r="HO86" s="38"/>
      <c r="HP86" s="38"/>
      <c r="HQ86" s="38"/>
      <c r="HR86" s="38"/>
      <c r="HS86" s="38"/>
      <c r="HT86" s="38"/>
      <c r="HU86" s="38"/>
      <c r="HV86" s="38"/>
      <c r="HW86" s="38"/>
      <c r="HX86" s="38"/>
      <c r="HY86" s="38"/>
      <c r="HZ86" s="38"/>
      <c r="IA86" s="38"/>
      <c r="IB86" s="38"/>
      <c r="IC86" s="38"/>
      <c r="ID86" s="38"/>
      <c r="IE86" s="38"/>
      <c r="IF86" s="38"/>
      <c r="IG86" s="38"/>
      <c r="IH86" s="38"/>
      <c r="II86" s="38"/>
      <c r="IJ86" s="38"/>
      <c r="IK86" s="38"/>
      <c r="IL86" s="38"/>
      <c r="IM86" s="38"/>
      <c r="IN86" s="38"/>
      <c r="IO86" s="38"/>
      <c r="IP86" s="38"/>
      <c r="IQ86" s="38"/>
      <c r="IR86" s="38"/>
      <c r="IS86" s="38"/>
      <c r="IT86" s="38"/>
      <c r="IU86" s="38"/>
      <c r="IV86" s="38"/>
      <c r="IW86" s="38"/>
      <c r="IX86" s="38"/>
      <c r="IY86" s="38"/>
      <c r="IZ86" s="38"/>
      <c r="JA86" s="38"/>
      <c r="JB86" s="38"/>
      <c r="JC86" s="38"/>
      <c r="JD86" s="38"/>
      <c r="JE86" s="38"/>
      <c r="JF86" s="38"/>
      <c r="JG86" s="38"/>
      <c r="JH86" s="38"/>
      <c r="JI86" s="38"/>
      <c r="JJ86" s="38"/>
      <c r="JK86" s="38"/>
      <c r="JL86" s="38"/>
      <c r="JM86" s="38"/>
      <c r="JN86" s="38"/>
      <c r="JO86" s="38"/>
      <c r="JP86" s="38"/>
      <c r="JQ86" s="38"/>
      <c r="JR86" s="38"/>
      <c r="JS86" s="38"/>
      <c r="JT86" s="38"/>
      <c r="JU86" s="38"/>
      <c r="JV86" s="38"/>
      <c r="JW86" s="38"/>
      <c r="JX86" s="38"/>
      <c r="JY86" s="38"/>
      <c r="JZ86" s="38"/>
      <c r="KA86" s="38"/>
      <c r="KB86" s="38"/>
      <c r="KC86" s="38"/>
      <c r="KD86" s="38"/>
      <c r="KE86" s="38"/>
      <c r="KF86" s="38"/>
      <c r="KG86" s="38"/>
      <c r="KH86" s="38"/>
      <c r="KI86" s="38"/>
      <c r="KJ86" s="38"/>
      <c r="KK86" s="38"/>
      <c r="KL86" s="38"/>
      <c r="KM86" s="38"/>
      <c r="KN86" s="38"/>
      <c r="KO86" s="38"/>
      <c r="KP86" s="38"/>
      <c r="KQ86" s="38"/>
      <c r="KR86" s="38"/>
      <c r="KS86" s="38"/>
      <c r="KT86" s="38"/>
      <c r="KU86" s="38"/>
      <c r="KV86" s="38"/>
      <c r="KW86" s="38"/>
      <c r="KX86" s="38"/>
      <c r="KY86" s="38"/>
      <c r="KZ86" s="38"/>
      <c r="LA86" s="38"/>
      <c r="LB86" s="38"/>
      <c r="LC86" s="38"/>
      <c r="LD86" s="38"/>
      <c r="LE86" s="38"/>
      <c r="LF86" s="38"/>
      <c r="LG86" s="38"/>
      <c r="LH86" s="38"/>
      <c r="LI86" s="38"/>
      <c r="LJ86" s="38"/>
      <c r="LK86" s="38"/>
      <c r="LL86" s="38"/>
      <c r="LM86" s="38"/>
      <c r="LN86" s="38"/>
      <c r="LO86" s="38"/>
      <c r="LP86" s="38"/>
      <c r="LQ86" s="38"/>
      <c r="LR86" s="38"/>
      <c r="LS86" s="38"/>
      <c r="LT86" s="38"/>
      <c r="LU86" s="38"/>
      <c r="LV86" s="38"/>
      <c r="LW86" s="38"/>
      <c r="LX86" s="38"/>
      <c r="LY86" s="38"/>
      <c r="LZ86" s="38"/>
      <c r="MA86" s="38"/>
      <c r="MB86" s="38"/>
      <c r="MC86" s="38"/>
      <c r="MD86" s="38"/>
      <c r="ME86" s="38"/>
      <c r="MF86" s="38"/>
      <c r="MG86" s="38"/>
      <c r="MH86" s="38"/>
      <c r="MI86" s="38"/>
      <c r="MJ86" s="38"/>
      <c r="MK86" s="38"/>
      <c r="ML86" s="38"/>
      <c r="MM86" s="38"/>
      <c r="MN86" s="38"/>
      <c r="MO86" s="38"/>
      <c r="MP86" s="38"/>
      <c r="MQ86" s="38"/>
      <c r="MR86" s="38"/>
      <c r="MS86" s="38"/>
      <c r="MT86" s="38"/>
      <c r="MU86" s="38"/>
      <c r="MV86" s="38"/>
      <c r="MW86" s="38"/>
      <c r="MX86" s="38"/>
      <c r="MY86" s="38"/>
      <c r="MZ86" s="38"/>
      <c r="NA86" s="38"/>
      <c r="NB86" s="38"/>
      <c r="NC86" s="38"/>
      <c r="ND86" s="38"/>
      <c r="NE86" s="38"/>
      <c r="NF86" s="38"/>
      <c r="NG86" s="38"/>
      <c r="NH86" s="38"/>
      <c r="NI86" s="38"/>
      <c r="NJ86" s="38"/>
      <c r="NK86" s="38"/>
      <c r="NL86" s="38"/>
      <c r="NM86" s="38"/>
      <c r="NN86" s="38"/>
      <c r="NO86" s="38"/>
      <c r="NP86" s="38"/>
      <c r="NQ86" s="38"/>
      <c r="NR86" s="38"/>
      <c r="NS86" s="38"/>
      <c r="NT86" s="38"/>
      <c r="NU86" s="38"/>
      <c r="NV86" s="38"/>
      <c r="NW86" s="38"/>
      <c r="NX86" s="38"/>
      <c r="NY86" s="38"/>
      <c r="NZ86" s="38"/>
      <c r="OA86" s="38"/>
      <c r="OB86" s="38"/>
      <c r="OC86" s="38"/>
      <c r="OD86" s="38"/>
      <c r="OE86" s="38"/>
      <c r="OF86" s="38"/>
      <c r="OG86" s="38"/>
      <c r="OH86" s="38"/>
      <c r="OI86" s="38"/>
      <c r="OJ86" s="38"/>
      <c r="OK86" s="38"/>
      <c r="OL86" s="38"/>
      <c r="OM86" s="38"/>
      <c r="ON86" s="38"/>
      <c r="OO86" s="38"/>
      <c r="OP86" s="38"/>
      <c r="OQ86" s="38"/>
      <c r="OR86" s="38"/>
      <c r="OS86" s="38"/>
      <c r="OT86" s="38"/>
      <c r="OU86" s="38"/>
      <c r="OV86" s="38"/>
      <c r="OW86" s="38"/>
      <c r="OX86" s="38"/>
      <c r="OY86" s="38"/>
      <c r="OZ86" s="38"/>
      <c r="PA86" s="38"/>
      <c r="PB86" s="38"/>
      <c r="PC86" s="38"/>
      <c r="PD86" s="38"/>
      <c r="PE86" s="38"/>
      <c r="PF86" s="38"/>
      <c r="PG86" s="38"/>
      <c r="PH86" s="38"/>
      <c r="PI86" s="38"/>
      <c r="PJ86" s="38"/>
      <c r="PK86" s="38"/>
      <c r="PL86" s="38"/>
      <c r="PM86" s="38"/>
      <c r="PN86" s="38"/>
      <c r="PO86" s="38"/>
      <c r="PP86" s="38"/>
      <c r="PQ86" s="38"/>
      <c r="PR86" s="38"/>
      <c r="PS86" s="38"/>
      <c r="PT86" s="38"/>
      <c r="PU86" s="38"/>
      <c r="PV86" s="38"/>
      <c r="PW86" s="38"/>
      <c r="PX86" s="38"/>
      <c r="PY86" s="38"/>
      <c r="PZ86" s="38"/>
      <c r="QA86" s="38"/>
      <c r="QB86" s="38"/>
      <c r="QC86" s="38"/>
      <c r="QD86" s="38"/>
      <c r="QE86" s="38"/>
      <c r="QF86" s="38"/>
      <c r="QG86" s="38"/>
      <c r="QH86" s="38"/>
      <c r="QI86" s="38"/>
      <c r="QJ86" s="38"/>
      <c r="QK86" s="38"/>
      <c r="QL86" s="38"/>
      <c r="QM86" s="38"/>
      <c r="QN86" s="38"/>
      <c r="QO86" s="38"/>
      <c r="QP86" s="38"/>
      <c r="QQ86" s="38"/>
      <c r="QR86" s="38"/>
      <c r="QS86" s="38"/>
      <c r="QT86" s="38"/>
      <c r="QU86" s="38"/>
      <c r="QV86" s="38"/>
      <c r="QW86" s="38"/>
      <c r="QX86" s="38"/>
      <c r="QY86" s="38"/>
      <c r="QZ86" s="38"/>
      <c r="RA86" s="38"/>
      <c r="RB86" s="38"/>
      <c r="RC86" s="38"/>
      <c r="RD86" s="38"/>
      <c r="RE86" s="38"/>
      <c r="RF86" s="38"/>
      <c r="RG86" s="38"/>
      <c r="RH86" s="38"/>
      <c r="RI86" s="38"/>
      <c r="RJ86" s="38"/>
      <c r="RK86" s="38"/>
      <c r="RL86" s="38"/>
      <c r="RM86" s="38"/>
      <c r="RN86" s="38"/>
      <c r="RO86" s="38"/>
      <c r="RP86" s="38"/>
      <c r="RQ86" s="38"/>
      <c r="RR86" s="38"/>
      <c r="RS86" s="38"/>
      <c r="RT86" s="38"/>
      <c r="RU86" s="38"/>
      <c r="RV86" s="38"/>
      <c r="RW86" s="38"/>
      <c r="RX86" s="38"/>
      <c r="RY86" s="38"/>
      <c r="RZ86" s="38"/>
      <c r="SA86" s="38"/>
      <c r="SB86" s="38"/>
      <c r="SC86" s="38"/>
      <c r="SD86" s="38"/>
      <c r="SE86" s="38"/>
      <c r="SF86" s="38"/>
      <c r="SG86" s="38"/>
      <c r="SH86" s="38"/>
      <c r="SI86" s="38"/>
      <c r="SJ86" s="38"/>
      <c r="SK86" s="38"/>
      <c r="SL86" s="38"/>
      <c r="SM86" s="38"/>
      <c r="SN86" s="38"/>
      <c r="SO86" s="38"/>
      <c r="SP86" s="38"/>
      <c r="SQ86" s="38"/>
      <c r="SR86" s="38"/>
      <c r="SS86" s="38"/>
      <c r="ST86" s="38"/>
      <c r="SU86" s="38"/>
      <c r="SV86" s="38"/>
      <c r="SW86" s="38"/>
      <c r="SX86" s="38"/>
      <c r="SY86" s="38"/>
      <c r="SZ86" s="38"/>
      <c r="TA86" s="38"/>
      <c r="TB86" s="38"/>
      <c r="TC86" s="38"/>
      <c r="TD86" s="38"/>
      <c r="TE86" s="38"/>
      <c r="TF86" s="38"/>
      <c r="TG86" s="38"/>
      <c r="TH86" s="38"/>
      <c r="TI86" s="38"/>
      <c r="TJ86" s="38"/>
      <c r="TK86" s="38"/>
      <c r="TL86" s="38"/>
      <c r="TM86" s="38"/>
    </row>
    <row r="87" spans="1:533" s="39" customFormat="1" ht="56.25" x14ac:dyDescent="0.25">
      <c r="B87" s="50" t="s">
        <v>169</v>
      </c>
      <c r="C87" s="41"/>
      <c r="D87" s="57" t="s">
        <v>177</v>
      </c>
      <c r="E87" s="86"/>
      <c r="F87" s="53"/>
      <c r="G87" s="58"/>
      <c r="H87" s="46"/>
      <c r="I87" s="55"/>
      <c r="J87" s="48"/>
      <c r="K87" s="47"/>
      <c r="L87" s="49"/>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c r="DA87" s="38"/>
      <c r="DB87" s="38"/>
      <c r="DC87" s="38"/>
      <c r="DD87" s="38"/>
      <c r="DE87" s="38"/>
      <c r="DF87" s="38"/>
      <c r="DG87" s="38"/>
      <c r="DH87" s="38"/>
      <c r="DI87" s="38"/>
      <c r="DJ87" s="38"/>
      <c r="DK87" s="38"/>
      <c r="DL87" s="38"/>
      <c r="DM87" s="38"/>
      <c r="DN87" s="38"/>
      <c r="DO87" s="38"/>
      <c r="DP87" s="38"/>
      <c r="DQ87" s="38"/>
      <c r="DR87" s="38"/>
      <c r="DS87" s="38"/>
      <c r="DT87" s="38"/>
      <c r="DU87" s="38"/>
      <c r="DV87" s="38"/>
      <c r="DW87" s="38"/>
      <c r="DX87" s="38"/>
      <c r="DY87" s="38"/>
      <c r="DZ87" s="38"/>
      <c r="EA87" s="38"/>
      <c r="EB87" s="38"/>
      <c r="EC87" s="38"/>
      <c r="ED87" s="38"/>
      <c r="EE87" s="38"/>
      <c r="EF87" s="38"/>
      <c r="EG87" s="38"/>
      <c r="EH87" s="38"/>
      <c r="EI87" s="38"/>
      <c r="EJ87" s="38"/>
      <c r="EK87" s="38"/>
      <c r="EL87" s="38"/>
      <c r="EM87" s="38"/>
      <c r="EN87" s="38"/>
      <c r="EO87" s="38"/>
      <c r="EP87" s="38"/>
      <c r="EQ87" s="38"/>
      <c r="ER87" s="38"/>
      <c r="ES87" s="38"/>
      <c r="ET87" s="38"/>
      <c r="EU87" s="38"/>
      <c r="EV87" s="38"/>
      <c r="EW87" s="38"/>
      <c r="EX87" s="38"/>
      <c r="EY87" s="38"/>
      <c r="EZ87" s="38"/>
      <c r="FA87" s="38"/>
      <c r="FB87" s="38"/>
      <c r="FC87" s="38"/>
      <c r="FD87" s="38"/>
      <c r="FE87" s="38"/>
      <c r="FF87" s="38"/>
      <c r="FG87" s="38"/>
      <c r="FH87" s="38"/>
      <c r="FI87" s="38"/>
      <c r="FJ87" s="38"/>
      <c r="FK87" s="38"/>
      <c r="FL87" s="38"/>
      <c r="FM87" s="38"/>
      <c r="FN87" s="38"/>
      <c r="FO87" s="38"/>
      <c r="FP87" s="38"/>
      <c r="FQ87" s="38"/>
      <c r="FR87" s="38"/>
      <c r="FS87" s="38"/>
      <c r="FT87" s="38"/>
      <c r="FU87" s="38"/>
      <c r="FV87" s="38"/>
      <c r="FW87" s="38"/>
      <c r="FX87" s="38"/>
      <c r="FY87" s="38"/>
      <c r="FZ87" s="38"/>
      <c r="GA87" s="38"/>
      <c r="GB87" s="38"/>
      <c r="GC87" s="38"/>
      <c r="GD87" s="38"/>
      <c r="GE87" s="38"/>
      <c r="GF87" s="38"/>
      <c r="GG87" s="38"/>
      <c r="GH87" s="38"/>
      <c r="GI87" s="38"/>
      <c r="GJ87" s="38"/>
      <c r="GK87" s="38"/>
      <c r="GL87" s="38"/>
      <c r="GM87" s="38"/>
      <c r="GN87" s="38"/>
      <c r="GO87" s="38"/>
      <c r="GP87" s="38"/>
      <c r="GQ87" s="38"/>
      <c r="GR87" s="38"/>
      <c r="GS87" s="38"/>
      <c r="GT87" s="38"/>
      <c r="GU87" s="38"/>
      <c r="GV87" s="38"/>
      <c r="GW87" s="38"/>
      <c r="GX87" s="38"/>
      <c r="GY87" s="38"/>
      <c r="GZ87" s="38"/>
      <c r="HA87" s="38"/>
      <c r="HB87" s="38"/>
      <c r="HC87" s="38"/>
      <c r="HD87" s="38"/>
      <c r="HE87" s="38"/>
      <c r="HF87" s="38"/>
      <c r="HG87" s="38"/>
      <c r="HH87" s="38"/>
      <c r="HI87" s="38"/>
      <c r="HJ87" s="38"/>
      <c r="HK87" s="38"/>
      <c r="HL87" s="38"/>
      <c r="HM87" s="38"/>
      <c r="HN87" s="38"/>
      <c r="HO87" s="38"/>
      <c r="HP87" s="38"/>
      <c r="HQ87" s="38"/>
      <c r="HR87" s="38"/>
      <c r="HS87" s="38"/>
      <c r="HT87" s="38"/>
      <c r="HU87" s="38"/>
      <c r="HV87" s="38"/>
      <c r="HW87" s="38"/>
      <c r="HX87" s="38"/>
      <c r="HY87" s="38"/>
      <c r="HZ87" s="38"/>
      <c r="IA87" s="38"/>
      <c r="IB87" s="38"/>
      <c r="IC87" s="38"/>
      <c r="ID87" s="38"/>
      <c r="IE87" s="38"/>
      <c r="IF87" s="38"/>
      <c r="IG87" s="38"/>
      <c r="IH87" s="38"/>
      <c r="II87" s="38"/>
      <c r="IJ87" s="38"/>
      <c r="IK87" s="38"/>
      <c r="IL87" s="38"/>
      <c r="IM87" s="38"/>
      <c r="IN87" s="38"/>
      <c r="IO87" s="38"/>
      <c r="IP87" s="38"/>
      <c r="IQ87" s="38"/>
      <c r="IR87" s="38"/>
      <c r="IS87" s="38"/>
      <c r="IT87" s="38"/>
      <c r="IU87" s="38"/>
      <c r="IV87" s="38"/>
      <c r="IW87" s="38"/>
      <c r="IX87" s="38"/>
      <c r="IY87" s="38"/>
      <c r="IZ87" s="38"/>
      <c r="JA87" s="38"/>
      <c r="JB87" s="38"/>
      <c r="JC87" s="38"/>
      <c r="JD87" s="38"/>
      <c r="JE87" s="38"/>
      <c r="JF87" s="38"/>
      <c r="JG87" s="38"/>
      <c r="JH87" s="38"/>
      <c r="JI87" s="38"/>
      <c r="JJ87" s="38"/>
      <c r="JK87" s="38"/>
      <c r="JL87" s="38"/>
      <c r="JM87" s="38"/>
      <c r="JN87" s="38"/>
      <c r="JO87" s="38"/>
      <c r="JP87" s="38"/>
      <c r="JQ87" s="38"/>
      <c r="JR87" s="38"/>
      <c r="JS87" s="38"/>
      <c r="JT87" s="38"/>
      <c r="JU87" s="38"/>
      <c r="JV87" s="38"/>
      <c r="JW87" s="38"/>
      <c r="JX87" s="38"/>
      <c r="JY87" s="38"/>
      <c r="JZ87" s="38"/>
      <c r="KA87" s="38"/>
      <c r="KB87" s="38"/>
      <c r="KC87" s="38"/>
      <c r="KD87" s="38"/>
      <c r="KE87" s="38"/>
      <c r="KF87" s="38"/>
      <c r="KG87" s="38"/>
      <c r="KH87" s="38"/>
      <c r="KI87" s="38"/>
      <c r="KJ87" s="38"/>
      <c r="KK87" s="38"/>
      <c r="KL87" s="38"/>
      <c r="KM87" s="38"/>
      <c r="KN87" s="38"/>
      <c r="KO87" s="38"/>
      <c r="KP87" s="38"/>
      <c r="KQ87" s="38"/>
      <c r="KR87" s="38"/>
      <c r="KS87" s="38"/>
      <c r="KT87" s="38"/>
      <c r="KU87" s="38"/>
      <c r="KV87" s="38"/>
      <c r="KW87" s="38"/>
      <c r="KX87" s="38"/>
      <c r="KY87" s="38"/>
      <c r="KZ87" s="38"/>
      <c r="LA87" s="38"/>
      <c r="LB87" s="38"/>
      <c r="LC87" s="38"/>
      <c r="LD87" s="38"/>
      <c r="LE87" s="38"/>
      <c r="LF87" s="38"/>
      <c r="LG87" s="38"/>
      <c r="LH87" s="38"/>
      <c r="LI87" s="38"/>
      <c r="LJ87" s="38"/>
      <c r="LK87" s="38"/>
      <c r="LL87" s="38"/>
      <c r="LM87" s="38"/>
      <c r="LN87" s="38"/>
      <c r="LO87" s="38"/>
      <c r="LP87" s="38"/>
      <c r="LQ87" s="38"/>
      <c r="LR87" s="38"/>
      <c r="LS87" s="38"/>
      <c r="LT87" s="38"/>
      <c r="LU87" s="38"/>
      <c r="LV87" s="38"/>
      <c r="LW87" s="38"/>
      <c r="LX87" s="38"/>
      <c r="LY87" s="38"/>
      <c r="LZ87" s="38"/>
      <c r="MA87" s="38"/>
      <c r="MB87" s="38"/>
      <c r="MC87" s="38"/>
      <c r="MD87" s="38"/>
      <c r="ME87" s="38"/>
      <c r="MF87" s="38"/>
      <c r="MG87" s="38"/>
      <c r="MH87" s="38"/>
      <c r="MI87" s="38"/>
      <c r="MJ87" s="38"/>
      <c r="MK87" s="38"/>
      <c r="ML87" s="38"/>
      <c r="MM87" s="38"/>
      <c r="MN87" s="38"/>
      <c r="MO87" s="38"/>
      <c r="MP87" s="38"/>
      <c r="MQ87" s="38"/>
      <c r="MR87" s="38"/>
      <c r="MS87" s="38"/>
      <c r="MT87" s="38"/>
      <c r="MU87" s="38"/>
      <c r="MV87" s="38"/>
      <c r="MW87" s="38"/>
      <c r="MX87" s="38"/>
      <c r="MY87" s="38"/>
      <c r="MZ87" s="38"/>
      <c r="NA87" s="38"/>
      <c r="NB87" s="38"/>
      <c r="NC87" s="38"/>
      <c r="ND87" s="38"/>
      <c r="NE87" s="38"/>
      <c r="NF87" s="38"/>
      <c r="NG87" s="38"/>
      <c r="NH87" s="38"/>
      <c r="NI87" s="38"/>
      <c r="NJ87" s="38"/>
      <c r="NK87" s="38"/>
      <c r="NL87" s="38"/>
      <c r="NM87" s="38"/>
      <c r="NN87" s="38"/>
      <c r="NO87" s="38"/>
      <c r="NP87" s="38"/>
      <c r="NQ87" s="38"/>
      <c r="NR87" s="38"/>
      <c r="NS87" s="38"/>
      <c r="NT87" s="38"/>
      <c r="NU87" s="38"/>
      <c r="NV87" s="38"/>
      <c r="NW87" s="38"/>
      <c r="NX87" s="38"/>
      <c r="NY87" s="38"/>
      <c r="NZ87" s="38"/>
      <c r="OA87" s="38"/>
      <c r="OB87" s="38"/>
      <c r="OC87" s="38"/>
      <c r="OD87" s="38"/>
      <c r="OE87" s="38"/>
      <c r="OF87" s="38"/>
      <c r="OG87" s="38"/>
      <c r="OH87" s="38"/>
      <c r="OI87" s="38"/>
      <c r="OJ87" s="38"/>
      <c r="OK87" s="38"/>
      <c r="OL87" s="38"/>
      <c r="OM87" s="38"/>
      <c r="ON87" s="38"/>
      <c r="OO87" s="38"/>
      <c r="OP87" s="38"/>
      <c r="OQ87" s="38"/>
      <c r="OR87" s="38"/>
      <c r="OS87" s="38"/>
      <c r="OT87" s="38"/>
      <c r="OU87" s="38"/>
      <c r="OV87" s="38"/>
      <c r="OW87" s="38"/>
      <c r="OX87" s="38"/>
      <c r="OY87" s="38"/>
      <c r="OZ87" s="38"/>
      <c r="PA87" s="38"/>
      <c r="PB87" s="38"/>
      <c r="PC87" s="38"/>
      <c r="PD87" s="38"/>
      <c r="PE87" s="38"/>
      <c r="PF87" s="38"/>
      <c r="PG87" s="38"/>
      <c r="PH87" s="38"/>
      <c r="PI87" s="38"/>
      <c r="PJ87" s="38"/>
      <c r="PK87" s="38"/>
      <c r="PL87" s="38"/>
      <c r="PM87" s="38"/>
      <c r="PN87" s="38"/>
      <c r="PO87" s="38"/>
      <c r="PP87" s="38"/>
      <c r="PQ87" s="38"/>
      <c r="PR87" s="38"/>
      <c r="PS87" s="38"/>
      <c r="PT87" s="38"/>
      <c r="PU87" s="38"/>
      <c r="PV87" s="38"/>
      <c r="PW87" s="38"/>
      <c r="PX87" s="38"/>
      <c r="PY87" s="38"/>
      <c r="PZ87" s="38"/>
      <c r="QA87" s="38"/>
      <c r="QB87" s="38"/>
      <c r="QC87" s="38"/>
      <c r="QD87" s="38"/>
      <c r="QE87" s="38"/>
      <c r="QF87" s="38"/>
      <c r="QG87" s="38"/>
      <c r="QH87" s="38"/>
      <c r="QI87" s="38"/>
      <c r="QJ87" s="38"/>
      <c r="QK87" s="38"/>
      <c r="QL87" s="38"/>
      <c r="QM87" s="38"/>
      <c r="QN87" s="38"/>
      <c r="QO87" s="38"/>
      <c r="QP87" s="38"/>
      <c r="QQ87" s="38"/>
      <c r="QR87" s="38"/>
      <c r="QS87" s="38"/>
      <c r="QT87" s="38"/>
      <c r="QU87" s="38"/>
      <c r="QV87" s="38"/>
      <c r="QW87" s="38"/>
      <c r="QX87" s="38"/>
      <c r="QY87" s="38"/>
      <c r="QZ87" s="38"/>
      <c r="RA87" s="38"/>
      <c r="RB87" s="38"/>
      <c r="RC87" s="38"/>
      <c r="RD87" s="38"/>
      <c r="RE87" s="38"/>
      <c r="RF87" s="38"/>
      <c r="RG87" s="38"/>
      <c r="RH87" s="38"/>
      <c r="RI87" s="38"/>
      <c r="RJ87" s="38"/>
      <c r="RK87" s="38"/>
      <c r="RL87" s="38"/>
      <c r="RM87" s="38"/>
      <c r="RN87" s="38"/>
      <c r="RO87" s="38"/>
      <c r="RP87" s="38"/>
      <c r="RQ87" s="38"/>
      <c r="RR87" s="38"/>
      <c r="RS87" s="38"/>
      <c r="RT87" s="38"/>
      <c r="RU87" s="38"/>
      <c r="RV87" s="38"/>
      <c r="RW87" s="38"/>
      <c r="RX87" s="38"/>
      <c r="RY87" s="38"/>
      <c r="RZ87" s="38"/>
      <c r="SA87" s="38"/>
      <c r="SB87" s="38"/>
      <c r="SC87" s="38"/>
      <c r="SD87" s="38"/>
      <c r="SE87" s="38"/>
      <c r="SF87" s="38"/>
      <c r="SG87" s="38"/>
      <c r="SH87" s="38"/>
      <c r="SI87" s="38"/>
      <c r="SJ87" s="38"/>
      <c r="SK87" s="38"/>
      <c r="SL87" s="38"/>
      <c r="SM87" s="38"/>
      <c r="SN87" s="38"/>
      <c r="SO87" s="38"/>
      <c r="SP87" s="38"/>
      <c r="SQ87" s="38"/>
      <c r="SR87" s="38"/>
      <c r="SS87" s="38"/>
      <c r="ST87" s="38"/>
      <c r="SU87" s="38"/>
      <c r="SV87" s="38"/>
      <c r="SW87" s="38"/>
      <c r="SX87" s="38"/>
      <c r="SY87" s="38"/>
      <c r="SZ87" s="38"/>
      <c r="TA87" s="38"/>
      <c r="TB87" s="38"/>
      <c r="TC87" s="38"/>
      <c r="TD87" s="38"/>
      <c r="TE87" s="38"/>
      <c r="TF87" s="38"/>
      <c r="TG87" s="38"/>
      <c r="TH87" s="38"/>
      <c r="TI87" s="38"/>
      <c r="TJ87" s="38"/>
      <c r="TK87" s="38"/>
      <c r="TL87" s="38"/>
      <c r="TM87" s="38"/>
    </row>
    <row r="88" spans="1:533" s="39" customFormat="1" ht="18.75" x14ac:dyDescent="0.25">
      <c r="B88" s="50" t="s">
        <v>169</v>
      </c>
      <c r="C88" s="41" t="s">
        <v>178</v>
      </c>
      <c r="D88" s="56" t="s">
        <v>179</v>
      </c>
      <c r="E88" s="43" t="s">
        <v>29</v>
      </c>
      <c r="F88" s="53">
        <v>739</v>
      </c>
      <c r="G88" s="58"/>
      <c r="H88" s="46"/>
      <c r="I88" s="47">
        <f t="shared" ref="I88" si="12">F88*G88</f>
        <v>0</v>
      </c>
      <c r="J88" s="48">
        <v>2049</v>
      </c>
      <c r="K88" s="47" t="s">
        <v>30</v>
      </c>
      <c r="L88" s="49"/>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c r="CO88" s="38"/>
      <c r="CP88" s="38"/>
      <c r="CQ88" s="38"/>
      <c r="CR88" s="38"/>
      <c r="CS88" s="38"/>
      <c r="CT88" s="38"/>
      <c r="CU88" s="38"/>
      <c r="CV88" s="38"/>
      <c r="CW88" s="38"/>
      <c r="CX88" s="38"/>
      <c r="CY88" s="38"/>
      <c r="CZ88" s="38"/>
      <c r="DA88" s="38"/>
      <c r="DB88" s="38"/>
      <c r="DC88" s="38"/>
      <c r="DD88" s="38"/>
      <c r="DE88" s="38"/>
      <c r="DF88" s="38"/>
      <c r="DG88" s="38"/>
      <c r="DH88" s="38"/>
      <c r="DI88" s="38"/>
      <c r="DJ88" s="38"/>
      <c r="DK88" s="38"/>
      <c r="DL88" s="38"/>
      <c r="DM88" s="38"/>
      <c r="DN88" s="38"/>
      <c r="DO88" s="38"/>
      <c r="DP88" s="38"/>
      <c r="DQ88" s="38"/>
      <c r="DR88" s="38"/>
      <c r="DS88" s="38"/>
      <c r="DT88" s="38"/>
      <c r="DU88" s="38"/>
      <c r="DV88" s="38"/>
      <c r="DW88" s="38"/>
      <c r="DX88" s="38"/>
      <c r="DY88" s="38"/>
      <c r="DZ88" s="38"/>
      <c r="EA88" s="38"/>
      <c r="EB88" s="38"/>
      <c r="EC88" s="38"/>
      <c r="ED88" s="38"/>
      <c r="EE88" s="38"/>
      <c r="EF88" s="38"/>
      <c r="EG88" s="38"/>
      <c r="EH88" s="38"/>
      <c r="EI88" s="38"/>
      <c r="EJ88" s="38"/>
      <c r="EK88" s="38"/>
      <c r="EL88" s="38"/>
      <c r="EM88" s="38"/>
      <c r="EN88" s="38"/>
      <c r="EO88" s="38"/>
      <c r="EP88" s="38"/>
      <c r="EQ88" s="38"/>
      <c r="ER88" s="38"/>
      <c r="ES88" s="38"/>
      <c r="ET88" s="38"/>
      <c r="EU88" s="38"/>
      <c r="EV88" s="38"/>
      <c r="EW88" s="38"/>
      <c r="EX88" s="38"/>
      <c r="EY88" s="38"/>
      <c r="EZ88" s="38"/>
      <c r="FA88" s="38"/>
      <c r="FB88" s="38"/>
      <c r="FC88" s="38"/>
      <c r="FD88" s="38"/>
      <c r="FE88" s="38"/>
      <c r="FF88" s="38"/>
      <c r="FG88" s="38"/>
      <c r="FH88" s="38"/>
      <c r="FI88" s="38"/>
      <c r="FJ88" s="38"/>
      <c r="FK88" s="38"/>
      <c r="FL88" s="38"/>
      <c r="FM88" s="38"/>
      <c r="FN88" s="38"/>
      <c r="FO88" s="38"/>
      <c r="FP88" s="38"/>
      <c r="FQ88" s="38"/>
      <c r="FR88" s="38"/>
      <c r="FS88" s="38"/>
      <c r="FT88" s="38"/>
      <c r="FU88" s="38"/>
      <c r="FV88" s="38"/>
      <c r="FW88" s="38"/>
      <c r="FX88" s="38"/>
      <c r="FY88" s="38"/>
      <c r="FZ88" s="38"/>
      <c r="GA88" s="38"/>
      <c r="GB88" s="38"/>
      <c r="GC88" s="38"/>
      <c r="GD88" s="38"/>
      <c r="GE88" s="38"/>
      <c r="GF88" s="38"/>
      <c r="GG88" s="38"/>
      <c r="GH88" s="38"/>
      <c r="GI88" s="38"/>
      <c r="GJ88" s="38"/>
      <c r="GK88" s="38"/>
      <c r="GL88" s="38"/>
      <c r="GM88" s="38"/>
      <c r="GN88" s="38"/>
      <c r="GO88" s="38"/>
      <c r="GP88" s="38"/>
      <c r="GQ88" s="38"/>
      <c r="GR88" s="38"/>
      <c r="GS88" s="38"/>
      <c r="GT88" s="38"/>
      <c r="GU88" s="38"/>
      <c r="GV88" s="38"/>
      <c r="GW88" s="38"/>
      <c r="GX88" s="38"/>
      <c r="GY88" s="38"/>
      <c r="GZ88" s="38"/>
      <c r="HA88" s="38"/>
      <c r="HB88" s="38"/>
      <c r="HC88" s="38"/>
      <c r="HD88" s="38"/>
      <c r="HE88" s="38"/>
      <c r="HF88" s="38"/>
      <c r="HG88" s="38"/>
      <c r="HH88" s="38"/>
      <c r="HI88" s="38"/>
      <c r="HJ88" s="38"/>
      <c r="HK88" s="38"/>
      <c r="HL88" s="38"/>
      <c r="HM88" s="38"/>
      <c r="HN88" s="38"/>
      <c r="HO88" s="38"/>
      <c r="HP88" s="38"/>
      <c r="HQ88" s="38"/>
      <c r="HR88" s="38"/>
      <c r="HS88" s="38"/>
      <c r="HT88" s="38"/>
      <c r="HU88" s="38"/>
      <c r="HV88" s="38"/>
      <c r="HW88" s="38"/>
      <c r="HX88" s="38"/>
      <c r="HY88" s="38"/>
      <c r="HZ88" s="38"/>
      <c r="IA88" s="38"/>
      <c r="IB88" s="38"/>
      <c r="IC88" s="38"/>
      <c r="ID88" s="38"/>
      <c r="IE88" s="38"/>
      <c r="IF88" s="38"/>
      <c r="IG88" s="38"/>
      <c r="IH88" s="38"/>
      <c r="II88" s="38"/>
      <c r="IJ88" s="38"/>
      <c r="IK88" s="38"/>
      <c r="IL88" s="38"/>
      <c r="IM88" s="38"/>
      <c r="IN88" s="38"/>
      <c r="IO88" s="38"/>
      <c r="IP88" s="38"/>
      <c r="IQ88" s="38"/>
      <c r="IR88" s="38"/>
      <c r="IS88" s="38"/>
      <c r="IT88" s="38"/>
      <c r="IU88" s="38"/>
      <c r="IV88" s="38"/>
      <c r="IW88" s="38"/>
      <c r="IX88" s="38"/>
      <c r="IY88" s="38"/>
      <c r="IZ88" s="38"/>
      <c r="JA88" s="38"/>
      <c r="JB88" s="38"/>
      <c r="JC88" s="38"/>
      <c r="JD88" s="38"/>
      <c r="JE88" s="38"/>
      <c r="JF88" s="38"/>
      <c r="JG88" s="38"/>
      <c r="JH88" s="38"/>
      <c r="JI88" s="38"/>
      <c r="JJ88" s="38"/>
      <c r="JK88" s="38"/>
      <c r="JL88" s="38"/>
      <c r="JM88" s="38"/>
      <c r="JN88" s="38"/>
      <c r="JO88" s="38"/>
      <c r="JP88" s="38"/>
      <c r="JQ88" s="38"/>
      <c r="JR88" s="38"/>
      <c r="JS88" s="38"/>
      <c r="JT88" s="38"/>
      <c r="JU88" s="38"/>
      <c r="JV88" s="38"/>
      <c r="JW88" s="38"/>
      <c r="JX88" s="38"/>
      <c r="JY88" s="38"/>
      <c r="JZ88" s="38"/>
      <c r="KA88" s="38"/>
      <c r="KB88" s="38"/>
      <c r="KC88" s="38"/>
      <c r="KD88" s="38"/>
      <c r="KE88" s="38"/>
      <c r="KF88" s="38"/>
      <c r="KG88" s="38"/>
      <c r="KH88" s="38"/>
      <c r="KI88" s="38"/>
      <c r="KJ88" s="38"/>
      <c r="KK88" s="38"/>
      <c r="KL88" s="38"/>
      <c r="KM88" s="38"/>
      <c r="KN88" s="38"/>
      <c r="KO88" s="38"/>
      <c r="KP88" s="38"/>
      <c r="KQ88" s="38"/>
      <c r="KR88" s="38"/>
      <c r="KS88" s="38"/>
      <c r="KT88" s="38"/>
      <c r="KU88" s="38"/>
      <c r="KV88" s="38"/>
      <c r="KW88" s="38"/>
      <c r="KX88" s="38"/>
      <c r="KY88" s="38"/>
      <c r="KZ88" s="38"/>
      <c r="LA88" s="38"/>
      <c r="LB88" s="38"/>
      <c r="LC88" s="38"/>
      <c r="LD88" s="38"/>
      <c r="LE88" s="38"/>
      <c r="LF88" s="38"/>
      <c r="LG88" s="38"/>
      <c r="LH88" s="38"/>
      <c r="LI88" s="38"/>
      <c r="LJ88" s="38"/>
      <c r="LK88" s="38"/>
      <c r="LL88" s="38"/>
      <c r="LM88" s="38"/>
      <c r="LN88" s="38"/>
      <c r="LO88" s="38"/>
      <c r="LP88" s="38"/>
      <c r="LQ88" s="38"/>
      <c r="LR88" s="38"/>
      <c r="LS88" s="38"/>
      <c r="LT88" s="38"/>
      <c r="LU88" s="38"/>
      <c r="LV88" s="38"/>
      <c r="LW88" s="38"/>
      <c r="LX88" s="38"/>
      <c r="LY88" s="38"/>
      <c r="LZ88" s="38"/>
      <c r="MA88" s="38"/>
      <c r="MB88" s="38"/>
      <c r="MC88" s="38"/>
      <c r="MD88" s="38"/>
      <c r="ME88" s="38"/>
      <c r="MF88" s="38"/>
      <c r="MG88" s="38"/>
      <c r="MH88" s="38"/>
      <c r="MI88" s="38"/>
      <c r="MJ88" s="38"/>
      <c r="MK88" s="38"/>
      <c r="ML88" s="38"/>
      <c r="MM88" s="38"/>
      <c r="MN88" s="38"/>
      <c r="MO88" s="38"/>
      <c r="MP88" s="38"/>
      <c r="MQ88" s="38"/>
      <c r="MR88" s="38"/>
      <c r="MS88" s="38"/>
      <c r="MT88" s="38"/>
      <c r="MU88" s="38"/>
      <c r="MV88" s="38"/>
      <c r="MW88" s="38"/>
      <c r="MX88" s="38"/>
      <c r="MY88" s="38"/>
      <c r="MZ88" s="38"/>
      <c r="NA88" s="38"/>
      <c r="NB88" s="38"/>
      <c r="NC88" s="38"/>
      <c r="ND88" s="38"/>
      <c r="NE88" s="38"/>
      <c r="NF88" s="38"/>
      <c r="NG88" s="38"/>
      <c r="NH88" s="38"/>
      <c r="NI88" s="38"/>
      <c r="NJ88" s="38"/>
      <c r="NK88" s="38"/>
      <c r="NL88" s="38"/>
      <c r="NM88" s="38"/>
      <c r="NN88" s="38"/>
      <c r="NO88" s="38"/>
      <c r="NP88" s="38"/>
      <c r="NQ88" s="38"/>
      <c r="NR88" s="38"/>
      <c r="NS88" s="38"/>
      <c r="NT88" s="38"/>
      <c r="NU88" s="38"/>
      <c r="NV88" s="38"/>
      <c r="NW88" s="38"/>
      <c r="NX88" s="38"/>
      <c r="NY88" s="38"/>
      <c r="NZ88" s="38"/>
      <c r="OA88" s="38"/>
      <c r="OB88" s="38"/>
      <c r="OC88" s="38"/>
      <c r="OD88" s="38"/>
      <c r="OE88" s="38"/>
      <c r="OF88" s="38"/>
      <c r="OG88" s="38"/>
      <c r="OH88" s="38"/>
      <c r="OI88" s="38"/>
      <c r="OJ88" s="38"/>
      <c r="OK88" s="38"/>
      <c r="OL88" s="38"/>
      <c r="OM88" s="38"/>
      <c r="ON88" s="38"/>
      <c r="OO88" s="38"/>
      <c r="OP88" s="38"/>
      <c r="OQ88" s="38"/>
      <c r="OR88" s="38"/>
      <c r="OS88" s="38"/>
      <c r="OT88" s="38"/>
      <c r="OU88" s="38"/>
      <c r="OV88" s="38"/>
      <c r="OW88" s="38"/>
      <c r="OX88" s="38"/>
      <c r="OY88" s="38"/>
      <c r="OZ88" s="38"/>
      <c r="PA88" s="38"/>
      <c r="PB88" s="38"/>
      <c r="PC88" s="38"/>
      <c r="PD88" s="38"/>
      <c r="PE88" s="38"/>
      <c r="PF88" s="38"/>
      <c r="PG88" s="38"/>
      <c r="PH88" s="38"/>
      <c r="PI88" s="38"/>
      <c r="PJ88" s="38"/>
      <c r="PK88" s="38"/>
      <c r="PL88" s="38"/>
      <c r="PM88" s="38"/>
      <c r="PN88" s="38"/>
      <c r="PO88" s="38"/>
      <c r="PP88" s="38"/>
      <c r="PQ88" s="38"/>
      <c r="PR88" s="38"/>
      <c r="PS88" s="38"/>
      <c r="PT88" s="38"/>
      <c r="PU88" s="38"/>
      <c r="PV88" s="38"/>
      <c r="PW88" s="38"/>
      <c r="PX88" s="38"/>
      <c r="PY88" s="38"/>
      <c r="PZ88" s="38"/>
      <c r="QA88" s="38"/>
      <c r="QB88" s="38"/>
      <c r="QC88" s="38"/>
      <c r="QD88" s="38"/>
      <c r="QE88" s="38"/>
      <c r="QF88" s="38"/>
      <c r="QG88" s="38"/>
      <c r="QH88" s="38"/>
      <c r="QI88" s="38"/>
      <c r="QJ88" s="38"/>
      <c r="QK88" s="38"/>
      <c r="QL88" s="38"/>
      <c r="QM88" s="38"/>
      <c r="QN88" s="38"/>
      <c r="QO88" s="38"/>
      <c r="QP88" s="38"/>
      <c r="QQ88" s="38"/>
      <c r="QR88" s="38"/>
      <c r="QS88" s="38"/>
      <c r="QT88" s="38"/>
      <c r="QU88" s="38"/>
      <c r="QV88" s="38"/>
      <c r="QW88" s="38"/>
      <c r="QX88" s="38"/>
      <c r="QY88" s="38"/>
      <c r="QZ88" s="38"/>
      <c r="RA88" s="38"/>
      <c r="RB88" s="38"/>
      <c r="RC88" s="38"/>
      <c r="RD88" s="38"/>
      <c r="RE88" s="38"/>
      <c r="RF88" s="38"/>
      <c r="RG88" s="38"/>
      <c r="RH88" s="38"/>
      <c r="RI88" s="38"/>
      <c r="RJ88" s="38"/>
      <c r="RK88" s="38"/>
      <c r="RL88" s="38"/>
      <c r="RM88" s="38"/>
      <c r="RN88" s="38"/>
      <c r="RO88" s="38"/>
      <c r="RP88" s="38"/>
      <c r="RQ88" s="38"/>
      <c r="RR88" s="38"/>
      <c r="RS88" s="38"/>
      <c r="RT88" s="38"/>
      <c r="RU88" s="38"/>
      <c r="RV88" s="38"/>
      <c r="RW88" s="38"/>
      <c r="RX88" s="38"/>
      <c r="RY88" s="38"/>
      <c r="RZ88" s="38"/>
      <c r="SA88" s="38"/>
      <c r="SB88" s="38"/>
      <c r="SC88" s="38"/>
      <c r="SD88" s="38"/>
      <c r="SE88" s="38"/>
      <c r="SF88" s="38"/>
      <c r="SG88" s="38"/>
      <c r="SH88" s="38"/>
      <c r="SI88" s="38"/>
      <c r="SJ88" s="38"/>
      <c r="SK88" s="38"/>
      <c r="SL88" s="38"/>
      <c r="SM88" s="38"/>
      <c r="SN88" s="38"/>
      <c r="SO88" s="38"/>
      <c r="SP88" s="38"/>
      <c r="SQ88" s="38"/>
      <c r="SR88" s="38"/>
      <c r="SS88" s="38"/>
      <c r="ST88" s="38"/>
      <c r="SU88" s="38"/>
      <c r="SV88" s="38"/>
      <c r="SW88" s="38"/>
      <c r="SX88" s="38"/>
      <c r="SY88" s="38"/>
      <c r="SZ88" s="38"/>
      <c r="TA88" s="38"/>
      <c r="TB88" s="38"/>
      <c r="TC88" s="38"/>
      <c r="TD88" s="38"/>
      <c r="TE88" s="38"/>
      <c r="TF88" s="38"/>
      <c r="TG88" s="38"/>
      <c r="TH88" s="38"/>
      <c r="TI88" s="38"/>
      <c r="TJ88" s="38"/>
      <c r="TK88" s="38"/>
      <c r="TL88" s="38"/>
      <c r="TM88" s="38"/>
    </row>
    <row r="89" spans="1:533" s="39" customFormat="1" ht="131.25" x14ac:dyDescent="0.25">
      <c r="B89" s="50" t="s">
        <v>180</v>
      </c>
      <c r="C89" s="41"/>
      <c r="D89" s="63" t="s">
        <v>181</v>
      </c>
      <c r="E89" s="86"/>
      <c r="F89" s="53"/>
      <c r="G89" s="54"/>
      <c r="H89" s="46"/>
      <c r="I89" s="55"/>
      <c r="J89" s="48"/>
      <c r="K89" s="47"/>
      <c r="L89" s="49"/>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c r="DA89" s="38"/>
      <c r="DB89" s="38"/>
      <c r="DC89" s="38"/>
      <c r="DD89" s="38"/>
      <c r="DE89" s="38"/>
      <c r="DF89" s="38"/>
      <c r="DG89" s="38"/>
      <c r="DH89" s="38"/>
      <c r="DI89" s="38"/>
      <c r="DJ89" s="38"/>
      <c r="DK89" s="38"/>
      <c r="DL89" s="38"/>
      <c r="DM89" s="38"/>
      <c r="DN89" s="38"/>
      <c r="DO89" s="38"/>
      <c r="DP89" s="38"/>
      <c r="DQ89" s="38"/>
      <c r="DR89" s="38"/>
      <c r="DS89" s="38"/>
      <c r="DT89" s="38"/>
      <c r="DU89" s="38"/>
      <c r="DV89" s="38"/>
      <c r="DW89" s="38"/>
      <c r="DX89" s="38"/>
      <c r="DY89" s="38"/>
      <c r="DZ89" s="38"/>
      <c r="EA89" s="38"/>
      <c r="EB89" s="38"/>
      <c r="EC89" s="38"/>
      <c r="ED89" s="38"/>
      <c r="EE89" s="38"/>
      <c r="EF89" s="38"/>
      <c r="EG89" s="38"/>
      <c r="EH89" s="38"/>
      <c r="EI89" s="38"/>
      <c r="EJ89" s="38"/>
      <c r="EK89" s="38"/>
      <c r="EL89" s="38"/>
      <c r="EM89" s="38"/>
      <c r="EN89" s="38"/>
      <c r="EO89" s="38"/>
      <c r="EP89" s="38"/>
      <c r="EQ89" s="38"/>
      <c r="ER89" s="38"/>
      <c r="ES89" s="38"/>
      <c r="ET89" s="38"/>
      <c r="EU89" s="38"/>
      <c r="EV89" s="38"/>
      <c r="EW89" s="38"/>
      <c r="EX89" s="38"/>
      <c r="EY89" s="38"/>
      <c r="EZ89" s="38"/>
      <c r="FA89" s="38"/>
      <c r="FB89" s="38"/>
      <c r="FC89" s="38"/>
      <c r="FD89" s="38"/>
      <c r="FE89" s="38"/>
      <c r="FF89" s="38"/>
      <c r="FG89" s="38"/>
      <c r="FH89" s="38"/>
      <c r="FI89" s="38"/>
      <c r="FJ89" s="38"/>
      <c r="FK89" s="38"/>
      <c r="FL89" s="38"/>
      <c r="FM89" s="38"/>
      <c r="FN89" s="38"/>
      <c r="FO89" s="38"/>
      <c r="FP89" s="38"/>
      <c r="FQ89" s="38"/>
      <c r="FR89" s="38"/>
      <c r="FS89" s="38"/>
      <c r="FT89" s="38"/>
      <c r="FU89" s="38"/>
      <c r="FV89" s="38"/>
      <c r="FW89" s="38"/>
      <c r="FX89" s="38"/>
      <c r="FY89" s="38"/>
      <c r="FZ89" s="38"/>
      <c r="GA89" s="38"/>
      <c r="GB89" s="38"/>
      <c r="GC89" s="38"/>
      <c r="GD89" s="38"/>
      <c r="GE89" s="38"/>
      <c r="GF89" s="38"/>
      <c r="GG89" s="38"/>
      <c r="GH89" s="38"/>
      <c r="GI89" s="38"/>
      <c r="GJ89" s="38"/>
      <c r="GK89" s="38"/>
      <c r="GL89" s="38"/>
      <c r="GM89" s="38"/>
      <c r="GN89" s="38"/>
      <c r="GO89" s="38"/>
      <c r="GP89" s="38"/>
      <c r="GQ89" s="38"/>
      <c r="GR89" s="38"/>
      <c r="GS89" s="38"/>
      <c r="GT89" s="38"/>
      <c r="GU89" s="38"/>
      <c r="GV89" s="38"/>
      <c r="GW89" s="38"/>
      <c r="GX89" s="38"/>
      <c r="GY89" s="38"/>
      <c r="GZ89" s="38"/>
      <c r="HA89" s="38"/>
      <c r="HB89" s="38"/>
      <c r="HC89" s="38"/>
      <c r="HD89" s="38"/>
      <c r="HE89" s="38"/>
      <c r="HF89" s="38"/>
      <c r="HG89" s="38"/>
      <c r="HH89" s="38"/>
      <c r="HI89" s="38"/>
      <c r="HJ89" s="38"/>
      <c r="HK89" s="38"/>
      <c r="HL89" s="38"/>
      <c r="HM89" s="38"/>
      <c r="HN89" s="38"/>
      <c r="HO89" s="38"/>
      <c r="HP89" s="38"/>
      <c r="HQ89" s="38"/>
      <c r="HR89" s="38"/>
      <c r="HS89" s="38"/>
      <c r="HT89" s="38"/>
      <c r="HU89" s="38"/>
      <c r="HV89" s="38"/>
      <c r="HW89" s="38"/>
      <c r="HX89" s="38"/>
      <c r="HY89" s="38"/>
      <c r="HZ89" s="38"/>
      <c r="IA89" s="38"/>
      <c r="IB89" s="38"/>
      <c r="IC89" s="38"/>
      <c r="ID89" s="38"/>
      <c r="IE89" s="38"/>
      <c r="IF89" s="38"/>
      <c r="IG89" s="38"/>
      <c r="IH89" s="38"/>
      <c r="II89" s="38"/>
      <c r="IJ89" s="38"/>
      <c r="IK89" s="38"/>
      <c r="IL89" s="38"/>
      <c r="IM89" s="38"/>
      <c r="IN89" s="38"/>
      <c r="IO89" s="38"/>
      <c r="IP89" s="38"/>
      <c r="IQ89" s="38"/>
      <c r="IR89" s="38"/>
      <c r="IS89" s="38"/>
      <c r="IT89" s="38"/>
      <c r="IU89" s="38"/>
      <c r="IV89" s="38"/>
      <c r="IW89" s="38"/>
      <c r="IX89" s="38"/>
      <c r="IY89" s="38"/>
      <c r="IZ89" s="38"/>
      <c r="JA89" s="38"/>
      <c r="JB89" s="38"/>
      <c r="JC89" s="38"/>
      <c r="JD89" s="38"/>
      <c r="JE89" s="38"/>
      <c r="JF89" s="38"/>
      <c r="JG89" s="38"/>
      <c r="JH89" s="38"/>
      <c r="JI89" s="38"/>
      <c r="JJ89" s="38"/>
      <c r="JK89" s="38"/>
      <c r="JL89" s="38"/>
      <c r="JM89" s="38"/>
      <c r="JN89" s="38"/>
      <c r="JO89" s="38"/>
      <c r="JP89" s="38"/>
      <c r="JQ89" s="38"/>
      <c r="JR89" s="38"/>
      <c r="JS89" s="38"/>
      <c r="JT89" s="38"/>
      <c r="JU89" s="38"/>
      <c r="JV89" s="38"/>
      <c r="JW89" s="38"/>
      <c r="JX89" s="38"/>
      <c r="JY89" s="38"/>
      <c r="JZ89" s="38"/>
      <c r="KA89" s="38"/>
      <c r="KB89" s="38"/>
      <c r="KC89" s="38"/>
      <c r="KD89" s="38"/>
      <c r="KE89" s="38"/>
      <c r="KF89" s="38"/>
      <c r="KG89" s="38"/>
      <c r="KH89" s="38"/>
      <c r="KI89" s="38"/>
      <c r="KJ89" s="38"/>
      <c r="KK89" s="38"/>
      <c r="KL89" s="38"/>
      <c r="KM89" s="38"/>
      <c r="KN89" s="38"/>
      <c r="KO89" s="38"/>
      <c r="KP89" s="38"/>
      <c r="KQ89" s="38"/>
      <c r="KR89" s="38"/>
      <c r="KS89" s="38"/>
      <c r="KT89" s="38"/>
      <c r="KU89" s="38"/>
      <c r="KV89" s="38"/>
      <c r="KW89" s="38"/>
      <c r="KX89" s="38"/>
      <c r="KY89" s="38"/>
      <c r="KZ89" s="38"/>
      <c r="LA89" s="38"/>
      <c r="LB89" s="38"/>
      <c r="LC89" s="38"/>
      <c r="LD89" s="38"/>
      <c r="LE89" s="38"/>
      <c r="LF89" s="38"/>
      <c r="LG89" s="38"/>
      <c r="LH89" s="38"/>
      <c r="LI89" s="38"/>
      <c r="LJ89" s="38"/>
      <c r="LK89" s="38"/>
      <c r="LL89" s="38"/>
      <c r="LM89" s="38"/>
      <c r="LN89" s="38"/>
      <c r="LO89" s="38"/>
      <c r="LP89" s="38"/>
      <c r="LQ89" s="38"/>
      <c r="LR89" s="38"/>
      <c r="LS89" s="38"/>
      <c r="LT89" s="38"/>
      <c r="LU89" s="38"/>
      <c r="LV89" s="38"/>
      <c r="LW89" s="38"/>
      <c r="LX89" s="38"/>
      <c r="LY89" s="38"/>
      <c r="LZ89" s="38"/>
      <c r="MA89" s="38"/>
      <c r="MB89" s="38"/>
      <c r="MC89" s="38"/>
      <c r="MD89" s="38"/>
      <c r="ME89" s="38"/>
      <c r="MF89" s="38"/>
      <c r="MG89" s="38"/>
      <c r="MH89" s="38"/>
      <c r="MI89" s="38"/>
      <c r="MJ89" s="38"/>
      <c r="MK89" s="38"/>
      <c r="ML89" s="38"/>
      <c r="MM89" s="38"/>
      <c r="MN89" s="38"/>
      <c r="MO89" s="38"/>
      <c r="MP89" s="38"/>
      <c r="MQ89" s="38"/>
      <c r="MR89" s="38"/>
      <c r="MS89" s="38"/>
      <c r="MT89" s="38"/>
      <c r="MU89" s="38"/>
      <c r="MV89" s="38"/>
      <c r="MW89" s="38"/>
      <c r="MX89" s="38"/>
      <c r="MY89" s="38"/>
      <c r="MZ89" s="38"/>
      <c r="NA89" s="38"/>
      <c r="NB89" s="38"/>
      <c r="NC89" s="38"/>
      <c r="ND89" s="38"/>
      <c r="NE89" s="38"/>
      <c r="NF89" s="38"/>
      <c r="NG89" s="38"/>
      <c r="NH89" s="38"/>
      <c r="NI89" s="38"/>
      <c r="NJ89" s="38"/>
      <c r="NK89" s="38"/>
      <c r="NL89" s="38"/>
      <c r="NM89" s="38"/>
      <c r="NN89" s="38"/>
      <c r="NO89" s="38"/>
      <c r="NP89" s="38"/>
      <c r="NQ89" s="38"/>
      <c r="NR89" s="38"/>
      <c r="NS89" s="38"/>
      <c r="NT89" s="38"/>
      <c r="NU89" s="38"/>
      <c r="NV89" s="38"/>
      <c r="NW89" s="38"/>
      <c r="NX89" s="38"/>
      <c r="NY89" s="38"/>
      <c r="NZ89" s="38"/>
      <c r="OA89" s="38"/>
      <c r="OB89" s="38"/>
      <c r="OC89" s="38"/>
      <c r="OD89" s="38"/>
      <c r="OE89" s="38"/>
      <c r="OF89" s="38"/>
      <c r="OG89" s="38"/>
      <c r="OH89" s="38"/>
      <c r="OI89" s="38"/>
      <c r="OJ89" s="38"/>
      <c r="OK89" s="38"/>
      <c r="OL89" s="38"/>
      <c r="OM89" s="38"/>
      <c r="ON89" s="38"/>
      <c r="OO89" s="38"/>
      <c r="OP89" s="38"/>
      <c r="OQ89" s="38"/>
      <c r="OR89" s="38"/>
      <c r="OS89" s="38"/>
      <c r="OT89" s="38"/>
      <c r="OU89" s="38"/>
      <c r="OV89" s="38"/>
      <c r="OW89" s="38"/>
      <c r="OX89" s="38"/>
      <c r="OY89" s="38"/>
      <c r="OZ89" s="38"/>
      <c r="PA89" s="38"/>
      <c r="PB89" s="38"/>
      <c r="PC89" s="38"/>
      <c r="PD89" s="38"/>
      <c r="PE89" s="38"/>
      <c r="PF89" s="38"/>
      <c r="PG89" s="38"/>
      <c r="PH89" s="38"/>
      <c r="PI89" s="38"/>
      <c r="PJ89" s="38"/>
      <c r="PK89" s="38"/>
      <c r="PL89" s="38"/>
      <c r="PM89" s="38"/>
      <c r="PN89" s="38"/>
      <c r="PO89" s="38"/>
      <c r="PP89" s="38"/>
      <c r="PQ89" s="38"/>
      <c r="PR89" s="38"/>
      <c r="PS89" s="38"/>
      <c r="PT89" s="38"/>
      <c r="PU89" s="38"/>
      <c r="PV89" s="38"/>
      <c r="PW89" s="38"/>
      <c r="PX89" s="38"/>
      <c r="PY89" s="38"/>
      <c r="PZ89" s="38"/>
      <c r="QA89" s="38"/>
      <c r="QB89" s="38"/>
      <c r="QC89" s="38"/>
      <c r="QD89" s="38"/>
      <c r="QE89" s="38"/>
      <c r="QF89" s="38"/>
      <c r="QG89" s="38"/>
      <c r="QH89" s="38"/>
      <c r="QI89" s="38"/>
      <c r="QJ89" s="38"/>
      <c r="QK89" s="38"/>
      <c r="QL89" s="38"/>
      <c r="QM89" s="38"/>
      <c r="QN89" s="38"/>
      <c r="QO89" s="38"/>
      <c r="QP89" s="38"/>
      <c r="QQ89" s="38"/>
      <c r="QR89" s="38"/>
      <c r="QS89" s="38"/>
      <c r="QT89" s="38"/>
      <c r="QU89" s="38"/>
      <c r="QV89" s="38"/>
      <c r="QW89" s="38"/>
      <c r="QX89" s="38"/>
      <c r="QY89" s="38"/>
      <c r="QZ89" s="38"/>
      <c r="RA89" s="38"/>
      <c r="RB89" s="38"/>
      <c r="RC89" s="38"/>
      <c r="RD89" s="38"/>
      <c r="RE89" s="38"/>
      <c r="RF89" s="38"/>
      <c r="RG89" s="38"/>
      <c r="RH89" s="38"/>
      <c r="RI89" s="38"/>
      <c r="RJ89" s="38"/>
      <c r="RK89" s="38"/>
      <c r="RL89" s="38"/>
      <c r="RM89" s="38"/>
      <c r="RN89" s="38"/>
      <c r="RO89" s="38"/>
      <c r="RP89" s="38"/>
      <c r="RQ89" s="38"/>
      <c r="RR89" s="38"/>
      <c r="RS89" s="38"/>
      <c r="RT89" s="38"/>
      <c r="RU89" s="38"/>
      <c r="RV89" s="38"/>
      <c r="RW89" s="38"/>
      <c r="RX89" s="38"/>
      <c r="RY89" s="38"/>
      <c r="RZ89" s="38"/>
      <c r="SA89" s="38"/>
      <c r="SB89" s="38"/>
      <c r="SC89" s="38"/>
      <c r="SD89" s="38"/>
      <c r="SE89" s="38"/>
      <c r="SF89" s="38"/>
      <c r="SG89" s="38"/>
      <c r="SH89" s="38"/>
      <c r="SI89" s="38"/>
      <c r="SJ89" s="38"/>
      <c r="SK89" s="38"/>
      <c r="SL89" s="38"/>
      <c r="SM89" s="38"/>
      <c r="SN89" s="38"/>
      <c r="SO89" s="38"/>
      <c r="SP89" s="38"/>
      <c r="SQ89" s="38"/>
      <c r="SR89" s="38"/>
      <c r="SS89" s="38"/>
      <c r="ST89" s="38"/>
      <c r="SU89" s="38"/>
      <c r="SV89" s="38"/>
      <c r="SW89" s="38"/>
      <c r="SX89" s="38"/>
      <c r="SY89" s="38"/>
      <c r="SZ89" s="38"/>
      <c r="TA89" s="38"/>
      <c r="TB89" s="38"/>
      <c r="TC89" s="38"/>
      <c r="TD89" s="38"/>
      <c r="TE89" s="38"/>
      <c r="TF89" s="38"/>
      <c r="TG89" s="38"/>
      <c r="TH89" s="38"/>
      <c r="TI89" s="38"/>
      <c r="TJ89" s="38"/>
      <c r="TK89" s="38"/>
      <c r="TL89" s="38"/>
      <c r="TM89" s="38"/>
    </row>
    <row r="90" spans="1:533" s="39" customFormat="1" ht="18.75" x14ac:dyDescent="0.25">
      <c r="B90" s="50" t="s">
        <v>180</v>
      </c>
      <c r="C90" s="41" t="s">
        <v>182</v>
      </c>
      <c r="D90" s="56" t="s">
        <v>183</v>
      </c>
      <c r="E90" s="43" t="s">
        <v>29</v>
      </c>
      <c r="F90" s="53">
        <v>273</v>
      </c>
      <c r="G90" s="58"/>
      <c r="H90" s="46"/>
      <c r="I90" s="47">
        <f t="shared" ref="I90" si="13">F90*G90</f>
        <v>0</v>
      </c>
      <c r="J90" s="48">
        <v>2041</v>
      </c>
      <c r="K90" s="47" t="s">
        <v>30</v>
      </c>
      <c r="L90" s="49"/>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c r="CO90" s="38"/>
      <c r="CP90" s="38"/>
      <c r="CQ90" s="38"/>
      <c r="CR90" s="38"/>
      <c r="CS90" s="38"/>
      <c r="CT90" s="38"/>
      <c r="CU90" s="38"/>
      <c r="CV90" s="38"/>
      <c r="CW90" s="38"/>
      <c r="CX90" s="38"/>
      <c r="CY90" s="38"/>
      <c r="CZ90" s="38"/>
      <c r="DA90" s="38"/>
      <c r="DB90" s="38"/>
      <c r="DC90" s="38"/>
      <c r="DD90" s="38"/>
      <c r="DE90" s="38"/>
      <c r="DF90" s="38"/>
      <c r="DG90" s="38"/>
      <c r="DH90" s="38"/>
      <c r="DI90" s="38"/>
      <c r="DJ90" s="38"/>
      <c r="DK90" s="38"/>
      <c r="DL90" s="38"/>
      <c r="DM90" s="38"/>
      <c r="DN90" s="38"/>
      <c r="DO90" s="38"/>
      <c r="DP90" s="38"/>
      <c r="DQ90" s="38"/>
      <c r="DR90" s="38"/>
      <c r="DS90" s="38"/>
      <c r="DT90" s="38"/>
      <c r="DU90" s="38"/>
      <c r="DV90" s="38"/>
      <c r="DW90" s="38"/>
      <c r="DX90" s="38"/>
      <c r="DY90" s="38"/>
      <c r="DZ90" s="38"/>
      <c r="EA90" s="38"/>
      <c r="EB90" s="38"/>
      <c r="EC90" s="38"/>
      <c r="ED90" s="38"/>
      <c r="EE90" s="38"/>
      <c r="EF90" s="38"/>
      <c r="EG90" s="38"/>
      <c r="EH90" s="38"/>
      <c r="EI90" s="38"/>
      <c r="EJ90" s="38"/>
      <c r="EK90" s="38"/>
      <c r="EL90" s="38"/>
      <c r="EM90" s="38"/>
      <c r="EN90" s="38"/>
      <c r="EO90" s="38"/>
      <c r="EP90" s="38"/>
      <c r="EQ90" s="38"/>
      <c r="ER90" s="38"/>
      <c r="ES90" s="38"/>
      <c r="ET90" s="38"/>
      <c r="EU90" s="38"/>
      <c r="EV90" s="38"/>
      <c r="EW90" s="38"/>
      <c r="EX90" s="38"/>
      <c r="EY90" s="38"/>
      <c r="EZ90" s="38"/>
      <c r="FA90" s="38"/>
      <c r="FB90" s="38"/>
      <c r="FC90" s="38"/>
      <c r="FD90" s="38"/>
      <c r="FE90" s="38"/>
      <c r="FF90" s="38"/>
      <c r="FG90" s="38"/>
      <c r="FH90" s="38"/>
      <c r="FI90" s="38"/>
      <c r="FJ90" s="38"/>
      <c r="FK90" s="38"/>
      <c r="FL90" s="38"/>
      <c r="FM90" s="38"/>
      <c r="FN90" s="38"/>
      <c r="FO90" s="38"/>
      <c r="FP90" s="38"/>
      <c r="FQ90" s="38"/>
      <c r="FR90" s="38"/>
      <c r="FS90" s="38"/>
      <c r="FT90" s="38"/>
      <c r="FU90" s="38"/>
      <c r="FV90" s="38"/>
      <c r="FW90" s="38"/>
      <c r="FX90" s="38"/>
      <c r="FY90" s="38"/>
      <c r="FZ90" s="38"/>
      <c r="GA90" s="38"/>
      <c r="GB90" s="38"/>
      <c r="GC90" s="38"/>
      <c r="GD90" s="38"/>
      <c r="GE90" s="38"/>
      <c r="GF90" s="38"/>
      <c r="GG90" s="38"/>
      <c r="GH90" s="38"/>
      <c r="GI90" s="38"/>
      <c r="GJ90" s="38"/>
      <c r="GK90" s="38"/>
      <c r="GL90" s="38"/>
      <c r="GM90" s="38"/>
      <c r="GN90" s="38"/>
      <c r="GO90" s="38"/>
      <c r="GP90" s="38"/>
      <c r="GQ90" s="38"/>
      <c r="GR90" s="38"/>
      <c r="GS90" s="38"/>
      <c r="GT90" s="38"/>
      <c r="GU90" s="38"/>
      <c r="GV90" s="38"/>
      <c r="GW90" s="38"/>
      <c r="GX90" s="38"/>
      <c r="GY90" s="38"/>
      <c r="GZ90" s="38"/>
      <c r="HA90" s="38"/>
      <c r="HB90" s="38"/>
      <c r="HC90" s="38"/>
      <c r="HD90" s="38"/>
      <c r="HE90" s="38"/>
      <c r="HF90" s="38"/>
      <c r="HG90" s="38"/>
      <c r="HH90" s="38"/>
      <c r="HI90" s="38"/>
      <c r="HJ90" s="38"/>
      <c r="HK90" s="38"/>
      <c r="HL90" s="38"/>
      <c r="HM90" s="38"/>
      <c r="HN90" s="38"/>
      <c r="HO90" s="38"/>
      <c r="HP90" s="38"/>
      <c r="HQ90" s="38"/>
      <c r="HR90" s="38"/>
      <c r="HS90" s="38"/>
      <c r="HT90" s="38"/>
      <c r="HU90" s="38"/>
      <c r="HV90" s="38"/>
      <c r="HW90" s="38"/>
      <c r="HX90" s="38"/>
      <c r="HY90" s="38"/>
      <c r="HZ90" s="38"/>
      <c r="IA90" s="38"/>
      <c r="IB90" s="38"/>
      <c r="IC90" s="38"/>
      <c r="ID90" s="38"/>
      <c r="IE90" s="38"/>
      <c r="IF90" s="38"/>
      <c r="IG90" s="38"/>
      <c r="IH90" s="38"/>
      <c r="II90" s="38"/>
      <c r="IJ90" s="38"/>
      <c r="IK90" s="38"/>
      <c r="IL90" s="38"/>
      <c r="IM90" s="38"/>
      <c r="IN90" s="38"/>
      <c r="IO90" s="38"/>
      <c r="IP90" s="38"/>
      <c r="IQ90" s="38"/>
      <c r="IR90" s="38"/>
      <c r="IS90" s="38"/>
      <c r="IT90" s="38"/>
      <c r="IU90" s="38"/>
      <c r="IV90" s="38"/>
      <c r="IW90" s="38"/>
      <c r="IX90" s="38"/>
      <c r="IY90" s="38"/>
      <c r="IZ90" s="38"/>
      <c r="JA90" s="38"/>
      <c r="JB90" s="38"/>
      <c r="JC90" s="38"/>
      <c r="JD90" s="38"/>
      <c r="JE90" s="38"/>
      <c r="JF90" s="38"/>
      <c r="JG90" s="38"/>
      <c r="JH90" s="38"/>
      <c r="JI90" s="38"/>
      <c r="JJ90" s="38"/>
      <c r="JK90" s="38"/>
      <c r="JL90" s="38"/>
      <c r="JM90" s="38"/>
      <c r="JN90" s="38"/>
      <c r="JO90" s="38"/>
      <c r="JP90" s="38"/>
      <c r="JQ90" s="38"/>
      <c r="JR90" s="38"/>
      <c r="JS90" s="38"/>
      <c r="JT90" s="38"/>
      <c r="JU90" s="38"/>
      <c r="JV90" s="38"/>
      <c r="JW90" s="38"/>
      <c r="JX90" s="38"/>
      <c r="JY90" s="38"/>
      <c r="JZ90" s="38"/>
      <c r="KA90" s="38"/>
      <c r="KB90" s="38"/>
      <c r="KC90" s="38"/>
      <c r="KD90" s="38"/>
      <c r="KE90" s="38"/>
      <c r="KF90" s="38"/>
      <c r="KG90" s="38"/>
      <c r="KH90" s="38"/>
      <c r="KI90" s="38"/>
      <c r="KJ90" s="38"/>
      <c r="KK90" s="38"/>
      <c r="KL90" s="38"/>
      <c r="KM90" s="38"/>
      <c r="KN90" s="38"/>
      <c r="KO90" s="38"/>
      <c r="KP90" s="38"/>
      <c r="KQ90" s="38"/>
      <c r="KR90" s="38"/>
      <c r="KS90" s="38"/>
      <c r="KT90" s="38"/>
      <c r="KU90" s="38"/>
      <c r="KV90" s="38"/>
      <c r="KW90" s="38"/>
      <c r="KX90" s="38"/>
      <c r="KY90" s="38"/>
      <c r="KZ90" s="38"/>
      <c r="LA90" s="38"/>
      <c r="LB90" s="38"/>
      <c r="LC90" s="38"/>
      <c r="LD90" s="38"/>
      <c r="LE90" s="38"/>
      <c r="LF90" s="38"/>
      <c r="LG90" s="38"/>
      <c r="LH90" s="38"/>
      <c r="LI90" s="38"/>
      <c r="LJ90" s="38"/>
      <c r="LK90" s="38"/>
      <c r="LL90" s="38"/>
      <c r="LM90" s="38"/>
      <c r="LN90" s="38"/>
      <c r="LO90" s="38"/>
      <c r="LP90" s="38"/>
      <c r="LQ90" s="38"/>
      <c r="LR90" s="38"/>
      <c r="LS90" s="38"/>
      <c r="LT90" s="38"/>
      <c r="LU90" s="38"/>
      <c r="LV90" s="38"/>
      <c r="LW90" s="38"/>
      <c r="LX90" s="38"/>
      <c r="LY90" s="38"/>
      <c r="LZ90" s="38"/>
      <c r="MA90" s="38"/>
      <c r="MB90" s="38"/>
      <c r="MC90" s="38"/>
      <c r="MD90" s="38"/>
      <c r="ME90" s="38"/>
      <c r="MF90" s="38"/>
      <c r="MG90" s="38"/>
      <c r="MH90" s="38"/>
      <c r="MI90" s="38"/>
      <c r="MJ90" s="38"/>
      <c r="MK90" s="38"/>
      <c r="ML90" s="38"/>
      <c r="MM90" s="38"/>
      <c r="MN90" s="38"/>
      <c r="MO90" s="38"/>
      <c r="MP90" s="38"/>
      <c r="MQ90" s="38"/>
      <c r="MR90" s="38"/>
      <c r="MS90" s="38"/>
      <c r="MT90" s="38"/>
      <c r="MU90" s="38"/>
      <c r="MV90" s="38"/>
      <c r="MW90" s="38"/>
      <c r="MX90" s="38"/>
      <c r="MY90" s="38"/>
      <c r="MZ90" s="38"/>
      <c r="NA90" s="38"/>
      <c r="NB90" s="38"/>
      <c r="NC90" s="38"/>
      <c r="ND90" s="38"/>
      <c r="NE90" s="38"/>
      <c r="NF90" s="38"/>
      <c r="NG90" s="38"/>
      <c r="NH90" s="38"/>
      <c r="NI90" s="38"/>
      <c r="NJ90" s="38"/>
      <c r="NK90" s="38"/>
      <c r="NL90" s="38"/>
      <c r="NM90" s="38"/>
      <c r="NN90" s="38"/>
      <c r="NO90" s="38"/>
      <c r="NP90" s="38"/>
      <c r="NQ90" s="38"/>
      <c r="NR90" s="38"/>
      <c r="NS90" s="38"/>
      <c r="NT90" s="38"/>
      <c r="NU90" s="38"/>
      <c r="NV90" s="38"/>
      <c r="NW90" s="38"/>
      <c r="NX90" s="38"/>
      <c r="NY90" s="38"/>
      <c r="NZ90" s="38"/>
      <c r="OA90" s="38"/>
      <c r="OB90" s="38"/>
      <c r="OC90" s="38"/>
      <c r="OD90" s="38"/>
      <c r="OE90" s="38"/>
      <c r="OF90" s="38"/>
      <c r="OG90" s="38"/>
      <c r="OH90" s="38"/>
      <c r="OI90" s="38"/>
      <c r="OJ90" s="38"/>
      <c r="OK90" s="38"/>
      <c r="OL90" s="38"/>
      <c r="OM90" s="38"/>
      <c r="ON90" s="38"/>
      <c r="OO90" s="38"/>
      <c r="OP90" s="38"/>
      <c r="OQ90" s="38"/>
      <c r="OR90" s="38"/>
      <c r="OS90" s="38"/>
      <c r="OT90" s="38"/>
      <c r="OU90" s="38"/>
      <c r="OV90" s="38"/>
      <c r="OW90" s="38"/>
      <c r="OX90" s="38"/>
      <c r="OY90" s="38"/>
      <c r="OZ90" s="38"/>
      <c r="PA90" s="38"/>
      <c r="PB90" s="38"/>
      <c r="PC90" s="38"/>
      <c r="PD90" s="38"/>
      <c r="PE90" s="38"/>
      <c r="PF90" s="38"/>
      <c r="PG90" s="38"/>
      <c r="PH90" s="38"/>
      <c r="PI90" s="38"/>
      <c r="PJ90" s="38"/>
      <c r="PK90" s="38"/>
      <c r="PL90" s="38"/>
      <c r="PM90" s="38"/>
      <c r="PN90" s="38"/>
      <c r="PO90" s="38"/>
      <c r="PP90" s="38"/>
      <c r="PQ90" s="38"/>
      <c r="PR90" s="38"/>
      <c r="PS90" s="38"/>
      <c r="PT90" s="38"/>
      <c r="PU90" s="38"/>
      <c r="PV90" s="38"/>
      <c r="PW90" s="38"/>
      <c r="PX90" s="38"/>
      <c r="PY90" s="38"/>
      <c r="PZ90" s="38"/>
      <c r="QA90" s="38"/>
      <c r="QB90" s="38"/>
      <c r="QC90" s="38"/>
      <c r="QD90" s="38"/>
      <c r="QE90" s="38"/>
      <c r="QF90" s="38"/>
      <c r="QG90" s="38"/>
      <c r="QH90" s="38"/>
      <c r="QI90" s="38"/>
      <c r="QJ90" s="38"/>
      <c r="QK90" s="38"/>
      <c r="QL90" s="38"/>
      <c r="QM90" s="38"/>
      <c r="QN90" s="38"/>
      <c r="QO90" s="38"/>
      <c r="QP90" s="38"/>
      <c r="QQ90" s="38"/>
      <c r="QR90" s="38"/>
      <c r="QS90" s="38"/>
      <c r="QT90" s="38"/>
      <c r="QU90" s="38"/>
      <c r="QV90" s="38"/>
      <c r="QW90" s="38"/>
      <c r="QX90" s="38"/>
      <c r="QY90" s="38"/>
      <c r="QZ90" s="38"/>
      <c r="RA90" s="38"/>
      <c r="RB90" s="38"/>
      <c r="RC90" s="38"/>
      <c r="RD90" s="38"/>
      <c r="RE90" s="38"/>
      <c r="RF90" s="38"/>
      <c r="RG90" s="38"/>
      <c r="RH90" s="38"/>
      <c r="RI90" s="38"/>
      <c r="RJ90" s="38"/>
      <c r="RK90" s="38"/>
      <c r="RL90" s="38"/>
      <c r="RM90" s="38"/>
      <c r="RN90" s="38"/>
      <c r="RO90" s="38"/>
      <c r="RP90" s="38"/>
      <c r="RQ90" s="38"/>
      <c r="RR90" s="38"/>
      <c r="RS90" s="38"/>
      <c r="RT90" s="38"/>
      <c r="RU90" s="38"/>
      <c r="RV90" s="38"/>
      <c r="RW90" s="38"/>
      <c r="RX90" s="38"/>
      <c r="RY90" s="38"/>
      <c r="RZ90" s="38"/>
      <c r="SA90" s="38"/>
      <c r="SB90" s="38"/>
      <c r="SC90" s="38"/>
      <c r="SD90" s="38"/>
      <c r="SE90" s="38"/>
      <c r="SF90" s="38"/>
      <c r="SG90" s="38"/>
      <c r="SH90" s="38"/>
      <c r="SI90" s="38"/>
      <c r="SJ90" s="38"/>
      <c r="SK90" s="38"/>
      <c r="SL90" s="38"/>
      <c r="SM90" s="38"/>
      <c r="SN90" s="38"/>
      <c r="SO90" s="38"/>
      <c r="SP90" s="38"/>
      <c r="SQ90" s="38"/>
      <c r="SR90" s="38"/>
      <c r="SS90" s="38"/>
      <c r="ST90" s="38"/>
      <c r="SU90" s="38"/>
      <c r="SV90" s="38"/>
      <c r="SW90" s="38"/>
      <c r="SX90" s="38"/>
      <c r="SY90" s="38"/>
      <c r="SZ90" s="38"/>
      <c r="TA90" s="38"/>
      <c r="TB90" s="38"/>
      <c r="TC90" s="38"/>
      <c r="TD90" s="38"/>
      <c r="TE90" s="38"/>
      <c r="TF90" s="38"/>
      <c r="TG90" s="38"/>
      <c r="TH90" s="38"/>
      <c r="TI90" s="38"/>
      <c r="TJ90" s="38"/>
      <c r="TK90" s="38"/>
      <c r="TL90" s="38"/>
      <c r="TM90" s="38"/>
    </row>
    <row r="91" spans="1:533" s="39" customFormat="1" ht="75" x14ac:dyDescent="0.25">
      <c r="B91" s="50" t="s">
        <v>180</v>
      </c>
      <c r="C91" s="41"/>
      <c r="D91" s="63" t="s">
        <v>184</v>
      </c>
      <c r="E91" s="86"/>
      <c r="F91" s="53"/>
      <c r="G91" s="58"/>
      <c r="H91" s="46"/>
      <c r="I91" s="55"/>
      <c r="J91" s="48"/>
      <c r="K91" s="47"/>
      <c r="L91" s="49"/>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c r="CO91" s="38"/>
      <c r="CP91" s="38"/>
      <c r="CQ91" s="38"/>
      <c r="CR91" s="38"/>
      <c r="CS91" s="38"/>
      <c r="CT91" s="38"/>
      <c r="CU91" s="38"/>
      <c r="CV91" s="38"/>
      <c r="CW91" s="38"/>
      <c r="CX91" s="38"/>
      <c r="CY91" s="38"/>
      <c r="CZ91" s="38"/>
      <c r="DA91" s="38"/>
      <c r="DB91" s="38"/>
      <c r="DC91" s="38"/>
      <c r="DD91" s="38"/>
      <c r="DE91" s="38"/>
      <c r="DF91" s="38"/>
      <c r="DG91" s="38"/>
      <c r="DH91" s="38"/>
      <c r="DI91" s="38"/>
      <c r="DJ91" s="38"/>
      <c r="DK91" s="38"/>
      <c r="DL91" s="38"/>
      <c r="DM91" s="38"/>
      <c r="DN91" s="38"/>
      <c r="DO91" s="38"/>
      <c r="DP91" s="38"/>
      <c r="DQ91" s="38"/>
      <c r="DR91" s="38"/>
      <c r="DS91" s="38"/>
      <c r="DT91" s="38"/>
      <c r="DU91" s="38"/>
      <c r="DV91" s="38"/>
      <c r="DW91" s="38"/>
      <c r="DX91" s="38"/>
      <c r="DY91" s="38"/>
      <c r="DZ91" s="38"/>
      <c r="EA91" s="38"/>
      <c r="EB91" s="38"/>
      <c r="EC91" s="38"/>
      <c r="ED91" s="38"/>
      <c r="EE91" s="38"/>
      <c r="EF91" s="38"/>
      <c r="EG91" s="38"/>
      <c r="EH91" s="38"/>
      <c r="EI91" s="38"/>
      <c r="EJ91" s="38"/>
      <c r="EK91" s="38"/>
      <c r="EL91" s="38"/>
      <c r="EM91" s="38"/>
      <c r="EN91" s="38"/>
      <c r="EO91" s="38"/>
      <c r="EP91" s="38"/>
      <c r="EQ91" s="38"/>
      <c r="ER91" s="38"/>
      <c r="ES91" s="38"/>
      <c r="ET91" s="38"/>
      <c r="EU91" s="38"/>
      <c r="EV91" s="38"/>
      <c r="EW91" s="38"/>
      <c r="EX91" s="38"/>
      <c r="EY91" s="38"/>
      <c r="EZ91" s="38"/>
      <c r="FA91" s="38"/>
      <c r="FB91" s="38"/>
      <c r="FC91" s="38"/>
      <c r="FD91" s="38"/>
      <c r="FE91" s="38"/>
      <c r="FF91" s="38"/>
      <c r="FG91" s="38"/>
      <c r="FH91" s="38"/>
      <c r="FI91" s="38"/>
      <c r="FJ91" s="38"/>
      <c r="FK91" s="38"/>
      <c r="FL91" s="38"/>
      <c r="FM91" s="38"/>
      <c r="FN91" s="38"/>
      <c r="FO91" s="38"/>
      <c r="FP91" s="38"/>
      <c r="FQ91" s="38"/>
      <c r="FR91" s="38"/>
      <c r="FS91" s="38"/>
      <c r="FT91" s="38"/>
      <c r="FU91" s="38"/>
      <c r="FV91" s="38"/>
      <c r="FW91" s="38"/>
      <c r="FX91" s="38"/>
      <c r="FY91" s="38"/>
      <c r="FZ91" s="38"/>
      <c r="GA91" s="38"/>
      <c r="GB91" s="38"/>
      <c r="GC91" s="38"/>
      <c r="GD91" s="38"/>
      <c r="GE91" s="38"/>
      <c r="GF91" s="38"/>
      <c r="GG91" s="38"/>
      <c r="GH91" s="38"/>
      <c r="GI91" s="38"/>
      <c r="GJ91" s="38"/>
      <c r="GK91" s="38"/>
      <c r="GL91" s="38"/>
      <c r="GM91" s="38"/>
      <c r="GN91" s="38"/>
      <c r="GO91" s="38"/>
      <c r="GP91" s="38"/>
      <c r="GQ91" s="38"/>
      <c r="GR91" s="38"/>
      <c r="GS91" s="38"/>
      <c r="GT91" s="38"/>
      <c r="GU91" s="38"/>
      <c r="GV91" s="38"/>
      <c r="GW91" s="38"/>
      <c r="GX91" s="38"/>
      <c r="GY91" s="38"/>
      <c r="GZ91" s="38"/>
      <c r="HA91" s="38"/>
      <c r="HB91" s="38"/>
      <c r="HC91" s="38"/>
      <c r="HD91" s="38"/>
      <c r="HE91" s="38"/>
      <c r="HF91" s="38"/>
      <c r="HG91" s="38"/>
      <c r="HH91" s="38"/>
      <c r="HI91" s="38"/>
      <c r="HJ91" s="38"/>
      <c r="HK91" s="38"/>
      <c r="HL91" s="38"/>
      <c r="HM91" s="38"/>
      <c r="HN91" s="38"/>
      <c r="HO91" s="38"/>
      <c r="HP91" s="38"/>
      <c r="HQ91" s="38"/>
      <c r="HR91" s="38"/>
      <c r="HS91" s="38"/>
      <c r="HT91" s="38"/>
      <c r="HU91" s="38"/>
      <c r="HV91" s="38"/>
      <c r="HW91" s="38"/>
      <c r="HX91" s="38"/>
      <c r="HY91" s="38"/>
      <c r="HZ91" s="38"/>
      <c r="IA91" s="38"/>
      <c r="IB91" s="38"/>
      <c r="IC91" s="38"/>
      <c r="ID91" s="38"/>
      <c r="IE91" s="38"/>
      <c r="IF91" s="38"/>
      <c r="IG91" s="38"/>
      <c r="IH91" s="38"/>
      <c r="II91" s="38"/>
      <c r="IJ91" s="38"/>
      <c r="IK91" s="38"/>
      <c r="IL91" s="38"/>
      <c r="IM91" s="38"/>
      <c r="IN91" s="38"/>
      <c r="IO91" s="38"/>
      <c r="IP91" s="38"/>
      <c r="IQ91" s="38"/>
      <c r="IR91" s="38"/>
      <c r="IS91" s="38"/>
      <c r="IT91" s="38"/>
      <c r="IU91" s="38"/>
      <c r="IV91" s="38"/>
      <c r="IW91" s="38"/>
      <c r="IX91" s="38"/>
      <c r="IY91" s="38"/>
      <c r="IZ91" s="38"/>
      <c r="JA91" s="38"/>
      <c r="JB91" s="38"/>
      <c r="JC91" s="38"/>
      <c r="JD91" s="38"/>
      <c r="JE91" s="38"/>
      <c r="JF91" s="38"/>
      <c r="JG91" s="38"/>
      <c r="JH91" s="38"/>
      <c r="JI91" s="38"/>
      <c r="JJ91" s="38"/>
      <c r="JK91" s="38"/>
      <c r="JL91" s="38"/>
      <c r="JM91" s="38"/>
      <c r="JN91" s="38"/>
      <c r="JO91" s="38"/>
      <c r="JP91" s="38"/>
      <c r="JQ91" s="38"/>
      <c r="JR91" s="38"/>
      <c r="JS91" s="38"/>
      <c r="JT91" s="38"/>
      <c r="JU91" s="38"/>
      <c r="JV91" s="38"/>
      <c r="JW91" s="38"/>
      <c r="JX91" s="38"/>
      <c r="JY91" s="38"/>
      <c r="JZ91" s="38"/>
      <c r="KA91" s="38"/>
      <c r="KB91" s="38"/>
      <c r="KC91" s="38"/>
      <c r="KD91" s="38"/>
      <c r="KE91" s="38"/>
      <c r="KF91" s="38"/>
      <c r="KG91" s="38"/>
      <c r="KH91" s="38"/>
      <c r="KI91" s="38"/>
      <c r="KJ91" s="38"/>
      <c r="KK91" s="38"/>
      <c r="KL91" s="38"/>
      <c r="KM91" s="38"/>
      <c r="KN91" s="38"/>
      <c r="KO91" s="38"/>
      <c r="KP91" s="38"/>
      <c r="KQ91" s="38"/>
      <c r="KR91" s="38"/>
      <c r="KS91" s="38"/>
      <c r="KT91" s="38"/>
      <c r="KU91" s="38"/>
      <c r="KV91" s="38"/>
      <c r="KW91" s="38"/>
      <c r="KX91" s="38"/>
      <c r="KY91" s="38"/>
      <c r="KZ91" s="38"/>
      <c r="LA91" s="38"/>
      <c r="LB91" s="38"/>
      <c r="LC91" s="38"/>
      <c r="LD91" s="38"/>
      <c r="LE91" s="38"/>
      <c r="LF91" s="38"/>
      <c r="LG91" s="38"/>
      <c r="LH91" s="38"/>
      <c r="LI91" s="38"/>
      <c r="LJ91" s="38"/>
      <c r="LK91" s="38"/>
      <c r="LL91" s="38"/>
      <c r="LM91" s="38"/>
      <c r="LN91" s="38"/>
      <c r="LO91" s="38"/>
      <c r="LP91" s="38"/>
      <c r="LQ91" s="38"/>
      <c r="LR91" s="38"/>
      <c r="LS91" s="38"/>
      <c r="LT91" s="38"/>
      <c r="LU91" s="38"/>
      <c r="LV91" s="38"/>
      <c r="LW91" s="38"/>
      <c r="LX91" s="38"/>
      <c r="LY91" s="38"/>
      <c r="LZ91" s="38"/>
      <c r="MA91" s="38"/>
      <c r="MB91" s="38"/>
      <c r="MC91" s="38"/>
      <c r="MD91" s="38"/>
      <c r="ME91" s="38"/>
      <c r="MF91" s="38"/>
      <c r="MG91" s="38"/>
      <c r="MH91" s="38"/>
      <c r="MI91" s="38"/>
      <c r="MJ91" s="38"/>
      <c r="MK91" s="38"/>
      <c r="ML91" s="38"/>
      <c r="MM91" s="38"/>
      <c r="MN91" s="38"/>
      <c r="MO91" s="38"/>
      <c r="MP91" s="38"/>
      <c r="MQ91" s="38"/>
      <c r="MR91" s="38"/>
      <c r="MS91" s="38"/>
      <c r="MT91" s="38"/>
      <c r="MU91" s="38"/>
      <c r="MV91" s="38"/>
      <c r="MW91" s="38"/>
      <c r="MX91" s="38"/>
      <c r="MY91" s="38"/>
      <c r="MZ91" s="38"/>
      <c r="NA91" s="38"/>
      <c r="NB91" s="38"/>
      <c r="NC91" s="38"/>
      <c r="ND91" s="38"/>
      <c r="NE91" s="38"/>
      <c r="NF91" s="38"/>
      <c r="NG91" s="38"/>
      <c r="NH91" s="38"/>
      <c r="NI91" s="38"/>
      <c r="NJ91" s="38"/>
      <c r="NK91" s="38"/>
      <c r="NL91" s="38"/>
      <c r="NM91" s="38"/>
      <c r="NN91" s="38"/>
      <c r="NO91" s="38"/>
      <c r="NP91" s="38"/>
      <c r="NQ91" s="38"/>
      <c r="NR91" s="38"/>
      <c r="NS91" s="38"/>
      <c r="NT91" s="38"/>
      <c r="NU91" s="38"/>
      <c r="NV91" s="38"/>
      <c r="NW91" s="38"/>
      <c r="NX91" s="38"/>
      <c r="NY91" s="38"/>
      <c r="NZ91" s="38"/>
      <c r="OA91" s="38"/>
      <c r="OB91" s="38"/>
      <c r="OC91" s="38"/>
      <c r="OD91" s="38"/>
      <c r="OE91" s="38"/>
      <c r="OF91" s="38"/>
      <c r="OG91" s="38"/>
      <c r="OH91" s="38"/>
      <c r="OI91" s="38"/>
      <c r="OJ91" s="38"/>
      <c r="OK91" s="38"/>
      <c r="OL91" s="38"/>
      <c r="OM91" s="38"/>
      <c r="ON91" s="38"/>
      <c r="OO91" s="38"/>
      <c r="OP91" s="38"/>
      <c r="OQ91" s="38"/>
      <c r="OR91" s="38"/>
      <c r="OS91" s="38"/>
      <c r="OT91" s="38"/>
      <c r="OU91" s="38"/>
      <c r="OV91" s="38"/>
      <c r="OW91" s="38"/>
      <c r="OX91" s="38"/>
      <c r="OY91" s="38"/>
      <c r="OZ91" s="38"/>
      <c r="PA91" s="38"/>
      <c r="PB91" s="38"/>
      <c r="PC91" s="38"/>
      <c r="PD91" s="38"/>
      <c r="PE91" s="38"/>
      <c r="PF91" s="38"/>
      <c r="PG91" s="38"/>
      <c r="PH91" s="38"/>
      <c r="PI91" s="38"/>
      <c r="PJ91" s="38"/>
      <c r="PK91" s="38"/>
      <c r="PL91" s="38"/>
      <c r="PM91" s="38"/>
      <c r="PN91" s="38"/>
      <c r="PO91" s="38"/>
      <c r="PP91" s="38"/>
      <c r="PQ91" s="38"/>
      <c r="PR91" s="38"/>
      <c r="PS91" s="38"/>
      <c r="PT91" s="38"/>
      <c r="PU91" s="38"/>
      <c r="PV91" s="38"/>
      <c r="PW91" s="38"/>
      <c r="PX91" s="38"/>
      <c r="PY91" s="38"/>
      <c r="PZ91" s="38"/>
      <c r="QA91" s="38"/>
      <c r="QB91" s="38"/>
      <c r="QC91" s="38"/>
      <c r="QD91" s="38"/>
      <c r="QE91" s="38"/>
      <c r="QF91" s="38"/>
      <c r="QG91" s="38"/>
      <c r="QH91" s="38"/>
      <c r="QI91" s="38"/>
      <c r="QJ91" s="38"/>
      <c r="QK91" s="38"/>
      <c r="QL91" s="38"/>
      <c r="QM91" s="38"/>
      <c r="QN91" s="38"/>
      <c r="QO91" s="38"/>
      <c r="QP91" s="38"/>
      <c r="QQ91" s="38"/>
      <c r="QR91" s="38"/>
      <c r="QS91" s="38"/>
      <c r="QT91" s="38"/>
      <c r="QU91" s="38"/>
      <c r="QV91" s="38"/>
      <c r="QW91" s="38"/>
      <c r="QX91" s="38"/>
      <c r="QY91" s="38"/>
      <c r="QZ91" s="38"/>
      <c r="RA91" s="38"/>
      <c r="RB91" s="38"/>
      <c r="RC91" s="38"/>
      <c r="RD91" s="38"/>
      <c r="RE91" s="38"/>
      <c r="RF91" s="38"/>
      <c r="RG91" s="38"/>
      <c r="RH91" s="38"/>
      <c r="RI91" s="38"/>
      <c r="RJ91" s="38"/>
      <c r="RK91" s="38"/>
      <c r="RL91" s="38"/>
      <c r="RM91" s="38"/>
      <c r="RN91" s="38"/>
      <c r="RO91" s="38"/>
      <c r="RP91" s="38"/>
      <c r="RQ91" s="38"/>
      <c r="RR91" s="38"/>
      <c r="RS91" s="38"/>
      <c r="RT91" s="38"/>
      <c r="RU91" s="38"/>
      <c r="RV91" s="38"/>
      <c r="RW91" s="38"/>
      <c r="RX91" s="38"/>
      <c r="RY91" s="38"/>
      <c r="RZ91" s="38"/>
      <c r="SA91" s="38"/>
      <c r="SB91" s="38"/>
      <c r="SC91" s="38"/>
      <c r="SD91" s="38"/>
      <c r="SE91" s="38"/>
      <c r="SF91" s="38"/>
      <c r="SG91" s="38"/>
      <c r="SH91" s="38"/>
      <c r="SI91" s="38"/>
      <c r="SJ91" s="38"/>
      <c r="SK91" s="38"/>
      <c r="SL91" s="38"/>
      <c r="SM91" s="38"/>
      <c r="SN91" s="38"/>
      <c r="SO91" s="38"/>
      <c r="SP91" s="38"/>
      <c r="SQ91" s="38"/>
      <c r="SR91" s="38"/>
      <c r="SS91" s="38"/>
      <c r="ST91" s="38"/>
      <c r="SU91" s="38"/>
      <c r="SV91" s="38"/>
      <c r="SW91" s="38"/>
      <c r="SX91" s="38"/>
      <c r="SY91" s="38"/>
      <c r="SZ91" s="38"/>
      <c r="TA91" s="38"/>
      <c r="TB91" s="38"/>
      <c r="TC91" s="38"/>
      <c r="TD91" s="38"/>
      <c r="TE91" s="38"/>
      <c r="TF91" s="38"/>
      <c r="TG91" s="38"/>
      <c r="TH91" s="38"/>
      <c r="TI91" s="38"/>
      <c r="TJ91" s="38"/>
      <c r="TK91" s="38"/>
      <c r="TL91" s="38"/>
      <c r="TM91" s="38"/>
    </row>
    <row r="92" spans="1:533" s="39" customFormat="1" ht="56.25" x14ac:dyDescent="0.25">
      <c r="B92" s="50" t="s">
        <v>180</v>
      </c>
      <c r="C92" s="41" t="s">
        <v>185</v>
      </c>
      <c r="D92" s="56" t="s">
        <v>186</v>
      </c>
      <c r="E92" s="43" t="s">
        <v>29</v>
      </c>
      <c r="F92" s="53">
        <v>41</v>
      </c>
      <c r="G92" s="58"/>
      <c r="H92" s="46"/>
      <c r="I92" s="47">
        <f t="shared" ref="I92:I96" si="14">F92*G92</f>
        <v>0</v>
      </c>
      <c r="J92" s="48">
        <v>2041</v>
      </c>
      <c r="K92" s="47" t="s">
        <v>30</v>
      </c>
      <c r="L92" s="49"/>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c r="CO92" s="38"/>
      <c r="CP92" s="38"/>
      <c r="CQ92" s="38"/>
      <c r="CR92" s="38"/>
      <c r="CS92" s="38"/>
      <c r="CT92" s="38"/>
      <c r="CU92" s="38"/>
      <c r="CV92" s="38"/>
      <c r="CW92" s="38"/>
      <c r="CX92" s="38"/>
      <c r="CY92" s="38"/>
      <c r="CZ92" s="38"/>
      <c r="DA92" s="38"/>
      <c r="DB92" s="38"/>
      <c r="DC92" s="38"/>
      <c r="DD92" s="38"/>
      <c r="DE92" s="38"/>
      <c r="DF92" s="38"/>
      <c r="DG92" s="38"/>
      <c r="DH92" s="38"/>
      <c r="DI92" s="38"/>
      <c r="DJ92" s="38"/>
      <c r="DK92" s="38"/>
      <c r="DL92" s="38"/>
      <c r="DM92" s="38"/>
      <c r="DN92" s="38"/>
      <c r="DO92" s="38"/>
      <c r="DP92" s="38"/>
      <c r="DQ92" s="38"/>
      <c r="DR92" s="38"/>
      <c r="DS92" s="38"/>
      <c r="DT92" s="38"/>
      <c r="DU92" s="38"/>
      <c r="DV92" s="38"/>
      <c r="DW92" s="38"/>
      <c r="DX92" s="38"/>
      <c r="DY92" s="38"/>
      <c r="DZ92" s="38"/>
      <c r="EA92" s="38"/>
      <c r="EB92" s="38"/>
      <c r="EC92" s="38"/>
      <c r="ED92" s="38"/>
      <c r="EE92" s="38"/>
      <c r="EF92" s="38"/>
      <c r="EG92" s="38"/>
      <c r="EH92" s="38"/>
      <c r="EI92" s="38"/>
      <c r="EJ92" s="38"/>
      <c r="EK92" s="38"/>
      <c r="EL92" s="38"/>
      <c r="EM92" s="38"/>
      <c r="EN92" s="38"/>
      <c r="EO92" s="38"/>
      <c r="EP92" s="38"/>
      <c r="EQ92" s="38"/>
      <c r="ER92" s="38"/>
      <c r="ES92" s="38"/>
      <c r="ET92" s="38"/>
      <c r="EU92" s="38"/>
      <c r="EV92" s="38"/>
      <c r="EW92" s="38"/>
      <c r="EX92" s="38"/>
      <c r="EY92" s="38"/>
      <c r="EZ92" s="38"/>
      <c r="FA92" s="38"/>
      <c r="FB92" s="38"/>
      <c r="FC92" s="38"/>
      <c r="FD92" s="38"/>
      <c r="FE92" s="38"/>
      <c r="FF92" s="38"/>
      <c r="FG92" s="38"/>
      <c r="FH92" s="38"/>
      <c r="FI92" s="38"/>
      <c r="FJ92" s="38"/>
      <c r="FK92" s="38"/>
      <c r="FL92" s="38"/>
      <c r="FM92" s="38"/>
      <c r="FN92" s="38"/>
      <c r="FO92" s="38"/>
      <c r="FP92" s="38"/>
      <c r="FQ92" s="38"/>
      <c r="FR92" s="38"/>
      <c r="FS92" s="38"/>
      <c r="FT92" s="38"/>
      <c r="FU92" s="38"/>
      <c r="FV92" s="38"/>
      <c r="FW92" s="38"/>
      <c r="FX92" s="38"/>
      <c r="FY92" s="38"/>
      <c r="FZ92" s="38"/>
      <c r="GA92" s="38"/>
      <c r="GB92" s="38"/>
      <c r="GC92" s="38"/>
      <c r="GD92" s="38"/>
      <c r="GE92" s="38"/>
      <c r="GF92" s="38"/>
      <c r="GG92" s="38"/>
      <c r="GH92" s="38"/>
      <c r="GI92" s="38"/>
      <c r="GJ92" s="38"/>
      <c r="GK92" s="38"/>
      <c r="GL92" s="38"/>
      <c r="GM92" s="38"/>
      <c r="GN92" s="38"/>
      <c r="GO92" s="38"/>
      <c r="GP92" s="38"/>
      <c r="GQ92" s="38"/>
      <c r="GR92" s="38"/>
      <c r="GS92" s="38"/>
      <c r="GT92" s="38"/>
      <c r="GU92" s="38"/>
      <c r="GV92" s="38"/>
      <c r="GW92" s="38"/>
      <c r="GX92" s="38"/>
      <c r="GY92" s="38"/>
      <c r="GZ92" s="38"/>
      <c r="HA92" s="38"/>
      <c r="HB92" s="38"/>
      <c r="HC92" s="38"/>
      <c r="HD92" s="38"/>
      <c r="HE92" s="38"/>
      <c r="HF92" s="38"/>
      <c r="HG92" s="38"/>
      <c r="HH92" s="38"/>
      <c r="HI92" s="38"/>
      <c r="HJ92" s="38"/>
      <c r="HK92" s="38"/>
      <c r="HL92" s="38"/>
      <c r="HM92" s="38"/>
      <c r="HN92" s="38"/>
      <c r="HO92" s="38"/>
      <c r="HP92" s="38"/>
      <c r="HQ92" s="38"/>
      <c r="HR92" s="38"/>
      <c r="HS92" s="38"/>
      <c r="HT92" s="38"/>
      <c r="HU92" s="38"/>
      <c r="HV92" s="38"/>
      <c r="HW92" s="38"/>
      <c r="HX92" s="38"/>
      <c r="HY92" s="38"/>
      <c r="HZ92" s="38"/>
      <c r="IA92" s="38"/>
      <c r="IB92" s="38"/>
      <c r="IC92" s="38"/>
      <c r="ID92" s="38"/>
      <c r="IE92" s="38"/>
      <c r="IF92" s="38"/>
      <c r="IG92" s="38"/>
      <c r="IH92" s="38"/>
      <c r="II92" s="38"/>
      <c r="IJ92" s="38"/>
      <c r="IK92" s="38"/>
      <c r="IL92" s="38"/>
      <c r="IM92" s="38"/>
      <c r="IN92" s="38"/>
      <c r="IO92" s="38"/>
      <c r="IP92" s="38"/>
      <c r="IQ92" s="38"/>
      <c r="IR92" s="38"/>
      <c r="IS92" s="38"/>
      <c r="IT92" s="38"/>
      <c r="IU92" s="38"/>
      <c r="IV92" s="38"/>
      <c r="IW92" s="38"/>
      <c r="IX92" s="38"/>
      <c r="IY92" s="38"/>
      <c r="IZ92" s="38"/>
      <c r="JA92" s="38"/>
      <c r="JB92" s="38"/>
      <c r="JC92" s="38"/>
      <c r="JD92" s="38"/>
      <c r="JE92" s="38"/>
      <c r="JF92" s="38"/>
      <c r="JG92" s="38"/>
      <c r="JH92" s="38"/>
      <c r="JI92" s="38"/>
      <c r="JJ92" s="38"/>
      <c r="JK92" s="38"/>
      <c r="JL92" s="38"/>
      <c r="JM92" s="38"/>
      <c r="JN92" s="38"/>
      <c r="JO92" s="38"/>
      <c r="JP92" s="38"/>
      <c r="JQ92" s="38"/>
      <c r="JR92" s="38"/>
      <c r="JS92" s="38"/>
      <c r="JT92" s="38"/>
      <c r="JU92" s="38"/>
      <c r="JV92" s="38"/>
      <c r="JW92" s="38"/>
      <c r="JX92" s="38"/>
      <c r="JY92" s="38"/>
      <c r="JZ92" s="38"/>
      <c r="KA92" s="38"/>
      <c r="KB92" s="38"/>
      <c r="KC92" s="38"/>
      <c r="KD92" s="38"/>
      <c r="KE92" s="38"/>
      <c r="KF92" s="38"/>
      <c r="KG92" s="38"/>
      <c r="KH92" s="38"/>
      <c r="KI92" s="38"/>
      <c r="KJ92" s="38"/>
      <c r="KK92" s="38"/>
      <c r="KL92" s="38"/>
      <c r="KM92" s="38"/>
      <c r="KN92" s="38"/>
      <c r="KO92" s="38"/>
      <c r="KP92" s="38"/>
      <c r="KQ92" s="38"/>
      <c r="KR92" s="38"/>
      <c r="KS92" s="38"/>
      <c r="KT92" s="38"/>
      <c r="KU92" s="38"/>
      <c r="KV92" s="38"/>
      <c r="KW92" s="38"/>
      <c r="KX92" s="38"/>
      <c r="KY92" s="38"/>
      <c r="KZ92" s="38"/>
      <c r="LA92" s="38"/>
      <c r="LB92" s="38"/>
      <c r="LC92" s="38"/>
      <c r="LD92" s="38"/>
      <c r="LE92" s="38"/>
      <c r="LF92" s="38"/>
      <c r="LG92" s="38"/>
      <c r="LH92" s="38"/>
      <c r="LI92" s="38"/>
      <c r="LJ92" s="38"/>
      <c r="LK92" s="38"/>
      <c r="LL92" s="38"/>
      <c r="LM92" s="38"/>
      <c r="LN92" s="38"/>
      <c r="LO92" s="38"/>
      <c r="LP92" s="38"/>
      <c r="LQ92" s="38"/>
      <c r="LR92" s="38"/>
      <c r="LS92" s="38"/>
      <c r="LT92" s="38"/>
      <c r="LU92" s="38"/>
      <c r="LV92" s="38"/>
      <c r="LW92" s="38"/>
      <c r="LX92" s="38"/>
      <c r="LY92" s="38"/>
      <c r="LZ92" s="38"/>
      <c r="MA92" s="38"/>
      <c r="MB92" s="38"/>
      <c r="MC92" s="38"/>
      <c r="MD92" s="38"/>
      <c r="ME92" s="38"/>
      <c r="MF92" s="38"/>
      <c r="MG92" s="38"/>
      <c r="MH92" s="38"/>
      <c r="MI92" s="38"/>
      <c r="MJ92" s="38"/>
      <c r="MK92" s="38"/>
      <c r="ML92" s="38"/>
      <c r="MM92" s="38"/>
      <c r="MN92" s="38"/>
      <c r="MO92" s="38"/>
      <c r="MP92" s="38"/>
      <c r="MQ92" s="38"/>
      <c r="MR92" s="38"/>
      <c r="MS92" s="38"/>
      <c r="MT92" s="38"/>
      <c r="MU92" s="38"/>
      <c r="MV92" s="38"/>
      <c r="MW92" s="38"/>
      <c r="MX92" s="38"/>
      <c r="MY92" s="38"/>
      <c r="MZ92" s="38"/>
      <c r="NA92" s="38"/>
      <c r="NB92" s="38"/>
      <c r="NC92" s="38"/>
      <c r="ND92" s="38"/>
      <c r="NE92" s="38"/>
      <c r="NF92" s="38"/>
      <c r="NG92" s="38"/>
      <c r="NH92" s="38"/>
      <c r="NI92" s="38"/>
      <c r="NJ92" s="38"/>
      <c r="NK92" s="38"/>
      <c r="NL92" s="38"/>
      <c r="NM92" s="38"/>
      <c r="NN92" s="38"/>
      <c r="NO92" s="38"/>
      <c r="NP92" s="38"/>
      <c r="NQ92" s="38"/>
      <c r="NR92" s="38"/>
      <c r="NS92" s="38"/>
      <c r="NT92" s="38"/>
      <c r="NU92" s="38"/>
      <c r="NV92" s="38"/>
      <c r="NW92" s="38"/>
      <c r="NX92" s="38"/>
      <c r="NY92" s="38"/>
      <c r="NZ92" s="38"/>
      <c r="OA92" s="38"/>
      <c r="OB92" s="38"/>
      <c r="OC92" s="38"/>
      <c r="OD92" s="38"/>
      <c r="OE92" s="38"/>
      <c r="OF92" s="38"/>
      <c r="OG92" s="38"/>
      <c r="OH92" s="38"/>
      <c r="OI92" s="38"/>
      <c r="OJ92" s="38"/>
      <c r="OK92" s="38"/>
      <c r="OL92" s="38"/>
      <c r="OM92" s="38"/>
      <c r="ON92" s="38"/>
      <c r="OO92" s="38"/>
      <c r="OP92" s="38"/>
      <c r="OQ92" s="38"/>
      <c r="OR92" s="38"/>
      <c r="OS92" s="38"/>
      <c r="OT92" s="38"/>
      <c r="OU92" s="38"/>
      <c r="OV92" s="38"/>
      <c r="OW92" s="38"/>
      <c r="OX92" s="38"/>
      <c r="OY92" s="38"/>
      <c r="OZ92" s="38"/>
      <c r="PA92" s="38"/>
      <c r="PB92" s="38"/>
      <c r="PC92" s="38"/>
      <c r="PD92" s="38"/>
      <c r="PE92" s="38"/>
      <c r="PF92" s="38"/>
      <c r="PG92" s="38"/>
      <c r="PH92" s="38"/>
      <c r="PI92" s="38"/>
      <c r="PJ92" s="38"/>
      <c r="PK92" s="38"/>
      <c r="PL92" s="38"/>
      <c r="PM92" s="38"/>
      <c r="PN92" s="38"/>
      <c r="PO92" s="38"/>
      <c r="PP92" s="38"/>
      <c r="PQ92" s="38"/>
      <c r="PR92" s="38"/>
      <c r="PS92" s="38"/>
      <c r="PT92" s="38"/>
      <c r="PU92" s="38"/>
      <c r="PV92" s="38"/>
      <c r="PW92" s="38"/>
      <c r="PX92" s="38"/>
      <c r="PY92" s="38"/>
      <c r="PZ92" s="38"/>
      <c r="QA92" s="38"/>
      <c r="QB92" s="38"/>
      <c r="QC92" s="38"/>
      <c r="QD92" s="38"/>
      <c r="QE92" s="38"/>
      <c r="QF92" s="38"/>
      <c r="QG92" s="38"/>
      <c r="QH92" s="38"/>
      <c r="QI92" s="38"/>
      <c r="QJ92" s="38"/>
      <c r="QK92" s="38"/>
      <c r="QL92" s="38"/>
      <c r="QM92" s="38"/>
      <c r="QN92" s="38"/>
      <c r="QO92" s="38"/>
      <c r="QP92" s="38"/>
      <c r="QQ92" s="38"/>
      <c r="QR92" s="38"/>
      <c r="QS92" s="38"/>
      <c r="QT92" s="38"/>
      <c r="QU92" s="38"/>
      <c r="QV92" s="38"/>
      <c r="QW92" s="38"/>
      <c r="QX92" s="38"/>
      <c r="QY92" s="38"/>
      <c r="QZ92" s="38"/>
      <c r="RA92" s="38"/>
      <c r="RB92" s="38"/>
      <c r="RC92" s="38"/>
      <c r="RD92" s="38"/>
      <c r="RE92" s="38"/>
      <c r="RF92" s="38"/>
      <c r="RG92" s="38"/>
      <c r="RH92" s="38"/>
      <c r="RI92" s="38"/>
      <c r="RJ92" s="38"/>
      <c r="RK92" s="38"/>
      <c r="RL92" s="38"/>
      <c r="RM92" s="38"/>
      <c r="RN92" s="38"/>
      <c r="RO92" s="38"/>
      <c r="RP92" s="38"/>
      <c r="RQ92" s="38"/>
      <c r="RR92" s="38"/>
      <c r="RS92" s="38"/>
      <c r="RT92" s="38"/>
      <c r="RU92" s="38"/>
      <c r="RV92" s="38"/>
      <c r="RW92" s="38"/>
      <c r="RX92" s="38"/>
      <c r="RY92" s="38"/>
      <c r="RZ92" s="38"/>
      <c r="SA92" s="38"/>
      <c r="SB92" s="38"/>
      <c r="SC92" s="38"/>
      <c r="SD92" s="38"/>
      <c r="SE92" s="38"/>
      <c r="SF92" s="38"/>
      <c r="SG92" s="38"/>
      <c r="SH92" s="38"/>
      <c r="SI92" s="38"/>
      <c r="SJ92" s="38"/>
      <c r="SK92" s="38"/>
      <c r="SL92" s="38"/>
      <c r="SM92" s="38"/>
      <c r="SN92" s="38"/>
      <c r="SO92" s="38"/>
      <c r="SP92" s="38"/>
      <c r="SQ92" s="38"/>
      <c r="SR92" s="38"/>
      <c r="SS92" s="38"/>
      <c r="ST92" s="38"/>
      <c r="SU92" s="38"/>
      <c r="SV92" s="38"/>
      <c r="SW92" s="38"/>
      <c r="SX92" s="38"/>
      <c r="SY92" s="38"/>
      <c r="SZ92" s="38"/>
      <c r="TA92" s="38"/>
      <c r="TB92" s="38"/>
      <c r="TC92" s="38"/>
      <c r="TD92" s="38"/>
      <c r="TE92" s="38"/>
      <c r="TF92" s="38"/>
      <c r="TG92" s="38"/>
      <c r="TH92" s="38"/>
      <c r="TI92" s="38"/>
      <c r="TJ92" s="38"/>
      <c r="TK92" s="38"/>
      <c r="TL92" s="38"/>
      <c r="TM92" s="38"/>
    </row>
    <row r="93" spans="1:533" s="39" customFormat="1" ht="18.75" x14ac:dyDescent="0.25">
      <c r="B93" s="50" t="s">
        <v>180</v>
      </c>
      <c r="C93" s="41" t="s">
        <v>187</v>
      </c>
      <c r="D93" s="56" t="s">
        <v>188</v>
      </c>
      <c r="E93" s="43" t="s">
        <v>29</v>
      </c>
      <c r="F93" s="53">
        <v>256</v>
      </c>
      <c r="G93" s="58"/>
      <c r="H93" s="46"/>
      <c r="I93" s="47">
        <f t="shared" si="14"/>
        <v>0</v>
      </c>
      <c r="J93" s="48">
        <v>2041</v>
      </c>
      <c r="K93" s="47" t="s">
        <v>30</v>
      </c>
      <c r="L93" s="49"/>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8"/>
      <c r="CM93" s="38"/>
      <c r="CN93" s="38"/>
      <c r="CO93" s="38"/>
      <c r="CP93" s="38"/>
      <c r="CQ93" s="38"/>
      <c r="CR93" s="38"/>
      <c r="CS93" s="38"/>
      <c r="CT93" s="38"/>
      <c r="CU93" s="38"/>
      <c r="CV93" s="38"/>
      <c r="CW93" s="38"/>
      <c r="CX93" s="38"/>
      <c r="CY93" s="38"/>
      <c r="CZ93" s="38"/>
      <c r="DA93" s="38"/>
      <c r="DB93" s="38"/>
      <c r="DC93" s="38"/>
      <c r="DD93" s="38"/>
      <c r="DE93" s="38"/>
      <c r="DF93" s="38"/>
      <c r="DG93" s="38"/>
      <c r="DH93" s="38"/>
      <c r="DI93" s="38"/>
      <c r="DJ93" s="38"/>
      <c r="DK93" s="38"/>
      <c r="DL93" s="38"/>
      <c r="DM93" s="38"/>
      <c r="DN93" s="38"/>
      <c r="DO93" s="38"/>
      <c r="DP93" s="38"/>
      <c r="DQ93" s="38"/>
      <c r="DR93" s="38"/>
      <c r="DS93" s="38"/>
      <c r="DT93" s="38"/>
      <c r="DU93" s="38"/>
      <c r="DV93" s="38"/>
      <c r="DW93" s="38"/>
      <c r="DX93" s="38"/>
      <c r="DY93" s="38"/>
      <c r="DZ93" s="38"/>
      <c r="EA93" s="38"/>
      <c r="EB93" s="38"/>
      <c r="EC93" s="38"/>
      <c r="ED93" s="38"/>
      <c r="EE93" s="38"/>
      <c r="EF93" s="38"/>
      <c r="EG93" s="38"/>
      <c r="EH93" s="38"/>
      <c r="EI93" s="38"/>
      <c r="EJ93" s="38"/>
      <c r="EK93" s="38"/>
      <c r="EL93" s="38"/>
      <c r="EM93" s="38"/>
      <c r="EN93" s="38"/>
      <c r="EO93" s="38"/>
      <c r="EP93" s="38"/>
      <c r="EQ93" s="38"/>
      <c r="ER93" s="38"/>
      <c r="ES93" s="38"/>
      <c r="ET93" s="38"/>
      <c r="EU93" s="38"/>
      <c r="EV93" s="38"/>
      <c r="EW93" s="38"/>
      <c r="EX93" s="38"/>
      <c r="EY93" s="38"/>
      <c r="EZ93" s="38"/>
      <c r="FA93" s="38"/>
      <c r="FB93" s="38"/>
      <c r="FC93" s="38"/>
      <c r="FD93" s="38"/>
      <c r="FE93" s="38"/>
      <c r="FF93" s="38"/>
      <c r="FG93" s="38"/>
      <c r="FH93" s="38"/>
      <c r="FI93" s="38"/>
      <c r="FJ93" s="38"/>
      <c r="FK93" s="38"/>
      <c r="FL93" s="38"/>
      <c r="FM93" s="38"/>
      <c r="FN93" s="38"/>
      <c r="FO93" s="38"/>
      <c r="FP93" s="38"/>
      <c r="FQ93" s="38"/>
      <c r="FR93" s="38"/>
      <c r="FS93" s="38"/>
      <c r="FT93" s="38"/>
      <c r="FU93" s="38"/>
      <c r="FV93" s="38"/>
      <c r="FW93" s="38"/>
      <c r="FX93" s="38"/>
      <c r="FY93" s="38"/>
      <c r="FZ93" s="38"/>
      <c r="GA93" s="38"/>
      <c r="GB93" s="38"/>
      <c r="GC93" s="38"/>
      <c r="GD93" s="38"/>
      <c r="GE93" s="38"/>
      <c r="GF93" s="38"/>
      <c r="GG93" s="38"/>
      <c r="GH93" s="38"/>
      <c r="GI93" s="38"/>
      <c r="GJ93" s="38"/>
      <c r="GK93" s="38"/>
      <c r="GL93" s="38"/>
      <c r="GM93" s="38"/>
      <c r="GN93" s="38"/>
      <c r="GO93" s="38"/>
      <c r="GP93" s="38"/>
      <c r="GQ93" s="38"/>
      <c r="GR93" s="38"/>
      <c r="GS93" s="38"/>
      <c r="GT93" s="38"/>
      <c r="GU93" s="38"/>
      <c r="GV93" s="38"/>
      <c r="GW93" s="38"/>
      <c r="GX93" s="38"/>
      <c r="GY93" s="38"/>
      <c r="GZ93" s="38"/>
      <c r="HA93" s="38"/>
      <c r="HB93" s="38"/>
      <c r="HC93" s="38"/>
      <c r="HD93" s="38"/>
      <c r="HE93" s="38"/>
      <c r="HF93" s="38"/>
      <c r="HG93" s="38"/>
      <c r="HH93" s="38"/>
      <c r="HI93" s="38"/>
      <c r="HJ93" s="38"/>
      <c r="HK93" s="38"/>
      <c r="HL93" s="38"/>
      <c r="HM93" s="38"/>
      <c r="HN93" s="38"/>
      <c r="HO93" s="38"/>
      <c r="HP93" s="38"/>
      <c r="HQ93" s="38"/>
      <c r="HR93" s="38"/>
      <c r="HS93" s="38"/>
      <c r="HT93" s="38"/>
      <c r="HU93" s="38"/>
      <c r="HV93" s="38"/>
      <c r="HW93" s="38"/>
      <c r="HX93" s="38"/>
      <c r="HY93" s="38"/>
      <c r="HZ93" s="38"/>
      <c r="IA93" s="38"/>
      <c r="IB93" s="38"/>
      <c r="IC93" s="38"/>
      <c r="ID93" s="38"/>
      <c r="IE93" s="38"/>
      <c r="IF93" s="38"/>
      <c r="IG93" s="38"/>
      <c r="IH93" s="38"/>
      <c r="II93" s="38"/>
      <c r="IJ93" s="38"/>
      <c r="IK93" s="38"/>
      <c r="IL93" s="38"/>
      <c r="IM93" s="38"/>
      <c r="IN93" s="38"/>
      <c r="IO93" s="38"/>
      <c r="IP93" s="38"/>
      <c r="IQ93" s="38"/>
      <c r="IR93" s="38"/>
      <c r="IS93" s="38"/>
      <c r="IT93" s="38"/>
      <c r="IU93" s="38"/>
      <c r="IV93" s="38"/>
      <c r="IW93" s="38"/>
      <c r="IX93" s="38"/>
      <c r="IY93" s="38"/>
      <c r="IZ93" s="38"/>
      <c r="JA93" s="38"/>
      <c r="JB93" s="38"/>
      <c r="JC93" s="38"/>
      <c r="JD93" s="38"/>
      <c r="JE93" s="38"/>
      <c r="JF93" s="38"/>
      <c r="JG93" s="38"/>
      <c r="JH93" s="38"/>
      <c r="JI93" s="38"/>
      <c r="JJ93" s="38"/>
      <c r="JK93" s="38"/>
      <c r="JL93" s="38"/>
      <c r="JM93" s="38"/>
      <c r="JN93" s="38"/>
      <c r="JO93" s="38"/>
      <c r="JP93" s="38"/>
      <c r="JQ93" s="38"/>
      <c r="JR93" s="38"/>
      <c r="JS93" s="38"/>
      <c r="JT93" s="38"/>
      <c r="JU93" s="38"/>
      <c r="JV93" s="38"/>
      <c r="JW93" s="38"/>
      <c r="JX93" s="38"/>
      <c r="JY93" s="38"/>
      <c r="JZ93" s="38"/>
      <c r="KA93" s="38"/>
      <c r="KB93" s="38"/>
      <c r="KC93" s="38"/>
      <c r="KD93" s="38"/>
      <c r="KE93" s="38"/>
      <c r="KF93" s="38"/>
      <c r="KG93" s="38"/>
      <c r="KH93" s="38"/>
      <c r="KI93" s="38"/>
      <c r="KJ93" s="38"/>
      <c r="KK93" s="38"/>
      <c r="KL93" s="38"/>
      <c r="KM93" s="38"/>
      <c r="KN93" s="38"/>
      <c r="KO93" s="38"/>
      <c r="KP93" s="38"/>
      <c r="KQ93" s="38"/>
      <c r="KR93" s="38"/>
      <c r="KS93" s="38"/>
      <c r="KT93" s="38"/>
      <c r="KU93" s="38"/>
      <c r="KV93" s="38"/>
      <c r="KW93" s="38"/>
      <c r="KX93" s="38"/>
      <c r="KY93" s="38"/>
      <c r="KZ93" s="38"/>
      <c r="LA93" s="38"/>
      <c r="LB93" s="38"/>
      <c r="LC93" s="38"/>
      <c r="LD93" s="38"/>
      <c r="LE93" s="38"/>
      <c r="LF93" s="38"/>
      <c r="LG93" s="38"/>
      <c r="LH93" s="38"/>
      <c r="LI93" s="38"/>
      <c r="LJ93" s="38"/>
      <c r="LK93" s="38"/>
      <c r="LL93" s="38"/>
      <c r="LM93" s="38"/>
      <c r="LN93" s="38"/>
      <c r="LO93" s="38"/>
      <c r="LP93" s="38"/>
      <c r="LQ93" s="38"/>
      <c r="LR93" s="38"/>
      <c r="LS93" s="38"/>
      <c r="LT93" s="38"/>
      <c r="LU93" s="38"/>
      <c r="LV93" s="38"/>
      <c r="LW93" s="38"/>
      <c r="LX93" s="38"/>
      <c r="LY93" s="38"/>
      <c r="LZ93" s="38"/>
      <c r="MA93" s="38"/>
      <c r="MB93" s="38"/>
      <c r="MC93" s="38"/>
      <c r="MD93" s="38"/>
      <c r="ME93" s="38"/>
      <c r="MF93" s="38"/>
      <c r="MG93" s="38"/>
      <c r="MH93" s="38"/>
      <c r="MI93" s="38"/>
      <c r="MJ93" s="38"/>
      <c r="MK93" s="38"/>
      <c r="ML93" s="38"/>
      <c r="MM93" s="38"/>
      <c r="MN93" s="38"/>
      <c r="MO93" s="38"/>
      <c r="MP93" s="38"/>
      <c r="MQ93" s="38"/>
      <c r="MR93" s="38"/>
      <c r="MS93" s="38"/>
      <c r="MT93" s="38"/>
      <c r="MU93" s="38"/>
      <c r="MV93" s="38"/>
      <c r="MW93" s="38"/>
      <c r="MX93" s="38"/>
      <c r="MY93" s="38"/>
      <c r="MZ93" s="38"/>
      <c r="NA93" s="38"/>
      <c r="NB93" s="38"/>
      <c r="NC93" s="38"/>
      <c r="ND93" s="38"/>
      <c r="NE93" s="38"/>
      <c r="NF93" s="38"/>
      <c r="NG93" s="38"/>
      <c r="NH93" s="38"/>
      <c r="NI93" s="38"/>
      <c r="NJ93" s="38"/>
      <c r="NK93" s="38"/>
      <c r="NL93" s="38"/>
      <c r="NM93" s="38"/>
      <c r="NN93" s="38"/>
      <c r="NO93" s="38"/>
      <c r="NP93" s="38"/>
      <c r="NQ93" s="38"/>
      <c r="NR93" s="38"/>
      <c r="NS93" s="38"/>
      <c r="NT93" s="38"/>
      <c r="NU93" s="38"/>
      <c r="NV93" s="38"/>
      <c r="NW93" s="38"/>
      <c r="NX93" s="38"/>
      <c r="NY93" s="38"/>
      <c r="NZ93" s="38"/>
      <c r="OA93" s="38"/>
      <c r="OB93" s="38"/>
      <c r="OC93" s="38"/>
      <c r="OD93" s="38"/>
      <c r="OE93" s="38"/>
      <c r="OF93" s="38"/>
      <c r="OG93" s="38"/>
      <c r="OH93" s="38"/>
      <c r="OI93" s="38"/>
      <c r="OJ93" s="38"/>
      <c r="OK93" s="38"/>
      <c r="OL93" s="38"/>
      <c r="OM93" s="38"/>
      <c r="ON93" s="38"/>
      <c r="OO93" s="38"/>
      <c r="OP93" s="38"/>
      <c r="OQ93" s="38"/>
      <c r="OR93" s="38"/>
      <c r="OS93" s="38"/>
      <c r="OT93" s="38"/>
      <c r="OU93" s="38"/>
      <c r="OV93" s="38"/>
      <c r="OW93" s="38"/>
      <c r="OX93" s="38"/>
      <c r="OY93" s="38"/>
      <c r="OZ93" s="38"/>
      <c r="PA93" s="38"/>
      <c r="PB93" s="38"/>
      <c r="PC93" s="38"/>
      <c r="PD93" s="38"/>
      <c r="PE93" s="38"/>
      <c r="PF93" s="38"/>
      <c r="PG93" s="38"/>
      <c r="PH93" s="38"/>
      <c r="PI93" s="38"/>
      <c r="PJ93" s="38"/>
      <c r="PK93" s="38"/>
      <c r="PL93" s="38"/>
      <c r="PM93" s="38"/>
      <c r="PN93" s="38"/>
      <c r="PO93" s="38"/>
      <c r="PP93" s="38"/>
      <c r="PQ93" s="38"/>
      <c r="PR93" s="38"/>
      <c r="PS93" s="38"/>
      <c r="PT93" s="38"/>
      <c r="PU93" s="38"/>
      <c r="PV93" s="38"/>
      <c r="PW93" s="38"/>
      <c r="PX93" s="38"/>
      <c r="PY93" s="38"/>
      <c r="PZ93" s="38"/>
      <c r="QA93" s="38"/>
      <c r="QB93" s="38"/>
      <c r="QC93" s="38"/>
      <c r="QD93" s="38"/>
      <c r="QE93" s="38"/>
      <c r="QF93" s="38"/>
      <c r="QG93" s="38"/>
      <c r="QH93" s="38"/>
      <c r="QI93" s="38"/>
      <c r="QJ93" s="38"/>
      <c r="QK93" s="38"/>
      <c r="QL93" s="38"/>
      <c r="QM93" s="38"/>
      <c r="QN93" s="38"/>
      <c r="QO93" s="38"/>
      <c r="QP93" s="38"/>
      <c r="QQ93" s="38"/>
      <c r="QR93" s="38"/>
      <c r="QS93" s="38"/>
      <c r="QT93" s="38"/>
      <c r="QU93" s="38"/>
      <c r="QV93" s="38"/>
      <c r="QW93" s="38"/>
      <c r="QX93" s="38"/>
      <c r="QY93" s="38"/>
      <c r="QZ93" s="38"/>
      <c r="RA93" s="38"/>
      <c r="RB93" s="38"/>
      <c r="RC93" s="38"/>
      <c r="RD93" s="38"/>
      <c r="RE93" s="38"/>
      <c r="RF93" s="38"/>
      <c r="RG93" s="38"/>
      <c r="RH93" s="38"/>
      <c r="RI93" s="38"/>
      <c r="RJ93" s="38"/>
      <c r="RK93" s="38"/>
      <c r="RL93" s="38"/>
      <c r="RM93" s="38"/>
      <c r="RN93" s="38"/>
      <c r="RO93" s="38"/>
      <c r="RP93" s="38"/>
      <c r="RQ93" s="38"/>
      <c r="RR93" s="38"/>
      <c r="RS93" s="38"/>
      <c r="RT93" s="38"/>
      <c r="RU93" s="38"/>
      <c r="RV93" s="38"/>
      <c r="RW93" s="38"/>
      <c r="RX93" s="38"/>
      <c r="RY93" s="38"/>
      <c r="RZ93" s="38"/>
      <c r="SA93" s="38"/>
      <c r="SB93" s="38"/>
      <c r="SC93" s="38"/>
      <c r="SD93" s="38"/>
      <c r="SE93" s="38"/>
      <c r="SF93" s="38"/>
      <c r="SG93" s="38"/>
      <c r="SH93" s="38"/>
      <c r="SI93" s="38"/>
      <c r="SJ93" s="38"/>
      <c r="SK93" s="38"/>
      <c r="SL93" s="38"/>
      <c r="SM93" s="38"/>
      <c r="SN93" s="38"/>
      <c r="SO93" s="38"/>
      <c r="SP93" s="38"/>
      <c r="SQ93" s="38"/>
      <c r="SR93" s="38"/>
      <c r="SS93" s="38"/>
      <c r="ST93" s="38"/>
      <c r="SU93" s="38"/>
      <c r="SV93" s="38"/>
      <c r="SW93" s="38"/>
      <c r="SX93" s="38"/>
      <c r="SY93" s="38"/>
      <c r="SZ93" s="38"/>
      <c r="TA93" s="38"/>
      <c r="TB93" s="38"/>
      <c r="TC93" s="38"/>
      <c r="TD93" s="38"/>
      <c r="TE93" s="38"/>
      <c r="TF93" s="38"/>
      <c r="TG93" s="38"/>
      <c r="TH93" s="38"/>
      <c r="TI93" s="38"/>
      <c r="TJ93" s="38"/>
      <c r="TK93" s="38"/>
      <c r="TL93" s="38"/>
      <c r="TM93" s="38"/>
    </row>
    <row r="94" spans="1:533" s="74" customFormat="1" ht="37.5" x14ac:dyDescent="0.25">
      <c r="B94" s="88" t="s">
        <v>180</v>
      </c>
      <c r="C94" s="41" t="s">
        <v>189</v>
      </c>
      <c r="D94" s="56" t="s">
        <v>190</v>
      </c>
      <c r="E94" s="43" t="s">
        <v>29</v>
      </c>
      <c r="F94" s="53">
        <v>87</v>
      </c>
      <c r="G94" s="58"/>
      <c r="H94" s="46"/>
      <c r="I94" s="47">
        <f t="shared" si="14"/>
        <v>0</v>
      </c>
      <c r="J94" s="48">
        <v>2041</v>
      </c>
      <c r="K94" s="47" t="s">
        <v>30</v>
      </c>
      <c r="L94" s="49"/>
    </row>
    <row r="95" spans="1:533" s="74" customFormat="1" ht="37.5" x14ac:dyDescent="0.25">
      <c r="B95" s="88"/>
      <c r="C95" s="41"/>
      <c r="D95" s="56" t="s">
        <v>191</v>
      </c>
      <c r="E95" s="43" t="s">
        <v>192</v>
      </c>
      <c r="F95" s="53">
        <v>8</v>
      </c>
      <c r="G95" s="58"/>
      <c r="H95" s="46"/>
      <c r="I95" s="47">
        <f t="shared" si="14"/>
        <v>0</v>
      </c>
      <c r="J95" s="48">
        <v>2041</v>
      </c>
      <c r="K95" s="47" t="s">
        <v>30</v>
      </c>
      <c r="L95" s="49"/>
    </row>
    <row r="96" spans="1:533" s="74" customFormat="1" ht="37.5" x14ac:dyDescent="0.25">
      <c r="B96" s="88"/>
      <c r="C96" s="41"/>
      <c r="D96" s="56" t="s">
        <v>193</v>
      </c>
      <c r="E96" s="43" t="s">
        <v>194</v>
      </c>
      <c r="F96" s="53">
        <v>86</v>
      </c>
      <c r="G96" s="58"/>
      <c r="H96" s="46"/>
      <c r="I96" s="47">
        <f t="shared" si="14"/>
        <v>0</v>
      </c>
      <c r="J96" s="48">
        <v>2041</v>
      </c>
      <c r="K96" s="47" t="s">
        <v>30</v>
      </c>
      <c r="L96" s="49"/>
    </row>
    <row r="97" spans="1:533" s="74" customFormat="1" ht="18.75" x14ac:dyDescent="0.25">
      <c r="B97" s="88" t="s">
        <v>180</v>
      </c>
      <c r="C97" s="41"/>
      <c r="D97" s="63" t="s">
        <v>195</v>
      </c>
      <c r="E97" s="60"/>
      <c r="F97" s="53"/>
      <c r="G97" s="58"/>
      <c r="H97" s="46"/>
      <c r="I97" s="47"/>
      <c r="J97" s="48"/>
      <c r="K97" s="47"/>
      <c r="L97" s="49"/>
    </row>
    <row r="98" spans="1:533" s="39" customFormat="1" ht="18.75" x14ac:dyDescent="0.25">
      <c r="B98" s="40" t="s">
        <v>196</v>
      </c>
      <c r="C98" s="41" t="s">
        <v>197</v>
      </c>
      <c r="D98" s="42" t="s">
        <v>198</v>
      </c>
      <c r="E98" s="65" t="s">
        <v>199</v>
      </c>
      <c r="F98" s="53">
        <v>227</v>
      </c>
      <c r="G98" s="58"/>
      <c r="H98" s="46"/>
      <c r="I98" s="47">
        <f t="shared" ref="I98" si="15">F98*G98</f>
        <v>0</v>
      </c>
      <c r="J98" s="48">
        <v>2041</v>
      </c>
      <c r="K98" s="47" t="s">
        <v>30</v>
      </c>
      <c r="L98" s="49"/>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c r="DA98" s="38"/>
      <c r="DB98" s="38"/>
      <c r="DC98" s="38"/>
      <c r="DD98" s="38"/>
      <c r="DE98" s="38"/>
      <c r="DF98" s="38"/>
      <c r="DG98" s="38"/>
      <c r="DH98" s="38"/>
      <c r="DI98" s="38"/>
      <c r="DJ98" s="38"/>
      <c r="DK98" s="38"/>
      <c r="DL98" s="38"/>
      <c r="DM98" s="38"/>
      <c r="DN98" s="38"/>
      <c r="DO98" s="38"/>
      <c r="DP98" s="38"/>
      <c r="DQ98" s="38"/>
      <c r="DR98" s="38"/>
      <c r="DS98" s="38"/>
      <c r="DT98" s="38"/>
      <c r="DU98" s="38"/>
      <c r="DV98" s="38"/>
      <c r="DW98" s="38"/>
      <c r="DX98" s="38"/>
      <c r="DY98" s="38"/>
      <c r="DZ98" s="38"/>
      <c r="EA98" s="38"/>
      <c r="EB98" s="38"/>
      <c r="EC98" s="38"/>
      <c r="ED98" s="38"/>
      <c r="EE98" s="38"/>
      <c r="EF98" s="38"/>
      <c r="EG98" s="38"/>
      <c r="EH98" s="38"/>
      <c r="EI98" s="38"/>
      <c r="EJ98" s="38"/>
      <c r="EK98" s="38"/>
      <c r="EL98" s="38"/>
      <c r="EM98" s="38"/>
      <c r="EN98" s="38"/>
      <c r="EO98" s="38"/>
      <c r="EP98" s="38"/>
      <c r="EQ98" s="38"/>
      <c r="ER98" s="38"/>
      <c r="ES98" s="38"/>
      <c r="ET98" s="38"/>
      <c r="EU98" s="38"/>
      <c r="EV98" s="38"/>
      <c r="EW98" s="38"/>
      <c r="EX98" s="38"/>
      <c r="EY98" s="38"/>
      <c r="EZ98" s="38"/>
      <c r="FA98" s="38"/>
      <c r="FB98" s="38"/>
      <c r="FC98" s="38"/>
      <c r="FD98" s="38"/>
      <c r="FE98" s="38"/>
      <c r="FF98" s="38"/>
      <c r="FG98" s="38"/>
      <c r="FH98" s="38"/>
      <c r="FI98" s="38"/>
      <c r="FJ98" s="38"/>
      <c r="FK98" s="38"/>
      <c r="FL98" s="38"/>
      <c r="FM98" s="38"/>
      <c r="FN98" s="38"/>
      <c r="FO98" s="38"/>
      <c r="FP98" s="38"/>
      <c r="FQ98" s="38"/>
      <c r="FR98" s="38"/>
      <c r="FS98" s="38"/>
      <c r="FT98" s="38"/>
      <c r="FU98" s="38"/>
      <c r="FV98" s="38"/>
      <c r="FW98" s="38"/>
      <c r="FX98" s="38"/>
      <c r="FY98" s="38"/>
      <c r="FZ98" s="38"/>
      <c r="GA98" s="38"/>
      <c r="GB98" s="38"/>
      <c r="GC98" s="38"/>
      <c r="GD98" s="38"/>
      <c r="GE98" s="38"/>
      <c r="GF98" s="38"/>
      <c r="GG98" s="38"/>
      <c r="GH98" s="38"/>
      <c r="GI98" s="38"/>
      <c r="GJ98" s="38"/>
      <c r="GK98" s="38"/>
      <c r="GL98" s="38"/>
      <c r="GM98" s="38"/>
      <c r="GN98" s="38"/>
      <c r="GO98" s="38"/>
      <c r="GP98" s="38"/>
      <c r="GQ98" s="38"/>
      <c r="GR98" s="38"/>
      <c r="GS98" s="38"/>
      <c r="GT98" s="38"/>
      <c r="GU98" s="38"/>
      <c r="GV98" s="38"/>
      <c r="GW98" s="38"/>
      <c r="GX98" s="38"/>
      <c r="GY98" s="38"/>
      <c r="GZ98" s="38"/>
      <c r="HA98" s="38"/>
      <c r="HB98" s="38"/>
      <c r="HC98" s="38"/>
      <c r="HD98" s="38"/>
      <c r="HE98" s="38"/>
      <c r="HF98" s="38"/>
      <c r="HG98" s="38"/>
      <c r="HH98" s="38"/>
      <c r="HI98" s="38"/>
      <c r="HJ98" s="38"/>
      <c r="HK98" s="38"/>
      <c r="HL98" s="38"/>
      <c r="HM98" s="38"/>
      <c r="HN98" s="38"/>
      <c r="HO98" s="38"/>
      <c r="HP98" s="38"/>
      <c r="HQ98" s="38"/>
      <c r="HR98" s="38"/>
      <c r="HS98" s="38"/>
      <c r="HT98" s="38"/>
      <c r="HU98" s="38"/>
      <c r="HV98" s="38"/>
      <c r="HW98" s="38"/>
      <c r="HX98" s="38"/>
      <c r="HY98" s="38"/>
      <c r="HZ98" s="38"/>
      <c r="IA98" s="38"/>
      <c r="IB98" s="38"/>
      <c r="IC98" s="38"/>
      <c r="ID98" s="38"/>
      <c r="IE98" s="38"/>
      <c r="IF98" s="38"/>
      <c r="IG98" s="38"/>
      <c r="IH98" s="38"/>
      <c r="II98" s="38"/>
      <c r="IJ98" s="38"/>
      <c r="IK98" s="38"/>
      <c r="IL98" s="38"/>
      <c r="IM98" s="38"/>
      <c r="IN98" s="38"/>
      <c r="IO98" s="38"/>
      <c r="IP98" s="38"/>
      <c r="IQ98" s="38"/>
      <c r="IR98" s="38"/>
      <c r="IS98" s="38"/>
      <c r="IT98" s="38"/>
      <c r="IU98" s="38"/>
      <c r="IV98" s="38"/>
      <c r="IW98" s="38"/>
      <c r="IX98" s="38"/>
      <c r="IY98" s="38"/>
      <c r="IZ98" s="38"/>
      <c r="JA98" s="38"/>
      <c r="JB98" s="38"/>
      <c r="JC98" s="38"/>
      <c r="JD98" s="38"/>
      <c r="JE98" s="38"/>
      <c r="JF98" s="38"/>
      <c r="JG98" s="38"/>
      <c r="JH98" s="38"/>
      <c r="JI98" s="38"/>
      <c r="JJ98" s="38"/>
      <c r="JK98" s="38"/>
      <c r="JL98" s="38"/>
      <c r="JM98" s="38"/>
      <c r="JN98" s="38"/>
      <c r="JO98" s="38"/>
      <c r="JP98" s="38"/>
      <c r="JQ98" s="38"/>
      <c r="JR98" s="38"/>
      <c r="JS98" s="38"/>
      <c r="JT98" s="38"/>
      <c r="JU98" s="38"/>
      <c r="JV98" s="38"/>
      <c r="JW98" s="38"/>
      <c r="JX98" s="38"/>
      <c r="JY98" s="38"/>
      <c r="JZ98" s="38"/>
      <c r="KA98" s="38"/>
      <c r="KB98" s="38"/>
      <c r="KC98" s="38"/>
      <c r="KD98" s="38"/>
      <c r="KE98" s="38"/>
      <c r="KF98" s="38"/>
      <c r="KG98" s="38"/>
      <c r="KH98" s="38"/>
      <c r="KI98" s="38"/>
      <c r="KJ98" s="38"/>
      <c r="KK98" s="38"/>
      <c r="KL98" s="38"/>
      <c r="KM98" s="38"/>
      <c r="KN98" s="38"/>
      <c r="KO98" s="38"/>
      <c r="KP98" s="38"/>
      <c r="KQ98" s="38"/>
      <c r="KR98" s="38"/>
      <c r="KS98" s="38"/>
      <c r="KT98" s="38"/>
      <c r="KU98" s="38"/>
      <c r="KV98" s="38"/>
      <c r="KW98" s="38"/>
      <c r="KX98" s="38"/>
      <c r="KY98" s="38"/>
      <c r="KZ98" s="38"/>
      <c r="LA98" s="38"/>
      <c r="LB98" s="38"/>
      <c r="LC98" s="38"/>
      <c r="LD98" s="38"/>
      <c r="LE98" s="38"/>
      <c r="LF98" s="38"/>
      <c r="LG98" s="38"/>
      <c r="LH98" s="38"/>
      <c r="LI98" s="38"/>
      <c r="LJ98" s="38"/>
      <c r="LK98" s="38"/>
      <c r="LL98" s="38"/>
      <c r="LM98" s="38"/>
      <c r="LN98" s="38"/>
      <c r="LO98" s="38"/>
      <c r="LP98" s="38"/>
      <c r="LQ98" s="38"/>
      <c r="LR98" s="38"/>
      <c r="LS98" s="38"/>
      <c r="LT98" s="38"/>
      <c r="LU98" s="38"/>
      <c r="LV98" s="38"/>
      <c r="LW98" s="38"/>
      <c r="LX98" s="38"/>
      <c r="LY98" s="38"/>
      <c r="LZ98" s="38"/>
      <c r="MA98" s="38"/>
      <c r="MB98" s="38"/>
      <c r="MC98" s="38"/>
      <c r="MD98" s="38"/>
      <c r="ME98" s="38"/>
      <c r="MF98" s="38"/>
      <c r="MG98" s="38"/>
      <c r="MH98" s="38"/>
      <c r="MI98" s="38"/>
      <c r="MJ98" s="38"/>
      <c r="MK98" s="38"/>
      <c r="ML98" s="38"/>
      <c r="MM98" s="38"/>
      <c r="MN98" s="38"/>
      <c r="MO98" s="38"/>
      <c r="MP98" s="38"/>
      <c r="MQ98" s="38"/>
      <c r="MR98" s="38"/>
      <c r="MS98" s="38"/>
      <c r="MT98" s="38"/>
      <c r="MU98" s="38"/>
      <c r="MV98" s="38"/>
      <c r="MW98" s="38"/>
      <c r="MX98" s="38"/>
      <c r="MY98" s="38"/>
      <c r="MZ98" s="38"/>
      <c r="NA98" s="38"/>
      <c r="NB98" s="38"/>
      <c r="NC98" s="38"/>
      <c r="ND98" s="38"/>
      <c r="NE98" s="38"/>
      <c r="NF98" s="38"/>
      <c r="NG98" s="38"/>
      <c r="NH98" s="38"/>
      <c r="NI98" s="38"/>
      <c r="NJ98" s="38"/>
      <c r="NK98" s="38"/>
      <c r="NL98" s="38"/>
      <c r="NM98" s="38"/>
      <c r="NN98" s="38"/>
      <c r="NO98" s="38"/>
      <c r="NP98" s="38"/>
      <c r="NQ98" s="38"/>
      <c r="NR98" s="38"/>
      <c r="NS98" s="38"/>
      <c r="NT98" s="38"/>
      <c r="NU98" s="38"/>
      <c r="NV98" s="38"/>
      <c r="NW98" s="38"/>
      <c r="NX98" s="38"/>
      <c r="NY98" s="38"/>
      <c r="NZ98" s="38"/>
      <c r="OA98" s="38"/>
      <c r="OB98" s="38"/>
      <c r="OC98" s="38"/>
      <c r="OD98" s="38"/>
      <c r="OE98" s="38"/>
      <c r="OF98" s="38"/>
      <c r="OG98" s="38"/>
      <c r="OH98" s="38"/>
      <c r="OI98" s="38"/>
      <c r="OJ98" s="38"/>
      <c r="OK98" s="38"/>
      <c r="OL98" s="38"/>
      <c r="OM98" s="38"/>
      <c r="ON98" s="38"/>
      <c r="OO98" s="38"/>
      <c r="OP98" s="38"/>
      <c r="OQ98" s="38"/>
      <c r="OR98" s="38"/>
      <c r="OS98" s="38"/>
      <c r="OT98" s="38"/>
      <c r="OU98" s="38"/>
      <c r="OV98" s="38"/>
      <c r="OW98" s="38"/>
      <c r="OX98" s="38"/>
      <c r="OY98" s="38"/>
      <c r="OZ98" s="38"/>
      <c r="PA98" s="38"/>
      <c r="PB98" s="38"/>
      <c r="PC98" s="38"/>
      <c r="PD98" s="38"/>
      <c r="PE98" s="38"/>
      <c r="PF98" s="38"/>
      <c r="PG98" s="38"/>
      <c r="PH98" s="38"/>
      <c r="PI98" s="38"/>
      <c r="PJ98" s="38"/>
      <c r="PK98" s="38"/>
      <c r="PL98" s="38"/>
      <c r="PM98" s="38"/>
      <c r="PN98" s="38"/>
      <c r="PO98" s="38"/>
      <c r="PP98" s="38"/>
      <c r="PQ98" s="38"/>
      <c r="PR98" s="38"/>
      <c r="PS98" s="38"/>
      <c r="PT98" s="38"/>
      <c r="PU98" s="38"/>
      <c r="PV98" s="38"/>
      <c r="PW98" s="38"/>
      <c r="PX98" s="38"/>
      <c r="PY98" s="38"/>
      <c r="PZ98" s="38"/>
      <c r="QA98" s="38"/>
      <c r="QB98" s="38"/>
      <c r="QC98" s="38"/>
      <c r="QD98" s="38"/>
      <c r="QE98" s="38"/>
      <c r="QF98" s="38"/>
      <c r="QG98" s="38"/>
      <c r="QH98" s="38"/>
      <c r="QI98" s="38"/>
      <c r="QJ98" s="38"/>
      <c r="QK98" s="38"/>
      <c r="QL98" s="38"/>
      <c r="QM98" s="38"/>
      <c r="QN98" s="38"/>
      <c r="QO98" s="38"/>
      <c r="QP98" s="38"/>
      <c r="QQ98" s="38"/>
      <c r="QR98" s="38"/>
      <c r="QS98" s="38"/>
      <c r="QT98" s="38"/>
      <c r="QU98" s="38"/>
      <c r="QV98" s="38"/>
      <c r="QW98" s="38"/>
      <c r="QX98" s="38"/>
      <c r="QY98" s="38"/>
      <c r="QZ98" s="38"/>
      <c r="RA98" s="38"/>
      <c r="RB98" s="38"/>
      <c r="RC98" s="38"/>
      <c r="RD98" s="38"/>
      <c r="RE98" s="38"/>
      <c r="RF98" s="38"/>
      <c r="RG98" s="38"/>
      <c r="RH98" s="38"/>
      <c r="RI98" s="38"/>
      <c r="RJ98" s="38"/>
      <c r="RK98" s="38"/>
      <c r="RL98" s="38"/>
      <c r="RM98" s="38"/>
      <c r="RN98" s="38"/>
      <c r="RO98" s="38"/>
      <c r="RP98" s="38"/>
      <c r="RQ98" s="38"/>
      <c r="RR98" s="38"/>
      <c r="RS98" s="38"/>
      <c r="RT98" s="38"/>
      <c r="RU98" s="38"/>
      <c r="RV98" s="38"/>
      <c r="RW98" s="38"/>
      <c r="RX98" s="38"/>
      <c r="RY98" s="38"/>
      <c r="RZ98" s="38"/>
      <c r="SA98" s="38"/>
      <c r="SB98" s="38"/>
      <c r="SC98" s="38"/>
      <c r="SD98" s="38"/>
      <c r="SE98" s="38"/>
      <c r="SF98" s="38"/>
      <c r="SG98" s="38"/>
      <c r="SH98" s="38"/>
      <c r="SI98" s="38"/>
      <c r="SJ98" s="38"/>
      <c r="SK98" s="38"/>
      <c r="SL98" s="38"/>
      <c r="SM98" s="38"/>
      <c r="SN98" s="38"/>
      <c r="SO98" s="38"/>
      <c r="SP98" s="38"/>
      <c r="SQ98" s="38"/>
      <c r="SR98" s="38"/>
      <c r="SS98" s="38"/>
      <c r="ST98" s="38"/>
      <c r="SU98" s="38"/>
      <c r="SV98" s="38"/>
      <c r="SW98" s="38"/>
      <c r="SX98" s="38"/>
      <c r="SY98" s="38"/>
      <c r="SZ98" s="38"/>
      <c r="TA98" s="38"/>
      <c r="TB98" s="38"/>
      <c r="TC98" s="38"/>
      <c r="TD98" s="38"/>
      <c r="TE98" s="38"/>
      <c r="TF98" s="38"/>
      <c r="TG98" s="38"/>
      <c r="TH98" s="38"/>
      <c r="TI98" s="38"/>
      <c r="TJ98" s="38"/>
      <c r="TK98" s="38"/>
      <c r="TL98" s="38"/>
      <c r="TM98" s="38"/>
    </row>
    <row r="99" spans="1:533" s="39" customFormat="1" ht="75" x14ac:dyDescent="0.25">
      <c r="B99" s="40" t="s">
        <v>196</v>
      </c>
      <c r="C99" s="41"/>
      <c r="D99" s="63" t="s">
        <v>200</v>
      </c>
      <c r="E99" s="60"/>
      <c r="F99" s="44"/>
      <c r="G99" s="58"/>
      <c r="H99" s="46"/>
      <c r="I99" s="47"/>
      <c r="J99" s="48"/>
      <c r="K99" s="47"/>
      <c r="L99" s="49"/>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c r="DA99" s="38"/>
      <c r="DB99" s="38"/>
      <c r="DC99" s="38"/>
      <c r="DD99" s="38"/>
      <c r="DE99" s="38"/>
      <c r="DF99" s="38"/>
      <c r="DG99" s="38"/>
      <c r="DH99" s="38"/>
      <c r="DI99" s="38"/>
      <c r="DJ99" s="38"/>
      <c r="DK99" s="38"/>
      <c r="DL99" s="38"/>
      <c r="DM99" s="38"/>
      <c r="DN99" s="38"/>
      <c r="DO99" s="38"/>
      <c r="DP99" s="38"/>
      <c r="DQ99" s="38"/>
      <c r="DR99" s="38"/>
      <c r="DS99" s="38"/>
      <c r="DT99" s="38"/>
      <c r="DU99" s="38"/>
      <c r="DV99" s="38"/>
      <c r="DW99" s="38"/>
      <c r="DX99" s="38"/>
      <c r="DY99" s="38"/>
      <c r="DZ99" s="38"/>
      <c r="EA99" s="38"/>
      <c r="EB99" s="38"/>
      <c r="EC99" s="38"/>
      <c r="ED99" s="38"/>
      <c r="EE99" s="38"/>
      <c r="EF99" s="38"/>
      <c r="EG99" s="38"/>
      <c r="EH99" s="38"/>
      <c r="EI99" s="38"/>
      <c r="EJ99" s="38"/>
      <c r="EK99" s="38"/>
      <c r="EL99" s="38"/>
      <c r="EM99" s="38"/>
      <c r="EN99" s="38"/>
      <c r="EO99" s="38"/>
      <c r="EP99" s="38"/>
      <c r="EQ99" s="38"/>
      <c r="ER99" s="38"/>
      <c r="ES99" s="38"/>
      <c r="ET99" s="38"/>
      <c r="EU99" s="38"/>
      <c r="EV99" s="38"/>
      <c r="EW99" s="38"/>
      <c r="EX99" s="38"/>
      <c r="EY99" s="38"/>
      <c r="EZ99" s="38"/>
      <c r="FA99" s="38"/>
      <c r="FB99" s="38"/>
      <c r="FC99" s="38"/>
      <c r="FD99" s="38"/>
      <c r="FE99" s="38"/>
      <c r="FF99" s="38"/>
      <c r="FG99" s="38"/>
      <c r="FH99" s="38"/>
      <c r="FI99" s="38"/>
      <c r="FJ99" s="38"/>
      <c r="FK99" s="38"/>
      <c r="FL99" s="38"/>
      <c r="FM99" s="38"/>
      <c r="FN99" s="38"/>
      <c r="FO99" s="38"/>
      <c r="FP99" s="38"/>
      <c r="FQ99" s="38"/>
      <c r="FR99" s="38"/>
      <c r="FS99" s="38"/>
      <c r="FT99" s="38"/>
      <c r="FU99" s="38"/>
      <c r="FV99" s="38"/>
      <c r="FW99" s="38"/>
      <c r="FX99" s="38"/>
      <c r="FY99" s="38"/>
      <c r="FZ99" s="38"/>
      <c r="GA99" s="38"/>
      <c r="GB99" s="38"/>
      <c r="GC99" s="38"/>
      <c r="GD99" s="38"/>
      <c r="GE99" s="38"/>
      <c r="GF99" s="38"/>
      <c r="GG99" s="38"/>
      <c r="GH99" s="38"/>
      <c r="GI99" s="38"/>
      <c r="GJ99" s="38"/>
      <c r="GK99" s="38"/>
      <c r="GL99" s="38"/>
      <c r="GM99" s="38"/>
      <c r="GN99" s="38"/>
      <c r="GO99" s="38"/>
      <c r="GP99" s="38"/>
      <c r="GQ99" s="38"/>
      <c r="GR99" s="38"/>
      <c r="GS99" s="38"/>
      <c r="GT99" s="38"/>
      <c r="GU99" s="38"/>
      <c r="GV99" s="38"/>
      <c r="GW99" s="38"/>
      <c r="GX99" s="38"/>
      <c r="GY99" s="38"/>
      <c r="GZ99" s="38"/>
      <c r="HA99" s="38"/>
      <c r="HB99" s="38"/>
      <c r="HC99" s="38"/>
      <c r="HD99" s="38"/>
      <c r="HE99" s="38"/>
      <c r="HF99" s="38"/>
      <c r="HG99" s="38"/>
      <c r="HH99" s="38"/>
      <c r="HI99" s="38"/>
      <c r="HJ99" s="38"/>
      <c r="HK99" s="38"/>
      <c r="HL99" s="38"/>
      <c r="HM99" s="38"/>
      <c r="HN99" s="38"/>
      <c r="HO99" s="38"/>
      <c r="HP99" s="38"/>
      <c r="HQ99" s="38"/>
      <c r="HR99" s="38"/>
      <c r="HS99" s="38"/>
      <c r="HT99" s="38"/>
      <c r="HU99" s="38"/>
      <c r="HV99" s="38"/>
      <c r="HW99" s="38"/>
      <c r="HX99" s="38"/>
      <c r="HY99" s="38"/>
      <c r="HZ99" s="38"/>
      <c r="IA99" s="38"/>
      <c r="IB99" s="38"/>
      <c r="IC99" s="38"/>
      <c r="ID99" s="38"/>
      <c r="IE99" s="38"/>
      <c r="IF99" s="38"/>
      <c r="IG99" s="38"/>
      <c r="IH99" s="38"/>
      <c r="II99" s="38"/>
      <c r="IJ99" s="38"/>
      <c r="IK99" s="38"/>
      <c r="IL99" s="38"/>
      <c r="IM99" s="38"/>
      <c r="IN99" s="38"/>
      <c r="IO99" s="38"/>
      <c r="IP99" s="38"/>
      <c r="IQ99" s="38"/>
      <c r="IR99" s="38"/>
      <c r="IS99" s="38"/>
      <c r="IT99" s="38"/>
      <c r="IU99" s="38"/>
      <c r="IV99" s="38"/>
      <c r="IW99" s="38"/>
      <c r="IX99" s="38"/>
      <c r="IY99" s="38"/>
      <c r="IZ99" s="38"/>
      <c r="JA99" s="38"/>
      <c r="JB99" s="38"/>
      <c r="JC99" s="38"/>
      <c r="JD99" s="38"/>
      <c r="JE99" s="38"/>
      <c r="JF99" s="38"/>
      <c r="JG99" s="38"/>
      <c r="JH99" s="38"/>
      <c r="JI99" s="38"/>
      <c r="JJ99" s="38"/>
      <c r="JK99" s="38"/>
      <c r="JL99" s="38"/>
      <c r="JM99" s="38"/>
      <c r="JN99" s="38"/>
      <c r="JO99" s="38"/>
      <c r="JP99" s="38"/>
      <c r="JQ99" s="38"/>
      <c r="JR99" s="38"/>
      <c r="JS99" s="38"/>
      <c r="JT99" s="38"/>
      <c r="JU99" s="38"/>
      <c r="JV99" s="38"/>
      <c r="JW99" s="38"/>
      <c r="JX99" s="38"/>
      <c r="JY99" s="38"/>
      <c r="JZ99" s="38"/>
      <c r="KA99" s="38"/>
      <c r="KB99" s="38"/>
      <c r="KC99" s="38"/>
      <c r="KD99" s="38"/>
      <c r="KE99" s="38"/>
      <c r="KF99" s="38"/>
      <c r="KG99" s="38"/>
      <c r="KH99" s="38"/>
      <c r="KI99" s="38"/>
      <c r="KJ99" s="38"/>
      <c r="KK99" s="38"/>
      <c r="KL99" s="38"/>
      <c r="KM99" s="38"/>
      <c r="KN99" s="38"/>
      <c r="KO99" s="38"/>
      <c r="KP99" s="38"/>
      <c r="KQ99" s="38"/>
      <c r="KR99" s="38"/>
      <c r="KS99" s="38"/>
      <c r="KT99" s="38"/>
      <c r="KU99" s="38"/>
      <c r="KV99" s="38"/>
      <c r="KW99" s="38"/>
      <c r="KX99" s="38"/>
      <c r="KY99" s="38"/>
      <c r="KZ99" s="38"/>
      <c r="LA99" s="38"/>
      <c r="LB99" s="38"/>
      <c r="LC99" s="38"/>
      <c r="LD99" s="38"/>
      <c r="LE99" s="38"/>
      <c r="LF99" s="38"/>
      <c r="LG99" s="38"/>
      <c r="LH99" s="38"/>
      <c r="LI99" s="38"/>
      <c r="LJ99" s="38"/>
      <c r="LK99" s="38"/>
      <c r="LL99" s="38"/>
      <c r="LM99" s="38"/>
      <c r="LN99" s="38"/>
      <c r="LO99" s="38"/>
      <c r="LP99" s="38"/>
      <c r="LQ99" s="38"/>
      <c r="LR99" s="38"/>
      <c r="LS99" s="38"/>
      <c r="LT99" s="38"/>
      <c r="LU99" s="38"/>
      <c r="LV99" s="38"/>
      <c r="LW99" s="38"/>
      <c r="LX99" s="38"/>
      <c r="LY99" s="38"/>
      <c r="LZ99" s="38"/>
      <c r="MA99" s="38"/>
      <c r="MB99" s="38"/>
      <c r="MC99" s="38"/>
      <c r="MD99" s="38"/>
      <c r="ME99" s="38"/>
      <c r="MF99" s="38"/>
      <c r="MG99" s="38"/>
      <c r="MH99" s="38"/>
      <c r="MI99" s="38"/>
      <c r="MJ99" s="38"/>
      <c r="MK99" s="38"/>
      <c r="ML99" s="38"/>
      <c r="MM99" s="38"/>
      <c r="MN99" s="38"/>
      <c r="MO99" s="38"/>
      <c r="MP99" s="38"/>
      <c r="MQ99" s="38"/>
      <c r="MR99" s="38"/>
      <c r="MS99" s="38"/>
      <c r="MT99" s="38"/>
      <c r="MU99" s="38"/>
      <c r="MV99" s="38"/>
      <c r="MW99" s="38"/>
      <c r="MX99" s="38"/>
      <c r="MY99" s="38"/>
      <c r="MZ99" s="38"/>
      <c r="NA99" s="38"/>
      <c r="NB99" s="38"/>
      <c r="NC99" s="38"/>
      <c r="ND99" s="38"/>
      <c r="NE99" s="38"/>
      <c r="NF99" s="38"/>
      <c r="NG99" s="38"/>
      <c r="NH99" s="38"/>
      <c r="NI99" s="38"/>
      <c r="NJ99" s="38"/>
      <c r="NK99" s="38"/>
      <c r="NL99" s="38"/>
      <c r="NM99" s="38"/>
      <c r="NN99" s="38"/>
      <c r="NO99" s="38"/>
      <c r="NP99" s="38"/>
      <c r="NQ99" s="38"/>
      <c r="NR99" s="38"/>
      <c r="NS99" s="38"/>
      <c r="NT99" s="38"/>
      <c r="NU99" s="38"/>
      <c r="NV99" s="38"/>
      <c r="NW99" s="38"/>
      <c r="NX99" s="38"/>
      <c r="NY99" s="38"/>
      <c r="NZ99" s="38"/>
      <c r="OA99" s="38"/>
      <c r="OB99" s="38"/>
      <c r="OC99" s="38"/>
      <c r="OD99" s="38"/>
      <c r="OE99" s="38"/>
      <c r="OF99" s="38"/>
      <c r="OG99" s="38"/>
      <c r="OH99" s="38"/>
      <c r="OI99" s="38"/>
      <c r="OJ99" s="38"/>
      <c r="OK99" s="38"/>
      <c r="OL99" s="38"/>
      <c r="OM99" s="38"/>
      <c r="ON99" s="38"/>
      <c r="OO99" s="38"/>
      <c r="OP99" s="38"/>
      <c r="OQ99" s="38"/>
      <c r="OR99" s="38"/>
      <c r="OS99" s="38"/>
      <c r="OT99" s="38"/>
      <c r="OU99" s="38"/>
      <c r="OV99" s="38"/>
      <c r="OW99" s="38"/>
      <c r="OX99" s="38"/>
      <c r="OY99" s="38"/>
      <c r="OZ99" s="38"/>
      <c r="PA99" s="38"/>
      <c r="PB99" s="38"/>
      <c r="PC99" s="38"/>
      <c r="PD99" s="38"/>
      <c r="PE99" s="38"/>
      <c r="PF99" s="38"/>
      <c r="PG99" s="38"/>
      <c r="PH99" s="38"/>
      <c r="PI99" s="38"/>
      <c r="PJ99" s="38"/>
      <c r="PK99" s="38"/>
      <c r="PL99" s="38"/>
      <c r="PM99" s="38"/>
      <c r="PN99" s="38"/>
      <c r="PO99" s="38"/>
      <c r="PP99" s="38"/>
      <c r="PQ99" s="38"/>
      <c r="PR99" s="38"/>
      <c r="PS99" s="38"/>
      <c r="PT99" s="38"/>
      <c r="PU99" s="38"/>
      <c r="PV99" s="38"/>
      <c r="PW99" s="38"/>
      <c r="PX99" s="38"/>
      <c r="PY99" s="38"/>
      <c r="PZ99" s="38"/>
      <c r="QA99" s="38"/>
      <c r="QB99" s="38"/>
      <c r="QC99" s="38"/>
      <c r="QD99" s="38"/>
      <c r="QE99" s="38"/>
      <c r="QF99" s="38"/>
      <c r="QG99" s="38"/>
      <c r="QH99" s="38"/>
      <c r="QI99" s="38"/>
      <c r="QJ99" s="38"/>
      <c r="QK99" s="38"/>
      <c r="QL99" s="38"/>
      <c r="QM99" s="38"/>
      <c r="QN99" s="38"/>
      <c r="QO99" s="38"/>
      <c r="QP99" s="38"/>
      <c r="QQ99" s="38"/>
      <c r="QR99" s="38"/>
      <c r="QS99" s="38"/>
      <c r="QT99" s="38"/>
      <c r="QU99" s="38"/>
      <c r="QV99" s="38"/>
      <c r="QW99" s="38"/>
      <c r="QX99" s="38"/>
      <c r="QY99" s="38"/>
      <c r="QZ99" s="38"/>
      <c r="RA99" s="38"/>
      <c r="RB99" s="38"/>
      <c r="RC99" s="38"/>
      <c r="RD99" s="38"/>
      <c r="RE99" s="38"/>
      <c r="RF99" s="38"/>
      <c r="RG99" s="38"/>
      <c r="RH99" s="38"/>
      <c r="RI99" s="38"/>
      <c r="RJ99" s="38"/>
      <c r="RK99" s="38"/>
      <c r="RL99" s="38"/>
      <c r="RM99" s="38"/>
      <c r="RN99" s="38"/>
      <c r="RO99" s="38"/>
      <c r="RP99" s="38"/>
      <c r="RQ99" s="38"/>
      <c r="RR99" s="38"/>
      <c r="RS99" s="38"/>
      <c r="RT99" s="38"/>
      <c r="RU99" s="38"/>
      <c r="RV99" s="38"/>
      <c r="RW99" s="38"/>
      <c r="RX99" s="38"/>
      <c r="RY99" s="38"/>
      <c r="RZ99" s="38"/>
      <c r="SA99" s="38"/>
      <c r="SB99" s="38"/>
      <c r="SC99" s="38"/>
      <c r="SD99" s="38"/>
      <c r="SE99" s="38"/>
      <c r="SF99" s="38"/>
      <c r="SG99" s="38"/>
      <c r="SH99" s="38"/>
      <c r="SI99" s="38"/>
      <c r="SJ99" s="38"/>
      <c r="SK99" s="38"/>
      <c r="SL99" s="38"/>
      <c r="SM99" s="38"/>
      <c r="SN99" s="38"/>
      <c r="SO99" s="38"/>
      <c r="SP99" s="38"/>
      <c r="SQ99" s="38"/>
      <c r="SR99" s="38"/>
      <c r="SS99" s="38"/>
      <c r="ST99" s="38"/>
      <c r="SU99" s="38"/>
      <c r="SV99" s="38"/>
      <c r="SW99" s="38"/>
      <c r="SX99" s="38"/>
      <c r="SY99" s="38"/>
      <c r="SZ99" s="38"/>
      <c r="TA99" s="38"/>
      <c r="TB99" s="38"/>
      <c r="TC99" s="38"/>
      <c r="TD99" s="38"/>
      <c r="TE99" s="38"/>
      <c r="TF99" s="38"/>
      <c r="TG99" s="38"/>
      <c r="TH99" s="38"/>
      <c r="TI99" s="38"/>
      <c r="TJ99" s="38"/>
      <c r="TK99" s="38"/>
      <c r="TL99" s="38"/>
      <c r="TM99" s="38"/>
    </row>
    <row r="100" spans="1:533" s="39" customFormat="1" ht="37.5" x14ac:dyDescent="0.25">
      <c r="B100" s="40" t="s">
        <v>196</v>
      </c>
      <c r="C100" s="41" t="s">
        <v>201</v>
      </c>
      <c r="D100" s="42" t="s">
        <v>202</v>
      </c>
      <c r="E100" s="60" t="s">
        <v>203</v>
      </c>
      <c r="F100" s="44">
        <v>63</v>
      </c>
      <c r="G100" s="58"/>
      <c r="H100" s="46"/>
      <c r="I100" s="47">
        <f t="shared" ref="I100" si="16">F100*G100</f>
        <v>0</v>
      </c>
      <c r="J100" s="48">
        <v>2040</v>
      </c>
      <c r="K100" s="47" t="s">
        <v>30</v>
      </c>
      <c r="L100" s="49"/>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c r="DA100" s="38"/>
      <c r="DB100" s="38"/>
      <c r="DC100" s="38"/>
      <c r="DD100" s="38"/>
      <c r="DE100" s="38"/>
      <c r="DF100" s="38"/>
      <c r="DG100" s="38"/>
      <c r="DH100" s="38"/>
      <c r="DI100" s="38"/>
      <c r="DJ100" s="38"/>
      <c r="DK100" s="38"/>
      <c r="DL100" s="38"/>
      <c r="DM100" s="38"/>
      <c r="DN100" s="38"/>
      <c r="DO100" s="38"/>
      <c r="DP100" s="38"/>
      <c r="DQ100" s="38"/>
      <c r="DR100" s="38"/>
      <c r="DS100" s="38"/>
      <c r="DT100" s="38"/>
      <c r="DU100" s="38"/>
      <c r="DV100" s="38"/>
      <c r="DW100" s="38"/>
      <c r="DX100" s="38"/>
      <c r="DY100" s="38"/>
      <c r="DZ100" s="38"/>
      <c r="EA100" s="38"/>
      <c r="EB100" s="38"/>
      <c r="EC100" s="38"/>
      <c r="ED100" s="38"/>
      <c r="EE100" s="38"/>
      <c r="EF100" s="38"/>
      <c r="EG100" s="38"/>
      <c r="EH100" s="38"/>
      <c r="EI100" s="38"/>
      <c r="EJ100" s="38"/>
      <c r="EK100" s="38"/>
      <c r="EL100" s="38"/>
      <c r="EM100" s="38"/>
      <c r="EN100" s="38"/>
      <c r="EO100" s="38"/>
      <c r="EP100" s="38"/>
      <c r="EQ100" s="38"/>
      <c r="ER100" s="38"/>
      <c r="ES100" s="38"/>
      <c r="ET100" s="38"/>
      <c r="EU100" s="38"/>
      <c r="EV100" s="38"/>
      <c r="EW100" s="38"/>
      <c r="EX100" s="38"/>
      <c r="EY100" s="38"/>
      <c r="EZ100" s="38"/>
      <c r="FA100" s="38"/>
      <c r="FB100" s="38"/>
      <c r="FC100" s="38"/>
      <c r="FD100" s="38"/>
      <c r="FE100" s="38"/>
      <c r="FF100" s="38"/>
      <c r="FG100" s="38"/>
      <c r="FH100" s="38"/>
      <c r="FI100" s="38"/>
      <c r="FJ100" s="38"/>
      <c r="FK100" s="38"/>
      <c r="FL100" s="38"/>
      <c r="FM100" s="38"/>
      <c r="FN100" s="38"/>
      <c r="FO100" s="38"/>
      <c r="FP100" s="38"/>
      <c r="FQ100" s="38"/>
      <c r="FR100" s="38"/>
      <c r="FS100" s="38"/>
      <c r="FT100" s="38"/>
      <c r="FU100" s="38"/>
      <c r="FV100" s="38"/>
      <c r="FW100" s="38"/>
      <c r="FX100" s="38"/>
      <c r="FY100" s="38"/>
      <c r="FZ100" s="38"/>
      <c r="GA100" s="38"/>
      <c r="GB100" s="38"/>
      <c r="GC100" s="38"/>
      <c r="GD100" s="38"/>
      <c r="GE100" s="38"/>
      <c r="GF100" s="38"/>
      <c r="GG100" s="38"/>
      <c r="GH100" s="38"/>
      <c r="GI100" s="38"/>
      <c r="GJ100" s="38"/>
      <c r="GK100" s="38"/>
      <c r="GL100" s="38"/>
      <c r="GM100" s="38"/>
      <c r="GN100" s="38"/>
      <c r="GO100" s="38"/>
      <c r="GP100" s="38"/>
      <c r="GQ100" s="38"/>
      <c r="GR100" s="38"/>
      <c r="GS100" s="38"/>
      <c r="GT100" s="38"/>
      <c r="GU100" s="38"/>
      <c r="GV100" s="38"/>
      <c r="GW100" s="38"/>
      <c r="GX100" s="38"/>
      <c r="GY100" s="38"/>
      <c r="GZ100" s="38"/>
      <c r="HA100" s="38"/>
      <c r="HB100" s="38"/>
      <c r="HC100" s="38"/>
      <c r="HD100" s="38"/>
      <c r="HE100" s="38"/>
      <c r="HF100" s="38"/>
      <c r="HG100" s="38"/>
      <c r="HH100" s="38"/>
      <c r="HI100" s="38"/>
      <c r="HJ100" s="38"/>
      <c r="HK100" s="38"/>
      <c r="HL100" s="38"/>
      <c r="HM100" s="38"/>
      <c r="HN100" s="38"/>
      <c r="HO100" s="38"/>
      <c r="HP100" s="38"/>
      <c r="HQ100" s="38"/>
      <c r="HR100" s="38"/>
      <c r="HS100" s="38"/>
      <c r="HT100" s="38"/>
      <c r="HU100" s="38"/>
      <c r="HV100" s="38"/>
      <c r="HW100" s="38"/>
      <c r="HX100" s="38"/>
      <c r="HY100" s="38"/>
      <c r="HZ100" s="38"/>
      <c r="IA100" s="38"/>
      <c r="IB100" s="38"/>
      <c r="IC100" s="38"/>
      <c r="ID100" s="38"/>
      <c r="IE100" s="38"/>
      <c r="IF100" s="38"/>
      <c r="IG100" s="38"/>
      <c r="IH100" s="38"/>
      <c r="II100" s="38"/>
      <c r="IJ100" s="38"/>
      <c r="IK100" s="38"/>
      <c r="IL100" s="38"/>
      <c r="IM100" s="38"/>
      <c r="IN100" s="38"/>
      <c r="IO100" s="38"/>
      <c r="IP100" s="38"/>
      <c r="IQ100" s="38"/>
      <c r="IR100" s="38"/>
      <c r="IS100" s="38"/>
      <c r="IT100" s="38"/>
      <c r="IU100" s="38"/>
      <c r="IV100" s="38"/>
      <c r="IW100" s="38"/>
      <c r="IX100" s="38"/>
      <c r="IY100" s="38"/>
      <c r="IZ100" s="38"/>
      <c r="JA100" s="38"/>
      <c r="JB100" s="38"/>
      <c r="JC100" s="38"/>
      <c r="JD100" s="38"/>
      <c r="JE100" s="38"/>
      <c r="JF100" s="38"/>
      <c r="JG100" s="38"/>
      <c r="JH100" s="38"/>
      <c r="JI100" s="38"/>
      <c r="JJ100" s="38"/>
      <c r="JK100" s="38"/>
      <c r="JL100" s="38"/>
      <c r="JM100" s="38"/>
      <c r="JN100" s="38"/>
      <c r="JO100" s="38"/>
      <c r="JP100" s="38"/>
      <c r="JQ100" s="38"/>
      <c r="JR100" s="38"/>
      <c r="JS100" s="38"/>
      <c r="JT100" s="38"/>
      <c r="JU100" s="38"/>
      <c r="JV100" s="38"/>
      <c r="JW100" s="38"/>
      <c r="JX100" s="38"/>
      <c r="JY100" s="38"/>
      <c r="JZ100" s="38"/>
      <c r="KA100" s="38"/>
      <c r="KB100" s="38"/>
      <c r="KC100" s="38"/>
      <c r="KD100" s="38"/>
      <c r="KE100" s="38"/>
      <c r="KF100" s="38"/>
      <c r="KG100" s="38"/>
      <c r="KH100" s="38"/>
      <c r="KI100" s="38"/>
      <c r="KJ100" s="38"/>
      <c r="KK100" s="38"/>
      <c r="KL100" s="38"/>
      <c r="KM100" s="38"/>
      <c r="KN100" s="38"/>
      <c r="KO100" s="38"/>
      <c r="KP100" s="38"/>
      <c r="KQ100" s="38"/>
      <c r="KR100" s="38"/>
      <c r="KS100" s="38"/>
      <c r="KT100" s="38"/>
      <c r="KU100" s="38"/>
      <c r="KV100" s="38"/>
      <c r="KW100" s="38"/>
      <c r="KX100" s="38"/>
      <c r="KY100" s="38"/>
      <c r="KZ100" s="38"/>
      <c r="LA100" s="38"/>
      <c r="LB100" s="38"/>
      <c r="LC100" s="38"/>
      <c r="LD100" s="38"/>
      <c r="LE100" s="38"/>
      <c r="LF100" s="38"/>
      <c r="LG100" s="38"/>
      <c r="LH100" s="38"/>
      <c r="LI100" s="38"/>
      <c r="LJ100" s="38"/>
      <c r="LK100" s="38"/>
      <c r="LL100" s="38"/>
      <c r="LM100" s="38"/>
      <c r="LN100" s="38"/>
      <c r="LO100" s="38"/>
      <c r="LP100" s="38"/>
      <c r="LQ100" s="38"/>
      <c r="LR100" s="38"/>
      <c r="LS100" s="38"/>
      <c r="LT100" s="38"/>
      <c r="LU100" s="38"/>
      <c r="LV100" s="38"/>
      <c r="LW100" s="38"/>
      <c r="LX100" s="38"/>
      <c r="LY100" s="38"/>
      <c r="LZ100" s="38"/>
      <c r="MA100" s="38"/>
      <c r="MB100" s="38"/>
      <c r="MC100" s="38"/>
      <c r="MD100" s="38"/>
      <c r="ME100" s="38"/>
      <c r="MF100" s="38"/>
      <c r="MG100" s="38"/>
      <c r="MH100" s="38"/>
      <c r="MI100" s="38"/>
      <c r="MJ100" s="38"/>
      <c r="MK100" s="38"/>
      <c r="ML100" s="38"/>
      <c r="MM100" s="38"/>
      <c r="MN100" s="38"/>
      <c r="MO100" s="38"/>
      <c r="MP100" s="38"/>
      <c r="MQ100" s="38"/>
      <c r="MR100" s="38"/>
      <c r="MS100" s="38"/>
      <c r="MT100" s="38"/>
      <c r="MU100" s="38"/>
      <c r="MV100" s="38"/>
      <c r="MW100" s="38"/>
      <c r="MX100" s="38"/>
      <c r="MY100" s="38"/>
      <c r="MZ100" s="38"/>
      <c r="NA100" s="38"/>
      <c r="NB100" s="38"/>
      <c r="NC100" s="38"/>
      <c r="ND100" s="38"/>
      <c r="NE100" s="38"/>
      <c r="NF100" s="38"/>
      <c r="NG100" s="38"/>
      <c r="NH100" s="38"/>
      <c r="NI100" s="38"/>
      <c r="NJ100" s="38"/>
      <c r="NK100" s="38"/>
      <c r="NL100" s="38"/>
      <c r="NM100" s="38"/>
      <c r="NN100" s="38"/>
      <c r="NO100" s="38"/>
      <c r="NP100" s="38"/>
      <c r="NQ100" s="38"/>
      <c r="NR100" s="38"/>
      <c r="NS100" s="38"/>
      <c r="NT100" s="38"/>
      <c r="NU100" s="38"/>
      <c r="NV100" s="38"/>
      <c r="NW100" s="38"/>
      <c r="NX100" s="38"/>
      <c r="NY100" s="38"/>
      <c r="NZ100" s="38"/>
      <c r="OA100" s="38"/>
      <c r="OB100" s="38"/>
      <c r="OC100" s="38"/>
      <c r="OD100" s="38"/>
      <c r="OE100" s="38"/>
      <c r="OF100" s="38"/>
      <c r="OG100" s="38"/>
      <c r="OH100" s="38"/>
      <c r="OI100" s="38"/>
      <c r="OJ100" s="38"/>
      <c r="OK100" s="38"/>
      <c r="OL100" s="38"/>
      <c r="OM100" s="38"/>
      <c r="ON100" s="38"/>
      <c r="OO100" s="38"/>
      <c r="OP100" s="38"/>
      <c r="OQ100" s="38"/>
      <c r="OR100" s="38"/>
      <c r="OS100" s="38"/>
      <c r="OT100" s="38"/>
      <c r="OU100" s="38"/>
      <c r="OV100" s="38"/>
      <c r="OW100" s="38"/>
      <c r="OX100" s="38"/>
      <c r="OY100" s="38"/>
      <c r="OZ100" s="38"/>
      <c r="PA100" s="38"/>
      <c r="PB100" s="38"/>
      <c r="PC100" s="38"/>
      <c r="PD100" s="38"/>
      <c r="PE100" s="38"/>
      <c r="PF100" s="38"/>
      <c r="PG100" s="38"/>
      <c r="PH100" s="38"/>
      <c r="PI100" s="38"/>
      <c r="PJ100" s="38"/>
      <c r="PK100" s="38"/>
      <c r="PL100" s="38"/>
      <c r="PM100" s="38"/>
      <c r="PN100" s="38"/>
      <c r="PO100" s="38"/>
      <c r="PP100" s="38"/>
      <c r="PQ100" s="38"/>
      <c r="PR100" s="38"/>
      <c r="PS100" s="38"/>
      <c r="PT100" s="38"/>
      <c r="PU100" s="38"/>
      <c r="PV100" s="38"/>
      <c r="PW100" s="38"/>
      <c r="PX100" s="38"/>
      <c r="PY100" s="38"/>
      <c r="PZ100" s="38"/>
      <c r="QA100" s="38"/>
      <c r="QB100" s="38"/>
      <c r="QC100" s="38"/>
      <c r="QD100" s="38"/>
      <c r="QE100" s="38"/>
      <c r="QF100" s="38"/>
      <c r="QG100" s="38"/>
      <c r="QH100" s="38"/>
      <c r="QI100" s="38"/>
      <c r="QJ100" s="38"/>
      <c r="QK100" s="38"/>
      <c r="QL100" s="38"/>
      <c r="QM100" s="38"/>
      <c r="QN100" s="38"/>
      <c r="QO100" s="38"/>
      <c r="QP100" s="38"/>
      <c r="QQ100" s="38"/>
      <c r="QR100" s="38"/>
      <c r="QS100" s="38"/>
      <c r="QT100" s="38"/>
      <c r="QU100" s="38"/>
      <c r="QV100" s="38"/>
      <c r="QW100" s="38"/>
      <c r="QX100" s="38"/>
      <c r="QY100" s="38"/>
      <c r="QZ100" s="38"/>
      <c r="RA100" s="38"/>
      <c r="RB100" s="38"/>
      <c r="RC100" s="38"/>
      <c r="RD100" s="38"/>
      <c r="RE100" s="38"/>
      <c r="RF100" s="38"/>
      <c r="RG100" s="38"/>
      <c r="RH100" s="38"/>
      <c r="RI100" s="38"/>
      <c r="RJ100" s="38"/>
      <c r="RK100" s="38"/>
      <c r="RL100" s="38"/>
      <c r="RM100" s="38"/>
      <c r="RN100" s="38"/>
      <c r="RO100" s="38"/>
      <c r="RP100" s="38"/>
      <c r="RQ100" s="38"/>
      <c r="RR100" s="38"/>
      <c r="RS100" s="38"/>
      <c r="RT100" s="38"/>
      <c r="RU100" s="38"/>
      <c r="RV100" s="38"/>
      <c r="RW100" s="38"/>
      <c r="RX100" s="38"/>
      <c r="RY100" s="38"/>
      <c r="RZ100" s="38"/>
      <c r="SA100" s="38"/>
      <c r="SB100" s="38"/>
      <c r="SC100" s="38"/>
      <c r="SD100" s="38"/>
      <c r="SE100" s="38"/>
      <c r="SF100" s="38"/>
      <c r="SG100" s="38"/>
      <c r="SH100" s="38"/>
      <c r="SI100" s="38"/>
      <c r="SJ100" s="38"/>
      <c r="SK100" s="38"/>
      <c r="SL100" s="38"/>
      <c r="SM100" s="38"/>
      <c r="SN100" s="38"/>
      <c r="SO100" s="38"/>
      <c r="SP100" s="38"/>
      <c r="SQ100" s="38"/>
      <c r="SR100" s="38"/>
      <c r="SS100" s="38"/>
      <c r="ST100" s="38"/>
      <c r="SU100" s="38"/>
      <c r="SV100" s="38"/>
      <c r="SW100" s="38"/>
      <c r="SX100" s="38"/>
      <c r="SY100" s="38"/>
      <c r="SZ100" s="38"/>
      <c r="TA100" s="38"/>
      <c r="TB100" s="38"/>
      <c r="TC100" s="38"/>
      <c r="TD100" s="38"/>
      <c r="TE100" s="38"/>
      <c r="TF100" s="38"/>
      <c r="TG100" s="38"/>
      <c r="TH100" s="38"/>
      <c r="TI100" s="38"/>
      <c r="TJ100" s="38"/>
      <c r="TK100" s="38"/>
      <c r="TL100" s="38"/>
      <c r="TM100" s="38"/>
    </row>
    <row r="101" spans="1:533" s="39" customFormat="1" ht="18.75" x14ac:dyDescent="0.25">
      <c r="B101" s="40" t="s">
        <v>196</v>
      </c>
      <c r="C101" s="41"/>
      <c r="D101" s="63" t="s">
        <v>204</v>
      </c>
      <c r="E101" s="60"/>
      <c r="F101" s="44"/>
      <c r="G101" s="58"/>
      <c r="H101" s="46"/>
      <c r="I101" s="47"/>
      <c r="J101" s="48"/>
      <c r="K101" s="47"/>
      <c r="L101" s="49"/>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c r="CS101" s="38"/>
      <c r="CT101" s="38"/>
      <c r="CU101" s="38"/>
      <c r="CV101" s="38"/>
      <c r="CW101" s="38"/>
      <c r="CX101" s="38"/>
      <c r="CY101" s="38"/>
      <c r="CZ101" s="38"/>
      <c r="DA101" s="38"/>
      <c r="DB101" s="38"/>
      <c r="DC101" s="38"/>
      <c r="DD101" s="38"/>
      <c r="DE101" s="38"/>
      <c r="DF101" s="38"/>
      <c r="DG101" s="38"/>
      <c r="DH101" s="38"/>
      <c r="DI101" s="38"/>
      <c r="DJ101" s="38"/>
      <c r="DK101" s="38"/>
      <c r="DL101" s="38"/>
      <c r="DM101" s="38"/>
      <c r="DN101" s="38"/>
      <c r="DO101" s="38"/>
      <c r="DP101" s="38"/>
      <c r="DQ101" s="38"/>
      <c r="DR101" s="38"/>
      <c r="DS101" s="38"/>
      <c r="DT101" s="38"/>
      <c r="DU101" s="38"/>
      <c r="DV101" s="38"/>
      <c r="DW101" s="38"/>
      <c r="DX101" s="38"/>
      <c r="DY101" s="38"/>
      <c r="DZ101" s="38"/>
      <c r="EA101" s="38"/>
      <c r="EB101" s="38"/>
      <c r="EC101" s="38"/>
      <c r="ED101" s="38"/>
      <c r="EE101" s="38"/>
      <c r="EF101" s="38"/>
      <c r="EG101" s="38"/>
      <c r="EH101" s="38"/>
      <c r="EI101" s="38"/>
      <c r="EJ101" s="38"/>
      <c r="EK101" s="38"/>
      <c r="EL101" s="38"/>
      <c r="EM101" s="38"/>
      <c r="EN101" s="38"/>
      <c r="EO101" s="38"/>
      <c r="EP101" s="38"/>
      <c r="EQ101" s="38"/>
      <c r="ER101" s="38"/>
      <c r="ES101" s="38"/>
      <c r="ET101" s="38"/>
      <c r="EU101" s="38"/>
      <c r="EV101" s="38"/>
      <c r="EW101" s="38"/>
      <c r="EX101" s="38"/>
      <c r="EY101" s="38"/>
      <c r="EZ101" s="38"/>
      <c r="FA101" s="38"/>
      <c r="FB101" s="38"/>
      <c r="FC101" s="38"/>
      <c r="FD101" s="38"/>
      <c r="FE101" s="38"/>
      <c r="FF101" s="38"/>
      <c r="FG101" s="38"/>
      <c r="FH101" s="38"/>
      <c r="FI101" s="38"/>
      <c r="FJ101" s="38"/>
      <c r="FK101" s="38"/>
      <c r="FL101" s="38"/>
      <c r="FM101" s="38"/>
      <c r="FN101" s="38"/>
      <c r="FO101" s="38"/>
      <c r="FP101" s="38"/>
      <c r="FQ101" s="38"/>
      <c r="FR101" s="38"/>
      <c r="FS101" s="38"/>
      <c r="FT101" s="38"/>
      <c r="FU101" s="38"/>
      <c r="FV101" s="38"/>
      <c r="FW101" s="38"/>
      <c r="FX101" s="38"/>
      <c r="FY101" s="38"/>
      <c r="FZ101" s="38"/>
      <c r="GA101" s="38"/>
      <c r="GB101" s="38"/>
      <c r="GC101" s="38"/>
      <c r="GD101" s="38"/>
      <c r="GE101" s="38"/>
      <c r="GF101" s="38"/>
      <c r="GG101" s="38"/>
      <c r="GH101" s="38"/>
      <c r="GI101" s="38"/>
      <c r="GJ101" s="38"/>
      <c r="GK101" s="38"/>
      <c r="GL101" s="38"/>
      <c r="GM101" s="38"/>
      <c r="GN101" s="38"/>
      <c r="GO101" s="38"/>
      <c r="GP101" s="38"/>
      <c r="GQ101" s="38"/>
      <c r="GR101" s="38"/>
      <c r="GS101" s="38"/>
      <c r="GT101" s="38"/>
      <c r="GU101" s="38"/>
      <c r="GV101" s="38"/>
      <c r="GW101" s="38"/>
      <c r="GX101" s="38"/>
      <c r="GY101" s="38"/>
      <c r="GZ101" s="38"/>
      <c r="HA101" s="38"/>
      <c r="HB101" s="38"/>
      <c r="HC101" s="38"/>
      <c r="HD101" s="38"/>
      <c r="HE101" s="38"/>
      <c r="HF101" s="38"/>
      <c r="HG101" s="38"/>
      <c r="HH101" s="38"/>
      <c r="HI101" s="38"/>
      <c r="HJ101" s="38"/>
      <c r="HK101" s="38"/>
      <c r="HL101" s="38"/>
      <c r="HM101" s="38"/>
      <c r="HN101" s="38"/>
      <c r="HO101" s="38"/>
      <c r="HP101" s="38"/>
      <c r="HQ101" s="38"/>
      <c r="HR101" s="38"/>
      <c r="HS101" s="38"/>
      <c r="HT101" s="38"/>
      <c r="HU101" s="38"/>
      <c r="HV101" s="38"/>
      <c r="HW101" s="38"/>
      <c r="HX101" s="38"/>
      <c r="HY101" s="38"/>
      <c r="HZ101" s="38"/>
      <c r="IA101" s="38"/>
      <c r="IB101" s="38"/>
      <c r="IC101" s="38"/>
      <c r="ID101" s="38"/>
      <c r="IE101" s="38"/>
      <c r="IF101" s="38"/>
      <c r="IG101" s="38"/>
      <c r="IH101" s="38"/>
      <c r="II101" s="38"/>
      <c r="IJ101" s="38"/>
      <c r="IK101" s="38"/>
      <c r="IL101" s="38"/>
      <c r="IM101" s="38"/>
      <c r="IN101" s="38"/>
      <c r="IO101" s="38"/>
      <c r="IP101" s="38"/>
      <c r="IQ101" s="38"/>
      <c r="IR101" s="38"/>
      <c r="IS101" s="38"/>
      <c r="IT101" s="38"/>
      <c r="IU101" s="38"/>
      <c r="IV101" s="38"/>
      <c r="IW101" s="38"/>
      <c r="IX101" s="38"/>
      <c r="IY101" s="38"/>
      <c r="IZ101" s="38"/>
      <c r="JA101" s="38"/>
      <c r="JB101" s="38"/>
      <c r="JC101" s="38"/>
      <c r="JD101" s="38"/>
      <c r="JE101" s="38"/>
      <c r="JF101" s="38"/>
      <c r="JG101" s="38"/>
      <c r="JH101" s="38"/>
      <c r="JI101" s="38"/>
      <c r="JJ101" s="38"/>
      <c r="JK101" s="38"/>
      <c r="JL101" s="38"/>
      <c r="JM101" s="38"/>
      <c r="JN101" s="38"/>
      <c r="JO101" s="38"/>
      <c r="JP101" s="38"/>
      <c r="JQ101" s="38"/>
      <c r="JR101" s="38"/>
      <c r="JS101" s="38"/>
      <c r="JT101" s="38"/>
      <c r="JU101" s="38"/>
      <c r="JV101" s="38"/>
      <c r="JW101" s="38"/>
      <c r="JX101" s="38"/>
      <c r="JY101" s="38"/>
      <c r="JZ101" s="38"/>
      <c r="KA101" s="38"/>
      <c r="KB101" s="38"/>
      <c r="KC101" s="38"/>
      <c r="KD101" s="38"/>
      <c r="KE101" s="38"/>
      <c r="KF101" s="38"/>
      <c r="KG101" s="38"/>
      <c r="KH101" s="38"/>
      <c r="KI101" s="38"/>
      <c r="KJ101" s="38"/>
      <c r="KK101" s="38"/>
      <c r="KL101" s="38"/>
      <c r="KM101" s="38"/>
      <c r="KN101" s="38"/>
      <c r="KO101" s="38"/>
      <c r="KP101" s="38"/>
      <c r="KQ101" s="38"/>
      <c r="KR101" s="38"/>
      <c r="KS101" s="38"/>
      <c r="KT101" s="38"/>
      <c r="KU101" s="38"/>
      <c r="KV101" s="38"/>
      <c r="KW101" s="38"/>
      <c r="KX101" s="38"/>
      <c r="KY101" s="38"/>
      <c r="KZ101" s="38"/>
      <c r="LA101" s="38"/>
      <c r="LB101" s="38"/>
      <c r="LC101" s="38"/>
      <c r="LD101" s="38"/>
      <c r="LE101" s="38"/>
      <c r="LF101" s="38"/>
      <c r="LG101" s="38"/>
      <c r="LH101" s="38"/>
      <c r="LI101" s="38"/>
      <c r="LJ101" s="38"/>
      <c r="LK101" s="38"/>
      <c r="LL101" s="38"/>
      <c r="LM101" s="38"/>
      <c r="LN101" s="38"/>
      <c r="LO101" s="38"/>
      <c r="LP101" s="38"/>
      <c r="LQ101" s="38"/>
      <c r="LR101" s="38"/>
      <c r="LS101" s="38"/>
      <c r="LT101" s="38"/>
      <c r="LU101" s="38"/>
      <c r="LV101" s="38"/>
      <c r="LW101" s="38"/>
      <c r="LX101" s="38"/>
      <c r="LY101" s="38"/>
      <c r="LZ101" s="38"/>
      <c r="MA101" s="38"/>
      <c r="MB101" s="38"/>
      <c r="MC101" s="38"/>
      <c r="MD101" s="38"/>
      <c r="ME101" s="38"/>
      <c r="MF101" s="38"/>
      <c r="MG101" s="38"/>
      <c r="MH101" s="38"/>
      <c r="MI101" s="38"/>
      <c r="MJ101" s="38"/>
      <c r="MK101" s="38"/>
      <c r="ML101" s="38"/>
      <c r="MM101" s="38"/>
      <c r="MN101" s="38"/>
      <c r="MO101" s="38"/>
      <c r="MP101" s="38"/>
      <c r="MQ101" s="38"/>
      <c r="MR101" s="38"/>
      <c r="MS101" s="38"/>
      <c r="MT101" s="38"/>
      <c r="MU101" s="38"/>
      <c r="MV101" s="38"/>
      <c r="MW101" s="38"/>
      <c r="MX101" s="38"/>
      <c r="MY101" s="38"/>
      <c r="MZ101" s="38"/>
      <c r="NA101" s="38"/>
      <c r="NB101" s="38"/>
      <c r="NC101" s="38"/>
      <c r="ND101" s="38"/>
      <c r="NE101" s="38"/>
      <c r="NF101" s="38"/>
      <c r="NG101" s="38"/>
      <c r="NH101" s="38"/>
      <c r="NI101" s="38"/>
      <c r="NJ101" s="38"/>
      <c r="NK101" s="38"/>
      <c r="NL101" s="38"/>
      <c r="NM101" s="38"/>
      <c r="NN101" s="38"/>
      <c r="NO101" s="38"/>
      <c r="NP101" s="38"/>
      <c r="NQ101" s="38"/>
      <c r="NR101" s="38"/>
      <c r="NS101" s="38"/>
      <c r="NT101" s="38"/>
      <c r="NU101" s="38"/>
      <c r="NV101" s="38"/>
      <c r="NW101" s="38"/>
      <c r="NX101" s="38"/>
      <c r="NY101" s="38"/>
      <c r="NZ101" s="38"/>
      <c r="OA101" s="38"/>
      <c r="OB101" s="38"/>
      <c r="OC101" s="38"/>
      <c r="OD101" s="38"/>
      <c r="OE101" s="38"/>
      <c r="OF101" s="38"/>
      <c r="OG101" s="38"/>
      <c r="OH101" s="38"/>
      <c r="OI101" s="38"/>
      <c r="OJ101" s="38"/>
      <c r="OK101" s="38"/>
      <c r="OL101" s="38"/>
      <c r="OM101" s="38"/>
      <c r="ON101" s="38"/>
      <c r="OO101" s="38"/>
      <c r="OP101" s="38"/>
      <c r="OQ101" s="38"/>
      <c r="OR101" s="38"/>
      <c r="OS101" s="38"/>
      <c r="OT101" s="38"/>
      <c r="OU101" s="38"/>
      <c r="OV101" s="38"/>
      <c r="OW101" s="38"/>
      <c r="OX101" s="38"/>
      <c r="OY101" s="38"/>
      <c r="OZ101" s="38"/>
      <c r="PA101" s="38"/>
      <c r="PB101" s="38"/>
      <c r="PC101" s="38"/>
      <c r="PD101" s="38"/>
      <c r="PE101" s="38"/>
      <c r="PF101" s="38"/>
      <c r="PG101" s="38"/>
      <c r="PH101" s="38"/>
      <c r="PI101" s="38"/>
      <c r="PJ101" s="38"/>
      <c r="PK101" s="38"/>
      <c r="PL101" s="38"/>
      <c r="PM101" s="38"/>
      <c r="PN101" s="38"/>
      <c r="PO101" s="38"/>
      <c r="PP101" s="38"/>
      <c r="PQ101" s="38"/>
      <c r="PR101" s="38"/>
      <c r="PS101" s="38"/>
      <c r="PT101" s="38"/>
      <c r="PU101" s="38"/>
      <c r="PV101" s="38"/>
      <c r="PW101" s="38"/>
      <c r="PX101" s="38"/>
      <c r="PY101" s="38"/>
      <c r="PZ101" s="38"/>
      <c r="QA101" s="38"/>
      <c r="QB101" s="38"/>
      <c r="QC101" s="38"/>
      <c r="QD101" s="38"/>
      <c r="QE101" s="38"/>
      <c r="QF101" s="38"/>
      <c r="QG101" s="38"/>
      <c r="QH101" s="38"/>
      <c r="QI101" s="38"/>
      <c r="QJ101" s="38"/>
      <c r="QK101" s="38"/>
      <c r="QL101" s="38"/>
      <c r="QM101" s="38"/>
      <c r="QN101" s="38"/>
      <c r="QO101" s="38"/>
      <c r="QP101" s="38"/>
      <c r="QQ101" s="38"/>
      <c r="QR101" s="38"/>
      <c r="QS101" s="38"/>
      <c r="QT101" s="38"/>
      <c r="QU101" s="38"/>
      <c r="QV101" s="38"/>
      <c r="QW101" s="38"/>
      <c r="QX101" s="38"/>
      <c r="QY101" s="38"/>
      <c r="QZ101" s="38"/>
      <c r="RA101" s="38"/>
      <c r="RB101" s="38"/>
      <c r="RC101" s="38"/>
      <c r="RD101" s="38"/>
      <c r="RE101" s="38"/>
      <c r="RF101" s="38"/>
      <c r="RG101" s="38"/>
      <c r="RH101" s="38"/>
      <c r="RI101" s="38"/>
      <c r="RJ101" s="38"/>
      <c r="RK101" s="38"/>
      <c r="RL101" s="38"/>
      <c r="RM101" s="38"/>
      <c r="RN101" s="38"/>
      <c r="RO101" s="38"/>
      <c r="RP101" s="38"/>
      <c r="RQ101" s="38"/>
      <c r="RR101" s="38"/>
      <c r="RS101" s="38"/>
      <c r="RT101" s="38"/>
      <c r="RU101" s="38"/>
      <c r="RV101" s="38"/>
      <c r="RW101" s="38"/>
      <c r="RX101" s="38"/>
      <c r="RY101" s="38"/>
      <c r="RZ101" s="38"/>
      <c r="SA101" s="38"/>
      <c r="SB101" s="38"/>
      <c r="SC101" s="38"/>
      <c r="SD101" s="38"/>
      <c r="SE101" s="38"/>
      <c r="SF101" s="38"/>
      <c r="SG101" s="38"/>
      <c r="SH101" s="38"/>
      <c r="SI101" s="38"/>
      <c r="SJ101" s="38"/>
      <c r="SK101" s="38"/>
      <c r="SL101" s="38"/>
      <c r="SM101" s="38"/>
      <c r="SN101" s="38"/>
      <c r="SO101" s="38"/>
      <c r="SP101" s="38"/>
      <c r="SQ101" s="38"/>
      <c r="SR101" s="38"/>
      <c r="SS101" s="38"/>
      <c r="ST101" s="38"/>
      <c r="SU101" s="38"/>
      <c r="SV101" s="38"/>
      <c r="SW101" s="38"/>
      <c r="SX101" s="38"/>
      <c r="SY101" s="38"/>
      <c r="SZ101" s="38"/>
      <c r="TA101" s="38"/>
      <c r="TB101" s="38"/>
      <c r="TC101" s="38"/>
      <c r="TD101" s="38"/>
      <c r="TE101" s="38"/>
      <c r="TF101" s="38"/>
      <c r="TG101" s="38"/>
      <c r="TH101" s="38"/>
      <c r="TI101" s="38"/>
      <c r="TJ101" s="38"/>
      <c r="TK101" s="38"/>
      <c r="TL101" s="38"/>
      <c r="TM101" s="38"/>
    </row>
    <row r="102" spans="1:533" s="83" customFormat="1" ht="18.75" x14ac:dyDescent="0.25">
      <c r="A102" s="39"/>
      <c r="B102" s="40" t="s">
        <v>196</v>
      </c>
      <c r="C102" s="41" t="s">
        <v>205</v>
      </c>
      <c r="D102" s="42" t="s">
        <v>206</v>
      </c>
      <c r="E102" s="60" t="s">
        <v>75</v>
      </c>
      <c r="F102" s="44">
        <v>20</v>
      </c>
      <c r="G102" s="58"/>
      <c r="H102" s="46"/>
      <c r="I102" s="47">
        <f t="shared" ref="I102:I103" si="17">F102*G102</f>
        <v>0</v>
      </c>
      <c r="J102" s="48">
        <v>2040</v>
      </c>
      <c r="K102" s="47" t="s">
        <v>30</v>
      </c>
      <c r="L102" s="49"/>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c r="BA102" s="82"/>
      <c r="BB102" s="82"/>
      <c r="BC102" s="82"/>
      <c r="BD102" s="82"/>
      <c r="BE102" s="82"/>
      <c r="BF102" s="82"/>
      <c r="BG102" s="82"/>
      <c r="BH102" s="82"/>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82"/>
      <c r="DP102" s="82"/>
      <c r="DQ102" s="82"/>
      <c r="DR102" s="82"/>
      <c r="DS102" s="82"/>
      <c r="DT102" s="82"/>
      <c r="DU102" s="82"/>
      <c r="DV102" s="82"/>
      <c r="DW102" s="82"/>
      <c r="DX102" s="82"/>
      <c r="DY102" s="82"/>
      <c r="DZ102" s="82"/>
      <c r="EA102" s="82"/>
      <c r="EB102" s="82"/>
      <c r="EC102" s="82"/>
      <c r="ED102" s="82"/>
      <c r="EE102" s="82"/>
      <c r="EF102" s="82"/>
      <c r="EG102" s="82"/>
      <c r="EH102" s="82"/>
      <c r="EI102" s="82"/>
      <c r="EJ102" s="82"/>
      <c r="EK102" s="82"/>
      <c r="EL102" s="82"/>
      <c r="EM102" s="82"/>
      <c r="EN102" s="82"/>
      <c r="EO102" s="82"/>
      <c r="EP102" s="82"/>
      <c r="EQ102" s="82"/>
      <c r="ER102" s="82"/>
      <c r="ES102" s="82"/>
      <c r="ET102" s="82"/>
      <c r="EU102" s="82"/>
      <c r="EV102" s="82"/>
      <c r="EW102" s="82"/>
      <c r="EX102" s="82"/>
      <c r="EY102" s="82"/>
      <c r="EZ102" s="82"/>
      <c r="FA102" s="82"/>
      <c r="FB102" s="82"/>
      <c r="FC102" s="82"/>
      <c r="FD102" s="82"/>
      <c r="FE102" s="82"/>
      <c r="FF102" s="82"/>
      <c r="FG102" s="82"/>
      <c r="FH102" s="82"/>
      <c r="FI102" s="82"/>
      <c r="FJ102" s="82"/>
      <c r="FK102" s="82"/>
      <c r="FL102" s="82"/>
      <c r="FM102" s="82"/>
      <c r="FN102" s="82"/>
      <c r="FO102" s="82"/>
      <c r="FP102" s="82"/>
      <c r="FQ102" s="82"/>
      <c r="FR102" s="82"/>
      <c r="FS102" s="82"/>
      <c r="FT102" s="82"/>
      <c r="FU102" s="82"/>
      <c r="FV102" s="82"/>
      <c r="FW102" s="82"/>
      <c r="FX102" s="82"/>
      <c r="FY102" s="82"/>
      <c r="FZ102" s="82"/>
      <c r="GA102" s="82"/>
      <c r="GB102" s="82"/>
      <c r="GC102" s="82"/>
      <c r="GD102" s="82"/>
      <c r="GE102" s="82"/>
      <c r="GF102" s="82"/>
      <c r="GG102" s="82"/>
      <c r="GH102" s="82"/>
      <c r="GI102" s="82"/>
      <c r="GJ102" s="82"/>
      <c r="GK102" s="82"/>
      <c r="GL102" s="82"/>
      <c r="GM102" s="82"/>
      <c r="GN102" s="82"/>
      <c r="GO102" s="82"/>
      <c r="GP102" s="82"/>
      <c r="GQ102" s="82"/>
      <c r="GR102" s="82"/>
      <c r="GS102" s="82"/>
      <c r="GT102" s="82"/>
      <c r="GU102" s="82"/>
      <c r="GV102" s="82"/>
      <c r="GW102" s="82"/>
      <c r="GX102" s="82"/>
      <c r="GY102" s="82"/>
      <c r="GZ102" s="82"/>
      <c r="HA102" s="82"/>
      <c r="HB102" s="82"/>
      <c r="HC102" s="82"/>
      <c r="HD102" s="82"/>
      <c r="HE102" s="82"/>
      <c r="HF102" s="82"/>
      <c r="HG102" s="82"/>
      <c r="HH102" s="82"/>
      <c r="HI102" s="82"/>
      <c r="HJ102" s="82"/>
      <c r="HK102" s="82"/>
      <c r="HL102" s="82"/>
      <c r="HM102" s="82"/>
      <c r="HN102" s="82"/>
      <c r="HO102" s="82"/>
      <c r="HP102" s="82"/>
      <c r="HQ102" s="82"/>
      <c r="HR102" s="82"/>
      <c r="HS102" s="82"/>
      <c r="HT102" s="82"/>
      <c r="HU102" s="82"/>
      <c r="HV102" s="82"/>
      <c r="HW102" s="82"/>
      <c r="HX102" s="82"/>
      <c r="HY102" s="82"/>
      <c r="HZ102" s="82"/>
      <c r="IA102" s="82"/>
      <c r="IB102" s="82"/>
      <c r="IC102" s="82"/>
      <c r="ID102" s="82"/>
      <c r="IE102" s="82"/>
      <c r="IF102" s="82"/>
      <c r="IG102" s="82"/>
      <c r="IH102" s="82"/>
      <c r="II102" s="82"/>
      <c r="IJ102" s="82"/>
      <c r="IK102" s="82"/>
      <c r="IL102" s="82"/>
      <c r="IM102" s="82"/>
      <c r="IN102" s="82"/>
      <c r="IO102" s="82"/>
      <c r="IP102" s="82"/>
      <c r="IQ102" s="82"/>
      <c r="IR102" s="82"/>
      <c r="IS102" s="82"/>
      <c r="IT102" s="82"/>
      <c r="IU102" s="82"/>
      <c r="IV102" s="82"/>
      <c r="IW102" s="82"/>
      <c r="IX102" s="82"/>
      <c r="IY102" s="82"/>
      <c r="IZ102" s="82"/>
      <c r="JA102" s="82"/>
      <c r="JB102" s="82"/>
      <c r="JC102" s="82"/>
      <c r="JD102" s="82"/>
      <c r="JE102" s="82"/>
      <c r="JF102" s="82"/>
      <c r="JG102" s="82"/>
      <c r="JH102" s="82"/>
      <c r="JI102" s="82"/>
      <c r="JJ102" s="82"/>
      <c r="JK102" s="82"/>
      <c r="JL102" s="82"/>
      <c r="JM102" s="82"/>
      <c r="JN102" s="82"/>
      <c r="JO102" s="82"/>
      <c r="JP102" s="82"/>
      <c r="JQ102" s="82"/>
      <c r="JR102" s="82"/>
      <c r="JS102" s="82"/>
      <c r="JT102" s="82"/>
      <c r="JU102" s="82"/>
      <c r="JV102" s="82"/>
      <c r="JW102" s="82"/>
      <c r="JX102" s="82"/>
      <c r="JY102" s="82"/>
      <c r="JZ102" s="82"/>
      <c r="KA102" s="82"/>
      <c r="KB102" s="82"/>
      <c r="KC102" s="82"/>
      <c r="KD102" s="82"/>
      <c r="KE102" s="82"/>
      <c r="KF102" s="82"/>
      <c r="KG102" s="82"/>
      <c r="KH102" s="82"/>
      <c r="KI102" s="82"/>
      <c r="KJ102" s="82"/>
      <c r="KK102" s="82"/>
      <c r="KL102" s="82"/>
      <c r="KM102" s="82"/>
      <c r="KN102" s="82"/>
      <c r="KO102" s="82"/>
      <c r="KP102" s="82"/>
      <c r="KQ102" s="82"/>
      <c r="KR102" s="82"/>
      <c r="KS102" s="82"/>
      <c r="KT102" s="82"/>
      <c r="KU102" s="82"/>
      <c r="KV102" s="82"/>
      <c r="KW102" s="82"/>
      <c r="KX102" s="82"/>
      <c r="KY102" s="82"/>
      <c r="KZ102" s="82"/>
      <c r="LA102" s="82"/>
      <c r="LB102" s="82"/>
      <c r="LC102" s="82"/>
      <c r="LD102" s="82"/>
      <c r="LE102" s="82"/>
      <c r="LF102" s="82"/>
      <c r="LG102" s="82"/>
      <c r="LH102" s="82"/>
      <c r="LI102" s="82"/>
      <c r="LJ102" s="82"/>
      <c r="LK102" s="82"/>
      <c r="LL102" s="82"/>
      <c r="LM102" s="82"/>
      <c r="LN102" s="82"/>
      <c r="LO102" s="82"/>
      <c r="LP102" s="82"/>
      <c r="LQ102" s="82"/>
      <c r="LR102" s="82"/>
      <c r="LS102" s="82"/>
      <c r="LT102" s="82"/>
      <c r="LU102" s="82"/>
      <c r="LV102" s="82"/>
      <c r="LW102" s="82"/>
      <c r="LX102" s="82"/>
      <c r="LY102" s="82"/>
      <c r="LZ102" s="82"/>
      <c r="MA102" s="82"/>
      <c r="MB102" s="82"/>
      <c r="MC102" s="82"/>
      <c r="MD102" s="82"/>
      <c r="ME102" s="82"/>
      <c r="MF102" s="82"/>
      <c r="MG102" s="82"/>
      <c r="MH102" s="82"/>
      <c r="MI102" s="82"/>
      <c r="MJ102" s="82"/>
      <c r="MK102" s="82"/>
      <c r="ML102" s="82"/>
      <c r="MM102" s="82"/>
      <c r="MN102" s="82"/>
      <c r="MO102" s="82"/>
      <c r="MP102" s="82"/>
      <c r="MQ102" s="82"/>
      <c r="MR102" s="82"/>
      <c r="MS102" s="82"/>
      <c r="MT102" s="82"/>
      <c r="MU102" s="82"/>
      <c r="MV102" s="82"/>
      <c r="MW102" s="82"/>
      <c r="MX102" s="82"/>
      <c r="MY102" s="82"/>
      <c r="MZ102" s="82"/>
      <c r="NA102" s="82"/>
      <c r="NB102" s="82"/>
      <c r="NC102" s="82"/>
      <c r="ND102" s="82"/>
      <c r="NE102" s="82"/>
      <c r="NF102" s="82"/>
      <c r="NG102" s="82"/>
      <c r="NH102" s="82"/>
      <c r="NI102" s="82"/>
      <c r="NJ102" s="82"/>
      <c r="NK102" s="82"/>
      <c r="NL102" s="82"/>
      <c r="NM102" s="82"/>
      <c r="NN102" s="82"/>
      <c r="NO102" s="82"/>
      <c r="NP102" s="82"/>
      <c r="NQ102" s="82"/>
      <c r="NR102" s="82"/>
      <c r="NS102" s="82"/>
      <c r="NT102" s="82"/>
      <c r="NU102" s="82"/>
      <c r="NV102" s="82"/>
      <c r="NW102" s="82"/>
      <c r="NX102" s="82"/>
      <c r="NY102" s="82"/>
      <c r="NZ102" s="82"/>
      <c r="OA102" s="82"/>
      <c r="OB102" s="82"/>
      <c r="OC102" s="82"/>
      <c r="OD102" s="82"/>
      <c r="OE102" s="82"/>
      <c r="OF102" s="82"/>
      <c r="OG102" s="82"/>
      <c r="OH102" s="82"/>
      <c r="OI102" s="82"/>
      <c r="OJ102" s="82"/>
      <c r="OK102" s="82"/>
      <c r="OL102" s="82"/>
      <c r="OM102" s="82"/>
      <c r="ON102" s="82"/>
      <c r="OO102" s="82"/>
      <c r="OP102" s="82"/>
      <c r="OQ102" s="82"/>
      <c r="OR102" s="82"/>
      <c r="OS102" s="82"/>
      <c r="OT102" s="82"/>
      <c r="OU102" s="82"/>
      <c r="OV102" s="82"/>
      <c r="OW102" s="82"/>
      <c r="OX102" s="82"/>
      <c r="OY102" s="82"/>
      <c r="OZ102" s="82"/>
      <c r="PA102" s="82"/>
      <c r="PB102" s="82"/>
      <c r="PC102" s="82"/>
      <c r="PD102" s="82"/>
      <c r="PE102" s="82"/>
      <c r="PF102" s="82"/>
      <c r="PG102" s="82"/>
      <c r="PH102" s="82"/>
      <c r="PI102" s="82"/>
      <c r="PJ102" s="82"/>
      <c r="PK102" s="82"/>
      <c r="PL102" s="82"/>
      <c r="PM102" s="82"/>
      <c r="PN102" s="82"/>
      <c r="PO102" s="82"/>
      <c r="PP102" s="82"/>
      <c r="PQ102" s="82"/>
      <c r="PR102" s="82"/>
      <c r="PS102" s="82"/>
      <c r="PT102" s="82"/>
      <c r="PU102" s="82"/>
      <c r="PV102" s="82"/>
      <c r="PW102" s="82"/>
      <c r="PX102" s="82"/>
      <c r="PY102" s="82"/>
      <c r="PZ102" s="82"/>
      <c r="QA102" s="82"/>
      <c r="QB102" s="82"/>
      <c r="QC102" s="82"/>
      <c r="QD102" s="82"/>
      <c r="QE102" s="82"/>
      <c r="QF102" s="82"/>
      <c r="QG102" s="82"/>
      <c r="QH102" s="82"/>
      <c r="QI102" s="82"/>
      <c r="QJ102" s="82"/>
      <c r="QK102" s="82"/>
      <c r="QL102" s="82"/>
      <c r="QM102" s="82"/>
      <c r="QN102" s="82"/>
      <c r="QO102" s="82"/>
      <c r="QP102" s="82"/>
      <c r="QQ102" s="82"/>
      <c r="QR102" s="82"/>
      <c r="QS102" s="82"/>
      <c r="QT102" s="82"/>
      <c r="QU102" s="82"/>
      <c r="QV102" s="82"/>
      <c r="QW102" s="82"/>
      <c r="QX102" s="82"/>
      <c r="QY102" s="82"/>
      <c r="QZ102" s="82"/>
      <c r="RA102" s="82"/>
      <c r="RB102" s="82"/>
      <c r="RC102" s="82"/>
      <c r="RD102" s="82"/>
      <c r="RE102" s="82"/>
      <c r="RF102" s="82"/>
      <c r="RG102" s="82"/>
      <c r="RH102" s="82"/>
      <c r="RI102" s="82"/>
      <c r="RJ102" s="82"/>
      <c r="RK102" s="82"/>
      <c r="RL102" s="82"/>
      <c r="RM102" s="82"/>
      <c r="RN102" s="82"/>
      <c r="RO102" s="82"/>
      <c r="RP102" s="82"/>
      <c r="RQ102" s="82"/>
      <c r="RR102" s="82"/>
      <c r="RS102" s="82"/>
      <c r="RT102" s="82"/>
      <c r="RU102" s="82"/>
      <c r="RV102" s="82"/>
      <c r="RW102" s="82"/>
      <c r="RX102" s="82"/>
      <c r="RY102" s="82"/>
      <c r="RZ102" s="82"/>
      <c r="SA102" s="82"/>
      <c r="SB102" s="82"/>
      <c r="SC102" s="82"/>
      <c r="SD102" s="82"/>
      <c r="SE102" s="82"/>
      <c r="SF102" s="82"/>
      <c r="SG102" s="82"/>
      <c r="SH102" s="82"/>
      <c r="SI102" s="82"/>
      <c r="SJ102" s="82"/>
      <c r="SK102" s="82"/>
      <c r="SL102" s="82"/>
      <c r="SM102" s="82"/>
      <c r="SN102" s="82"/>
      <c r="SO102" s="82"/>
      <c r="SP102" s="82"/>
      <c r="SQ102" s="82"/>
      <c r="SR102" s="82"/>
      <c r="SS102" s="82"/>
      <c r="ST102" s="82"/>
      <c r="SU102" s="82"/>
      <c r="SV102" s="82"/>
      <c r="SW102" s="82"/>
      <c r="SX102" s="82"/>
      <c r="SY102" s="82"/>
      <c r="SZ102" s="82"/>
      <c r="TA102" s="82"/>
      <c r="TB102" s="82"/>
      <c r="TC102" s="82"/>
      <c r="TD102" s="82"/>
      <c r="TE102" s="82"/>
      <c r="TF102" s="82"/>
      <c r="TG102" s="82"/>
      <c r="TH102" s="82"/>
      <c r="TI102" s="82"/>
      <c r="TJ102" s="82"/>
      <c r="TK102" s="82"/>
      <c r="TL102" s="82"/>
      <c r="TM102" s="82"/>
    </row>
    <row r="103" spans="1:533" s="83" customFormat="1" ht="18.75" x14ac:dyDescent="0.25">
      <c r="A103" s="39"/>
      <c r="B103" s="40" t="s">
        <v>196</v>
      </c>
      <c r="C103" s="41" t="s">
        <v>207</v>
      </c>
      <c r="D103" s="89" t="s">
        <v>208</v>
      </c>
      <c r="E103" s="90" t="s">
        <v>75</v>
      </c>
      <c r="F103" s="53">
        <v>24</v>
      </c>
      <c r="G103" s="58"/>
      <c r="H103" s="46"/>
      <c r="I103" s="47">
        <f t="shared" si="17"/>
        <v>0</v>
      </c>
      <c r="J103" s="48">
        <v>2040</v>
      </c>
      <c r="K103" s="47" t="s">
        <v>30</v>
      </c>
      <c r="L103" s="49"/>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c r="BL103" s="82"/>
      <c r="BM103" s="82"/>
      <c r="BN103" s="82"/>
      <c r="BO103" s="82"/>
      <c r="BP103" s="82"/>
      <c r="BQ103" s="82"/>
      <c r="BR103" s="82"/>
      <c r="BS103" s="82"/>
      <c r="BT103" s="82"/>
      <c r="BU103" s="82"/>
      <c r="BV103" s="82"/>
      <c r="BW103" s="82"/>
      <c r="BX103" s="82"/>
      <c r="BY103" s="82"/>
      <c r="BZ103" s="82"/>
      <c r="CA103" s="82"/>
      <c r="CB103" s="82"/>
      <c r="CC103" s="82"/>
      <c r="CD103" s="82"/>
      <c r="CE103" s="82"/>
      <c r="CF103" s="82"/>
      <c r="CG103" s="82"/>
      <c r="CH103" s="82"/>
      <c r="CI103" s="82"/>
      <c r="CJ103" s="82"/>
      <c r="CK103" s="82"/>
      <c r="CL103" s="82"/>
      <c r="CM103" s="82"/>
      <c r="CN103" s="82"/>
      <c r="CO103" s="82"/>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82"/>
      <c r="DL103" s="82"/>
      <c r="DM103" s="82"/>
      <c r="DN103" s="82"/>
      <c r="DO103" s="82"/>
      <c r="DP103" s="82"/>
      <c r="DQ103" s="82"/>
      <c r="DR103" s="82"/>
      <c r="DS103" s="82"/>
      <c r="DT103" s="82"/>
      <c r="DU103" s="82"/>
      <c r="DV103" s="82"/>
      <c r="DW103" s="82"/>
      <c r="DX103" s="82"/>
      <c r="DY103" s="82"/>
      <c r="DZ103" s="82"/>
      <c r="EA103" s="82"/>
      <c r="EB103" s="82"/>
      <c r="EC103" s="82"/>
      <c r="ED103" s="82"/>
      <c r="EE103" s="82"/>
      <c r="EF103" s="82"/>
      <c r="EG103" s="82"/>
      <c r="EH103" s="82"/>
      <c r="EI103" s="82"/>
      <c r="EJ103" s="82"/>
      <c r="EK103" s="82"/>
      <c r="EL103" s="82"/>
      <c r="EM103" s="82"/>
      <c r="EN103" s="82"/>
      <c r="EO103" s="82"/>
      <c r="EP103" s="82"/>
      <c r="EQ103" s="82"/>
      <c r="ER103" s="82"/>
      <c r="ES103" s="82"/>
      <c r="ET103" s="82"/>
      <c r="EU103" s="82"/>
      <c r="EV103" s="82"/>
      <c r="EW103" s="82"/>
      <c r="EX103" s="82"/>
      <c r="EY103" s="82"/>
      <c r="EZ103" s="82"/>
      <c r="FA103" s="82"/>
      <c r="FB103" s="82"/>
      <c r="FC103" s="82"/>
      <c r="FD103" s="82"/>
      <c r="FE103" s="82"/>
      <c r="FF103" s="82"/>
      <c r="FG103" s="82"/>
      <c r="FH103" s="82"/>
      <c r="FI103" s="82"/>
      <c r="FJ103" s="82"/>
      <c r="FK103" s="82"/>
      <c r="FL103" s="82"/>
      <c r="FM103" s="82"/>
      <c r="FN103" s="82"/>
      <c r="FO103" s="82"/>
      <c r="FP103" s="82"/>
      <c r="FQ103" s="82"/>
      <c r="FR103" s="82"/>
      <c r="FS103" s="82"/>
      <c r="FT103" s="82"/>
      <c r="FU103" s="82"/>
      <c r="FV103" s="82"/>
      <c r="FW103" s="82"/>
      <c r="FX103" s="82"/>
      <c r="FY103" s="82"/>
      <c r="FZ103" s="82"/>
      <c r="GA103" s="82"/>
      <c r="GB103" s="82"/>
      <c r="GC103" s="82"/>
      <c r="GD103" s="82"/>
      <c r="GE103" s="82"/>
      <c r="GF103" s="82"/>
      <c r="GG103" s="82"/>
      <c r="GH103" s="82"/>
      <c r="GI103" s="82"/>
      <c r="GJ103" s="82"/>
      <c r="GK103" s="82"/>
      <c r="GL103" s="82"/>
      <c r="GM103" s="82"/>
      <c r="GN103" s="82"/>
      <c r="GO103" s="82"/>
      <c r="GP103" s="82"/>
      <c r="GQ103" s="82"/>
      <c r="GR103" s="82"/>
      <c r="GS103" s="82"/>
      <c r="GT103" s="82"/>
      <c r="GU103" s="82"/>
      <c r="GV103" s="82"/>
      <c r="GW103" s="82"/>
      <c r="GX103" s="82"/>
      <c r="GY103" s="82"/>
      <c r="GZ103" s="82"/>
      <c r="HA103" s="82"/>
      <c r="HB103" s="82"/>
      <c r="HC103" s="82"/>
      <c r="HD103" s="82"/>
      <c r="HE103" s="82"/>
      <c r="HF103" s="82"/>
      <c r="HG103" s="82"/>
      <c r="HH103" s="82"/>
      <c r="HI103" s="82"/>
      <c r="HJ103" s="82"/>
      <c r="HK103" s="82"/>
      <c r="HL103" s="82"/>
      <c r="HM103" s="82"/>
      <c r="HN103" s="82"/>
      <c r="HO103" s="82"/>
      <c r="HP103" s="82"/>
      <c r="HQ103" s="82"/>
      <c r="HR103" s="82"/>
      <c r="HS103" s="82"/>
      <c r="HT103" s="82"/>
      <c r="HU103" s="82"/>
      <c r="HV103" s="82"/>
      <c r="HW103" s="82"/>
      <c r="HX103" s="82"/>
      <c r="HY103" s="82"/>
      <c r="HZ103" s="82"/>
      <c r="IA103" s="82"/>
      <c r="IB103" s="82"/>
      <c r="IC103" s="82"/>
      <c r="ID103" s="82"/>
      <c r="IE103" s="82"/>
      <c r="IF103" s="82"/>
      <c r="IG103" s="82"/>
      <c r="IH103" s="82"/>
      <c r="II103" s="82"/>
      <c r="IJ103" s="82"/>
      <c r="IK103" s="82"/>
      <c r="IL103" s="82"/>
      <c r="IM103" s="82"/>
      <c r="IN103" s="82"/>
      <c r="IO103" s="82"/>
      <c r="IP103" s="82"/>
      <c r="IQ103" s="82"/>
      <c r="IR103" s="82"/>
      <c r="IS103" s="82"/>
      <c r="IT103" s="82"/>
      <c r="IU103" s="82"/>
      <c r="IV103" s="82"/>
      <c r="IW103" s="82"/>
      <c r="IX103" s="82"/>
      <c r="IY103" s="82"/>
      <c r="IZ103" s="82"/>
      <c r="JA103" s="82"/>
      <c r="JB103" s="82"/>
      <c r="JC103" s="82"/>
      <c r="JD103" s="82"/>
      <c r="JE103" s="82"/>
      <c r="JF103" s="82"/>
      <c r="JG103" s="82"/>
      <c r="JH103" s="82"/>
      <c r="JI103" s="82"/>
      <c r="JJ103" s="82"/>
      <c r="JK103" s="82"/>
      <c r="JL103" s="82"/>
      <c r="JM103" s="82"/>
      <c r="JN103" s="82"/>
      <c r="JO103" s="82"/>
      <c r="JP103" s="82"/>
      <c r="JQ103" s="82"/>
      <c r="JR103" s="82"/>
      <c r="JS103" s="82"/>
      <c r="JT103" s="82"/>
      <c r="JU103" s="82"/>
      <c r="JV103" s="82"/>
      <c r="JW103" s="82"/>
      <c r="JX103" s="82"/>
      <c r="JY103" s="82"/>
      <c r="JZ103" s="82"/>
      <c r="KA103" s="82"/>
      <c r="KB103" s="82"/>
      <c r="KC103" s="82"/>
      <c r="KD103" s="82"/>
      <c r="KE103" s="82"/>
      <c r="KF103" s="82"/>
      <c r="KG103" s="82"/>
      <c r="KH103" s="82"/>
      <c r="KI103" s="82"/>
      <c r="KJ103" s="82"/>
      <c r="KK103" s="82"/>
      <c r="KL103" s="82"/>
      <c r="KM103" s="82"/>
      <c r="KN103" s="82"/>
      <c r="KO103" s="82"/>
      <c r="KP103" s="82"/>
      <c r="KQ103" s="82"/>
      <c r="KR103" s="82"/>
      <c r="KS103" s="82"/>
      <c r="KT103" s="82"/>
      <c r="KU103" s="82"/>
      <c r="KV103" s="82"/>
      <c r="KW103" s="82"/>
      <c r="KX103" s="82"/>
      <c r="KY103" s="82"/>
      <c r="KZ103" s="82"/>
      <c r="LA103" s="82"/>
      <c r="LB103" s="82"/>
      <c r="LC103" s="82"/>
      <c r="LD103" s="82"/>
      <c r="LE103" s="82"/>
      <c r="LF103" s="82"/>
      <c r="LG103" s="82"/>
      <c r="LH103" s="82"/>
      <c r="LI103" s="82"/>
      <c r="LJ103" s="82"/>
      <c r="LK103" s="82"/>
      <c r="LL103" s="82"/>
      <c r="LM103" s="82"/>
      <c r="LN103" s="82"/>
      <c r="LO103" s="82"/>
      <c r="LP103" s="82"/>
      <c r="LQ103" s="82"/>
      <c r="LR103" s="82"/>
      <c r="LS103" s="82"/>
      <c r="LT103" s="82"/>
      <c r="LU103" s="82"/>
      <c r="LV103" s="82"/>
      <c r="LW103" s="82"/>
      <c r="LX103" s="82"/>
      <c r="LY103" s="82"/>
      <c r="LZ103" s="82"/>
      <c r="MA103" s="82"/>
      <c r="MB103" s="82"/>
      <c r="MC103" s="82"/>
      <c r="MD103" s="82"/>
      <c r="ME103" s="82"/>
      <c r="MF103" s="82"/>
      <c r="MG103" s="82"/>
      <c r="MH103" s="82"/>
      <c r="MI103" s="82"/>
      <c r="MJ103" s="82"/>
      <c r="MK103" s="82"/>
      <c r="ML103" s="82"/>
      <c r="MM103" s="82"/>
      <c r="MN103" s="82"/>
      <c r="MO103" s="82"/>
      <c r="MP103" s="82"/>
      <c r="MQ103" s="82"/>
      <c r="MR103" s="82"/>
      <c r="MS103" s="82"/>
      <c r="MT103" s="82"/>
      <c r="MU103" s="82"/>
      <c r="MV103" s="82"/>
      <c r="MW103" s="82"/>
      <c r="MX103" s="82"/>
      <c r="MY103" s="82"/>
      <c r="MZ103" s="82"/>
      <c r="NA103" s="82"/>
      <c r="NB103" s="82"/>
      <c r="NC103" s="82"/>
      <c r="ND103" s="82"/>
      <c r="NE103" s="82"/>
      <c r="NF103" s="82"/>
      <c r="NG103" s="82"/>
      <c r="NH103" s="82"/>
      <c r="NI103" s="82"/>
      <c r="NJ103" s="82"/>
      <c r="NK103" s="82"/>
      <c r="NL103" s="82"/>
      <c r="NM103" s="82"/>
      <c r="NN103" s="82"/>
      <c r="NO103" s="82"/>
      <c r="NP103" s="82"/>
      <c r="NQ103" s="82"/>
      <c r="NR103" s="82"/>
      <c r="NS103" s="82"/>
      <c r="NT103" s="82"/>
      <c r="NU103" s="82"/>
      <c r="NV103" s="82"/>
      <c r="NW103" s="82"/>
      <c r="NX103" s="82"/>
      <c r="NY103" s="82"/>
      <c r="NZ103" s="82"/>
      <c r="OA103" s="82"/>
      <c r="OB103" s="82"/>
      <c r="OC103" s="82"/>
      <c r="OD103" s="82"/>
      <c r="OE103" s="82"/>
      <c r="OF103" s="82"/>
      <c r="OG103" s="82"/>
      <c r="OH103" s="82"/>
      <c r="OI103" s="82"/>
      <c r="OJ103" s="82"/>
      <c r="OK103" s="82"/>
      <c r="OL103" s="82"/>
      <c r="OM103" s="82"/>
      <c r="ON103" s="82"/>
      <c r="OO103" s="82"/>
      <c r="OP103" s="82"/>
      <c r="OQ103" s="82"/>
      <c r="OR103" s="82"/>
      <c r="OS103" s="82"/>
      <c r="OT103" s="82"/>
      <c r="OU103" s="82"/>
      <c r="OV103" s="82"/>
      <c r="OW103" s="82"/>
      <c r="OX103" s="82"/>
      <c r="OY103" s="82"/>
      <c r="OZ103" s="82"/>
      <c r="PA103" s="82"/>
      <c r="PB103" s="82"/>
      <c r="PC103" s="82"/>
      <c r="PD103" s="82"/>
      <c r="PE103" s="82"/>
      <c r="PF103" s="82"/>
      <c r="PG103" s="82"/>
      <c r="PH103" s="82"/>
      <c r="PI103" s="82"/>
      <c r="PJ103" s="82"/>
      <c r="PK103" s="82"/>
      <c r="PL103" s="82"/>
      <c r="PM103" s="82"/>
      <c r="PN103" s="82"/>
      <c r="PO103" s="82"/>
      <c r="PP103" s="82"/>
      <c r="PQ103" s="82"/>
      <c r="PR103" s="82"/>
      <c r="PS103" s="82"/>
      <c r="PT103" s="82"/>
      <c r="PU103" s="82"/>
      <c r="PV103" s="82"/>
      <c r="PW103" s="82"/>
      <c r="PX103" s="82"/>
      <c r="PY103" s="82"/>
      <c r="PZ103" s="82"/>
      <c r="QA103" s="82"/>
      <c r="QB103" s="82"/>
      <c r="QC103" s="82"/>
      <c r="QD103" s="82"/>
      <c r="QE103" s="82"/>
      <c r="QF103" s="82"/>
      <c r="QG103" s="82"/>
      <c r="QH103" s="82"/>
      <c r="QI103" s="82"/>
      <c r="QJ103" s="82"/>
      <c r="QK103" s="82"/>
      <c r="QL103" s="82"/>
      <c r="QM103" s="82"/>
      <c r="QN103" s="82"/>
      <c r="QO103" s="82"/>
      <c r="QP103" s="82"/>
      <c r="QQ103" s="82"/>
      <c r="QR103" s="82"/>
      <c r="QS103" s="82"/>
      <c r="QT103" s="82"/>
      <c r="QU103" s="82"/>
      <c r="QV103" s="82"/>
      <c r="QW103" s="82"/>
      <c r="QX103" s="82"/>
      <c r="QY103" s="82"/>
      <c r="QZ103" s="82"/>
      <c r="RA103" s="82"/>
      <c r="RB103" s="82"/>
      <c r="RC103" s="82"/>
      <c r="RD103" s="82"/>
      <c r="RE103" s="82"/>
      <c r="RF103" s="82"/>
      <c r="RG103" s="82"/>
      <c r="RH103" s="82"/>
      <c r="RI103" s="82"/>
      <c r="RJ103" s="82"/>
      <c r="RK103" s="82"/>
      <c r="RL103" s="82"/>
      <c r="RM103" s="82"/>
      <c r="RN103" s="82"/>
      <c r="RO103" s="82"/>
      <c r="RP103" s="82"/>
      <c r="RQ103" s="82"/>
      <c r="RR103" s="82"/>
      <c r="RS103" s="82"/>
      <c r="RT103" s="82"/>
      <c r="RU103" s="82"/>
      <c r="RV103" s="82"/>
      <c r="RW103" s="82"/>
      <c r="RX103" s="82"/>
      <c r="RY103" s="82"/>
      <c r="RZ103" s="82"/>
      <c r="SA103" s="82"/>
      <c r="SB103" s="82"/>
      <c r="SC103" s="82"/>
      <c r="SD103" s="82"/>
      <c r="SE103" s="82"/>
      <c r="SF103" s="82"/>
      <c r="SG103" s="82"/>
      <c r="SH103" s="82"/>
      <c r="SI103" s="82"/>
      <c r="SJ103" s="82"/>
      <c r="SK103" s="82"/>
      <c r="SL103" s="82"/>
      <c r="SM103" s="82"/>
      <c r="SN103" s="82"/>
      <c r="SO103" s="82"/>
      <c r="SP103" s="82"/>
      <c r="SQ103" s="82"/>
      <c r="SR103" s="82"/>
      <c r="SS103" s="82"/>
      <c r="ST103" s="82"/>
      <c r="SU103" s="82"/>
      <c r="SV103" s="82"/>
      <c r="SW103" s="82"/>
      <c r="SX103" s="82"/>
      <c r="SY103" s="82"/>
      <c r="SZ103" s="82"/>
      <c r="TA103" s="82"/>
      <c r="TB103" s="82"/>
      <c r="TC103" s="82"/>
      <c r="TD103" s="82"/>
      <c r="TE103" s="82"/>
      <c r="TF103" s="82"/>
      <c r="TG103" s="82"/>
      <c r="TH103" s="82"/>
      <c r="TI103" s="82"/>
      <c r="TJ103" s="82"/>
      <c r="TK103" s="82"/>
      <c r="TL103" s="82"/>
      <c r="TM103" s="82"/>
    </row>
    <row r="104" spans="1:533" s="83" customFormat="1" ht="112.5" x14ac:dyDescent="0.25">
      <c r="A104" s="39"/>
      <c r="B104" s="40" t="s">
        <v>196</v>
      </c>
      <c r="C104" s="41"/>
      <c r="D104" s="57" t="s">
        <v>209</v>
      </c>
      <c r="E104" s="52"/>
      <c r="F104" s="53"/>
      <c r="G104" s="54"/>
      <c r="H104" s="46"/>
      <c r="I104" s="47"/>
      <c r="J104" s="48"/>
      <c r="K104" s="47"/>
      <c r="L104" s="49"/>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c r="BA104" s="82"/>
      <c r="BB104" s="82"/>
      <c r="BC104" s="82"/>
      <c r="BD104" s="82"/>
      <c r="BE104" s="82"/>
      <c r="BF104" s="82"/>
      <c r="BG104" s="82"/>
      <c r="BH104" s="82"/>
      <c r="BI104" s="82"/>
      <c r="BJ104" s="82"/>
      <c r="BK104" s="82"/>
      <c r="BL104" s="82"/>
      <c r="BM104" s="82"/>
      <c r="BN104" s="82"/>
      <c r="BO104" s="82"/>
      <c r="BP104" s="82"/>
      <c r="BQ104" s="82"/>
      <c r="BR104" s="82"/>
      <c r="BS104" s="82"/>
      <c r="BT104" s="82"/>
      <c r="BU104" s="82"/>
      <c r="BV104" s="82"/>
      <c r="BW104" s="82"/>
      <c r="BX104" s="82"/>
      <c r="BY104" s="82"/>
      <c r="BZ104" s="82"/>
      <c r="CA104" s="82"/>
      <c r="CB104" s="82"/>
      <c r="CC104" s="82"/>
      <c r="CD104" s="82"/>
      <c r="CE104" s="82"/>
      <c r="CF104" s="82"/>
      <c r="CG104" s="82"/>
      <c r="CH104" s="82"/>
      <c r="CI104" s="82"/>
      <c r="CJ104" s="82"/>
      <c r="CK104" s="82"/>
      <c r="CL104" s="82"/>
      <c r="CM104" s="82"/>
      <c r="CN104" s="82"/>
      <c r="CO104" s="82"/>
      <c r="CP104" s="82"/>
      <c r="CQ104" s="82"/>
      <c r="CR104" s="82"/>
      <c r="CS104" s="82"/>
      <c r="CT104" s="82"/>
      <c r="CU104" s="82"/>
      <c r="CV104" s="82"/>
      <c r="CW104" s="82"/>
      <c r="CX104" s="82"/>
      <c r="CY104" s="82"/>
      <c r="CZ104" s="82"/>
      <c r="DA104" s="82"/>
      <c r="DB104" s="82"/>
      <c r="DC104" s="82"/>
      <c r="DD104" s="82"/>
      <c r="DE104" s="82"/>
      <c r="DF104" s="82"/>
      <c r="DG104" s="82"/>
      <c r="DH104" s="82"/>
      <c r="DI104" s="82"/>
      <c r="DJ104" s="82"/>
      <c r="DK104" s="82"/>
      <c r="DL104" s="82"/>
      <c r="DM104" s="82"/>
      <c r="DN104" s="82"/>
      <c r="DO104" s="82"/>
      <c r="DP104" s="82"/>
      <c r="DQ104" s="82"/>
      <c r="DR104" s="82"/>
      <c r="DS104" s="82"/>
      <c r="DT104" s="82"/>
      <c r="DU104" s="82"/>
      <c r="DV104" s="82"/>
      <c r="DW104" s="82"/>
      <c r="DX104" s="82"/>
      <c r="DY104" s="82"/>
      <c r="DZ104" s="82"/>
      <c r="EA104" s="82"/>
      <c r="EB104" s="82"/>
      <c r="EC104" s="82"/>
      <c r="ED104" s="82"/>
      <c r="EE104" s="82"/>
      <c r="EF104" s="82"/>
      <c r="EG104" s="82"/>
      <c r="EH104" s="82"/>
      <c r="EI104" s="82"/>
      <c r="EJ104" s="82"/>
      <c r="EK104" s="82"/>
      <c r="EL104" s="82"/>
      <c r="EM104" s="82"/>
      <c r="EN104" s="82"/>
      <c r="EO104" s="82"/>
      <c r="EP104" s="82"/>
      <c r="EQ104" s="82"/>
      <c r="ER104" s="82"/>
      <c r="ES104" s="82"/>
      <c r="ET104" s="82"/>
      <c r="EU104" s="82"/>
      <c r="EV104" s="82"/>
      <c r="EW104" s="82"/>
      <c r="EX104" s="82"/>
      <c r="EY104" s="82"/>
      <c r="EZ104" s="82"/>
      <c r="FA104" s="82"/>
      <c r="FB104" s="82"/>
      <c r="FC104" s="82"/>
      <c r="FD104" s="82"/>
      <c r="FE104" s="82"/>
      <c r="FF104" s="82"/>
      <c r="FG104" s="82"/>
      <c r="FH104" s="82"/>
      <c r="FI104" s="82"/>
      <c r="FJ104" s="82"/>
      <c r="FK104" s="82"/>
      <c r="FL104" s="82"/>
      <c r="FM104" s="82"/>
      <c r="FN104" s="82"/>
      <c r="FO104" s="82"/>
      <c r="FP104" s="82"/>
      <c r="FQ104" s="82"/>
      <c r="FR104" s="82"/>
      <c r="FS104" s="82"/>
      <c r="FT104" s="82"/>
      <c r="FU104" s="82"/>
      <c r="FV104" s="82"/>
      <c r="FW104" s="82"/>
      <c r="FX104" s="82"/>
      <c r="FY104" s="82"/>
      <c r="FZ104" s="82"/>
      <c r="GA104" s="82"/>
      <c r="GB104" s="82"/>
      <c r="GC104" s="82"/>
      <c r="GD104" s="82"/>
      <c r="GE104" s="82"/>
      <c r="GF104" s="82"/>
      <c r="GG104" s="82"/>
      <c r="GH104" s="82"/>
      <c r="GI104" s="82"/>
      <c r="GJ104" s="82"/>
      <c r="GK104" s="82"/>
      <c r="GL104" s="82"/>
      <c r="GM104" s="82"/>
      <c r="GN104" s="82"/>
      <c r="GO104" s="82"/>
      <c r="GP104" s="82"/>
      <c r="GQ104" s="82"/>
      <c r="GR104" s="82"/>
      <c r="GS104" s="82"/>
      <c r="GT104" s="82"/>
      <c r="GU104" s="82"/>
      <c r="GV104" s="82"/>
      <c r="GW104" s="82"/>
      <c r="GX104" s="82"/>
      <c r="GY104" s="82"/>
      <c r="GZ104" s="82"/>
      <c r="HA104" s="82"/>
      <c r="HB104" s="82"/>
      <c r="HC104" s="82"/>
      <c r="HD104" s="82"/>
      <c r="HE104" s="82"/>
      <c r="HF104" s="82"/>
      <c r="HG104" s="82"/>
      <c r="HH104" s="82"/>
      <c r="HI104" s="82"/>
      <c r="HJ104" s="82"/>
      <c r="HK104" s="82"/>
      <c r="HL104" s="82"/>
      <c r="HM104" s="82"/>
      <c r="HN104" s="82"/>
      <c r="HO104" s="82"/>
      <c r="HP104" s="82"/>
      <c r="HQ104" s="82"/>
      <c r="HR104" s="82"/>
      <c r="HS104" s="82"/>
      <c r="HT104" s="82"/>
      <c r="HU104" s="82"/>
      <c r="HV104" s="82"/>
      <c r="HW104" s="82"/>
      <c r="HX104" s="82"/>
      <c r="HY104" s="82"/>
      <c r="HZ104" s="82"/>
      <c r="IA104" s="82"/>
      <c r="IB104" s="82"/>
      <c r="IC104" s="82"/>
      <c r="ID104" s="82"/>
      <c r="IE104" s="82"/>
      <c r="IF104" s="82"/>
      <c r="IG104" s="82"/>
      <c r="IH104" s="82"/>
      <c r="II104" s="82"/>
      <c r="IJ104" s="82"/>
      <c r="IK104" s="82"/>
      <c r="IL104" s="82"/>
      <c r="IM104" s="82"/>
      <c r="IN104" s="82"/>
      <c r="IO104" s="82"/>
      <c r="IP104" s="82"/>
      <c r="IQ104" s="82"/>
      <c r="IR104" s="82"/>
      <c r="IS104" s="82"/>
      <c r="IT104" s="82"/>
      <c r="IU104" s="82"/>
      <c r="IV104" s="82"/>
      <c r="IW104" s="82"/>
      <c r="IX104" s="82"/>
      <c r="IY104" s="82"/>
      <c r="IZ104" s="82"/>
      <c r="JA104" s="82"/>
      <c r="JB104" s="82"/>
      <c r="JC104" s="82"/>
      <c r="JD104" s="82"/>
      <c r="JE104" s="82"/>
      <c r="JF104" s="82"/>
      <c r="JG104" s="82"/>
      <c r="JH104" s="82"/>
      <c r="JI104" s="82"/>
      <c r="JJ104" s="82"/>
      <c r="JK104" s="82"/>
      <c r="JL104" s="82"/>
      <c r="JM104" s="82"/>
      <c r="JN104" s="82"/>
      <c r="JO104" s="82"/>
      <c r="JP104" s="82"/>
      <c r="JQ104" s="82"/>
      <c r="JR104" s="82"/>
      <c r="JS104" s="82"/>
      <c r="JT104" s="82"/>
      <c r="JU104" s="82"/>
      <c r="JV104" s="82"/>
      <c r="JW104" s="82"/>
      <c r="JX104" s="82"/>
      <c r="JY104" s="82"/>
      <c r="JZ104" s="82"/>
      <c r="KA104" s="82"/>
      <c r="KB104" s="82"/>
      <c r="KC104" s="82"/>
      <c r="KD104" s="82"/>
      <c r="KE104" s="82"/>
      <c r="KF104" s="82"/>
      <c r="KG104" s="82"/>
      <c r="KH104" s="82"/>
      <c r="KI104" s="82"/>
      <c r="KJ104" s="82"/>
      <c r="KK104" s="82"/>
      <c r="KL104" s="82"/>
      <c r="KM104" s="82"/>
      <c r="KN104" s="82"/>
      <c r="KO104" s="82"/>
      <c r="KP104" s="82"/>
      <c r="KQ104" s="82"/>
      <c r="KR104" s="82"/>
      <c r="KS104" s="82"/>
      <c r="KT104" s="82"/>
      <c r="KU104" s="82"/>
      <c r="KV104" s="82"/>
      <c r="KW104" s="82"/>
      <c r="KX104" s="82"/>
      <c r="KY104" s="82"/>
      <c r="KZ104" s="82"/>
      <c r="LA104" s="82"/>
      <c r="LB104" s="82"/>
      <c r="LC104" s="82"/>
      <c r="LD104" s="82"/>
      <c r="LE104" s="82"/>
      <c r="LF104" s="82"/>
      <c r="LG104" s="82"/>
      <c r="LH104" s="82"/>
      <c r="LI104" s="82"/>
      <c r="LJ104" s="82"/>
      <c r="LK104" s="82"/>
      <c r="LL104" s="82"/>
      <c r="LM104" s="82"/>
      <c r="LN104" s="82"/>
      <c r="LO104" s="82"/>
      <c r="LP104" s="82"/>
      <c r="LQ104" s="82"/>
      <c r="LR104" s="82"/>
      <c r="LS104" s="82"/>
      <c r="LT104" s="82"/>
      <c r="LU104" s="82"/>
      <c r="LV104" s="82"/>
      <c r="LW104" s="82"/>
      <c r="LX104" s="82"/>
      <c r="LY104" s="82"/>
      <c r="LZ104" s="82"/>
      <c r="MA104" s="82"/>
      <c r="MB104" s="82"/>
      <c r="MC104" s="82"/>
      <c r="MD104" s="82"/>
      <c r="ME104" s="82"/>
      <c r="MF104" s="82"/>
      <c r="MG104" s="82"/>
      <c r="MH104" s="82"/>
      <c r="MI104" s="82"/>
      <c r="MJ104" s="82"/>
      <c r="MK104" s="82"/>
      <c r="ML104" s="82"/>
      <c r="MM104" s="82"/>
      <c r="MN104" s="82"/>
      <c r="MO104" s="82"/>
      <c r="MP104" s="82"/>
      <c r="MQ104" s="82"/>
      <c r="MR104" s="82"/>
      <c r="MS104" s="82"/>
      <c r="MT104" s="82"/>
      <c r="MU104" s="82"/>
      <c r="MV104" s="82"/>
      <c r="MW104" s="82"/>
      <c r="MX104" s="82"/>
      <c r="MY104" s="82"/>
      <c r="MZ104" s="82"/>
      <c r="NA104" s="82"/>
      <c r="NB104" s="82"/>
      <c r="NC104" s="82"/>
      <c r="ND104" s="82"/>
      <c r="NE104" s="82"/>
      <c r="NF104" s="82"/>
      <c r="NG104" s="82"/>
      <c r="NH104" s="82"/>
      <c r="NI104" s="82"/>
      <c r="NJ104" s="82"/>
      <c r="NK104" s="82"/>
      <c r="NL104" s="82"/>
      <c r="NM104" s="82"/>
      <c r="NN104" s="82"/>
      <c r="NO104" s="82"/>
      <c r="NP104" s="82"/>
      <c r="NQ104" s="82"/>
      <c r="NR104" s="82"/>
      <c r="NS104" s="82"/>
      <c r="NT104" s="82"/>
      <c r="NU104" s="82"/>
      <c r="NV104" s="82"/>
      <c r="NW104" s="82"/>
      <c r="NX104" s="82"/>
      <c r="NY104" s="82"/>
      <c r="NZ104" s="82"/>
      <c r="OA104" s="82"/>
      <c r="OB104" s="82"/>
      <c r="OC104" s="82"/>
      <c r="OD104" s="82"/>
      <c r="OE104" s="82"/>
      <c r="OF104" s="82"/>
      <c r="OG104" s="82"/>
      <c r="OH104" s="82"/>
      <c r="OI104" s="82"/>
      <c r="OJ104" s="82"/>
      <c r="OK104" s="82"/>
      <c r="OL104" s="82"/>
      <c r="OM104" s="82"/>
      <c r="ON104" s="82"/>
      <c r="OO104" s="82"/>
      <c r="OP104" s="82"/>
      <c r="OQ104" s="82"/>
      <c r="OR104" s="82"/>
      <c r="OS104" s="82"/>
      <c r="OT104" s="82"/>
      <c r="OU104" s="82"/>
      <c r="OV104" s="82"/>
      <c r="OW104" s="82"/>
      <c r="OX104" s="82"/>
      <c r="OY104" s="82"/>
      <c r="OZ104" s="82"/>
      <c r="PA104" s="82"/>
      <c r="PB104" s="82"/>
      <c r="PC104" s="82"/>
      <c r="PD104" s="82"/>
      <c r="PE104" s="82"/>
      <c r="PF104" s="82"/>
      <c r="PG104" s="82"/>
      <c r="PH104" s="82"/>
      <c r="PI104" s="82"/>
      <c r="PJ104" s="82"/>
      <c r="PK104" s="82"/>
      <c r="PL104" s="82"/>
      <c r="PM104" s="82"/>
      <c r="PN104" s="82"/>
      <c r="PO104" s="82"/>
      <c r="PP104" s="82"/>
      <c r="PQ104" s="82"/>
      <c r="PR104" s="82"/>
      <c r="PS104" s="82"/>
      <c r="PT104" s="82"/>
      <c r="PU104" s="82"/>
      <c r="PV104" s="82"/>
      <c r="PW104" s="82"/>
      <c r="PX104" s="82"/>
      <c r="PY104" s="82"/>
      <c r="PZ104" s="82"/>
      <c r="QA104" s="82"/>
      <c r="QB104" s="82"/>
      <c r="QC104" s="82"/>
      <c r="QD104" s="82"/>
      <c r="QE104" s="82"/>
      <c r="QF104" s="82"/>
      <c r="QG104" s="82"/>
      <c r="QH104" s="82"/>
      <c r="QI104" s="82"/>
      <c r="QJ104" s="82"/>
      <c r="QK104" s="82"/>
      <c r="QL104" s="82"/>
      <c r="QM104" s="82"/>
      <c r="QN104" s="82"/>
      <c r="QO104" s="82"/>
      <c r="QP104" s="82"/>
      <c r="QQ104" s="82"/>
      <c r="QR104" s="82"/>
      <c r="QS104" s="82"/>
      <c r="QT104" s="82"/>
      <c r="QU104" s="82"/>
      <c r="QV104" s="82"/>
      <c r="QW104" s="82"/>
      <c r="QX104" s="82"/>
      <c r="QY104" s="82"/>
      <c r="QZ104" s="82"/>
      <c r="RA104" s="82"/>
      <c r="RB104" s="82"/>
      <c r="RC104" s="82"/>
      <c r="RD104" s="82"/>
      <c r="RE104" s="82"/>
      <c r="RF104" s="82"/>
      <c r="RG104" s="82"/>
      <c r="RH104" s="82"/>
      <c r="RI104" s="82"/>
      <c r="RJ104" s="82"/>
      <c r="RK104" s="82"/>
      <c r="RL104" s="82"/>
      <c r="RM104" s="82"/>
      <c r="RN104" s="82"/>
      <c r="RO104" s="82"/>
      <c r="RP104" s="82"/>
      <c r="RQ104" s="82"/>
      <c r="RR104" s="82"/>
      <c r="RS104" s="82"/>
      <c r="RT104" s="82"/>
      <c r="RU104" s="82"/>
      <c r="RV104" s="82"/>
      <c r="RW104" s="82"/>
      <c r="RX104" s="82"/>
      <c r="RY104" s="82"/>
      <c r="RZ104" s="82"/>
      <c r="SA104" s="82"/>
      <c r="SB104" s="82"/>
      <c r="SC104" s="82"/>
      <c r="SD104" s="82"/>
      <c r="SE104" s="82"/>
      <c r="SF104" s="82"/>
      <c r="SG104" s="82"/>
      <c r="SH104" s="82"/>
      <c r="SI104" s="82"/>
      <c r="SJ104" s="82"/>
      <c r="SK104" s="82"/>
      <c r="SL104" s="82"/>
      <c r="SM104" s="82"/>
      <c r="SN104" s="82"/>
      <c r="SO104" s="82"/>
      <c r="SP104" s="82"/>
      <c r="SQ104" s="82"/>
      <c r="SR104" s="82"/>
      <c r="SS104" s="82"/>
      <c r="ST104" s="82"/>
      <c r="SU104" s="82"/>
      <c r="SV104" s="82"/>
      <c r="SW104" s="82"/>
      <c r="SX104" s="82"/>
      <c r="SY104" s="82"/>
      <c r="SZ104" s="82"/>
      <c r="TA104" s="82"/>
      <c r="TB104" s="82"/>
      <c r="TC104" s="82"/>
      <c r="TD104" s="82"/>
      <c r="TE104" s="82"/>
      <c r="TF104" s="82"/>
      <c r="TG104" s="82"/>
      <c r="TH104" s="82"/>
      <c r="TI104" s="82"/>
      <c r="TJ104" s="82"/>
      <c r="TK104" s="82"/>
      <c r="TL104" s="82"/>
      <c r="TM104" s="82"/>
    </row>
    <row r="105" spans="1:533" s="83" customFormat="1" ht="18.75" x14ac:dyDescent="0.25">
      <c r="A105" s="39"/>
      <c r="B105" s="40" t="s">
        <v>196</v>
      </c>
      <c r="C105" s="41" t="s">
        <v>210</v>
      </c>
      <c r="D105" s="56" t="s">
        <v>211</v>
      </c>
      <c r="E105" s="43" t="s">
        <v>29</v>
      </c>
      <c r="F105" s="53">
        <v>15</v>
      </c>
      <c r="G105" s="58"/>
      <c r="H105" s="46"/>
      <c r="I105" s="47">
        <f t="shared" ref="I105" si="18">F105*G105</f>
        <v>0</v>
      </c>
      <c r="J105" s="48">
        <v>2040</v>
      </c>
      <c r="K105" s="47" t="s">
        <v>30</v>
      </c>
      <c r="L105" s="49"/>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2"/>
      <c r="AQ105" s="82"/>
      <c r="AR105" s="82"/>
      <c r="AS105" s="82"/>
      <c r="AT105" s="82"/>
      <c r="AU105" s="82"/>
      <c r="AV105" s="82"/>
      <c r="AW105" s="82"/>
      <c r="AX105" s="82"/>
      <c r="AY105" s="82"/>
      <c r="AZ105" s="82"/>
      <c r="BA105" s="82"/>
      <c r="BB105" s="82"/>
      <c r="BC105" s="82"/>
      <c r="BD105" s="82"/>
      <c r="BE105" s="82"/>
      <c r="BF105" s="82"/>
      <c r="BG105" s="82"/>
      <c r="BH105" s="82"/>
      <c r="BI105" s="82"/>
      <c r="BJ105" s="82"/>
      <c r="BK105" s="82"/>
      <c r="BL105" s="82"/>
      <c r="BM105" s="82"/>
      <c r="BN105" s="82"/>
      <c r="BO105" s="82"/>
      <c r="BP105" s="82"/>
      <c r="BQ105" s="82"/>
      <c r="BR105" s="82"/>
      <c r="BS105" s="82"/>
      <c r="BT105" s="82"/>
      <c r="BU105" s="82"/>
      <c r="BV105" s="82"/>
      <c r="BW105" s="82"/>
      <c r="BX105" s="82"/>
      <c r="BY105" s="82"/>
      <c r="BZ105" s="82"/>
      <c r="CA105" s="82"/>
      <c r="CB105" s="82"/>
      <c r="CC105" s="82"/>
      <c r="CD105" s="82"/>
      <c r="CE105" s="82"/>
      <c r="CF105" s="82"/>
      <c r="CG105" s="82"/>
      <c r="CH105" s="82"/>
      <c r="CI105" s="82"/>
      <c r="CJ105" s="82"/>
      <c r="CK105" s="82"/>
      <c r="CL105" s="82"/>
      <c r="CM105" s="82"/>
      <c r="CN105" s="82"/>
      <c r="CO105" s="82"/>
      <c r="CP105" s="82"/>
      <c r="CQ105" s="82"/>
      <c r="CR105" s="82"/>
      <c r="CS105" s="82"/>
      <c r="CT105" s="82"/>
      <c r="CU105" s="82"/>
      <c r="CV105" s="82"/>
      <c r="CW105" s="82"/>
      <c r="CX105" s="82"/>
      <c r="CY105" s="82"/>
      <c r="CZ105" s="82"/>
      <c r="DA105" s="82"/>
      <c r="DB105" s="82"/>
      <c r="DC105" s="82"/>
      <c r="DD105" s="82"/>
      <c r="DE105" s="82"/>
      <c r="DF105" s="82"/>
      <c r="DG105" s="82"/>
      <c r="DH105" s="82"/>
      <c r="DI105" s="82"/>
      <c r="DJ105" s="82"/>
      <c r="DK105" s="82"/>
      <c r="DL105" s="82"/>
      <c r="DM105" s="82"/>
      <c r="DN105" s="82"/>
      <c r="DO105" s="82"/>
      <c r="DP105" s="82"/>
      <c r="DQ105" s="82"/>
      <c r="DR105" s="82"/>
      <c r="DS105" s="82"/>
      <c r="DT105" s="82"/>
      <c r="DU105" s="82"/>
      <c r="DV105" s="82"/>
      <c r="DW105" s="82"/>
      <c r="DX105" s="82"/>
      <c r="DY105" s="82"/>
      <c r="DZ105" s="82"/>
      <c r="EA105" s="82"/>
      <c r="EB105" s="82"/>
      <c r="EC105" s="82"/>
      <c r="ED105" s="82"/>
      <c r="EE105" s="82"/>
      <c r="EF105" s="82"/>
      <c r="EG105" s="82"/>
      <c r="EH105" s="82"/>
      <c r="EI105" s="82"/>
      <c r="EJ105" s="82"/>
      <c r="EK105" s="82"/>
      <c r="EL105" s="82"/>
      <c r="EM105" s="82"/>
      <c r="EN105" s="82"/>
      <c r="EO105" s="82"/>
      <c r="EP105" s="82"/>
      <c r="EQ105" s="82"/>
      <c r="ER105" s="82"/>
      <c r="ES105" s="82"/>
      <c r="ET105" s="82"/>
      <c r="EU105" s="82"/>
      <c r="EV105" s="82"/>
      <c r="EW105" s="82"/>
      <c r="EX105" s="82"/>
      <c r="EY105" s="82"/>
      <c r="EZ105" s="82"/>
      <c r="FA105" s="82"/>
      <c r="FB105" s="82"/>
      <c r="FC105" s="82"/>
      <c r="FD105" s="82"/>
      <c r="FE105" s="82"/>
      <c r="FF105" s="82"/>
      <c r="FG105" s="82"/>
      <c r="FH105" s="82"/>
      <c r="FI105" s="82"/>
      <c r="FJ105" s="82"/>
      <c r="FK105" s="82"/>
      <c r="FL105" s="82"/>
      <c r="FM105" s="82"/>
      <c r="FN105" s="82"/>
      <c r="FO105" s="82"/>
      <c r="FP105" s="82"/>
      <c r="FQ105" s="82"/>
      <c r="FR105" s="82"/>
      <c r="FS105" s="82"/>
      <c r="FT105" s="82"/>
      <c r="FU105" s="82"/>
      <c r="FV105" s="82"/>
      <c r="FW105" s="82"/>
      <c r="FX105" s="82"/>
      <c r="FY105" s="82"/>
      <c r="FZ105" s="82"/>
      <c r="GA105" s="82"/>
      <c r="GB105" s="82"/>
      <c r="GC105" s="82"/>
      <c r="GD105" s="82"/>
      <c r="GE105" s="82"/>
      <c r="GF105" s="82"/>
      <c r="GG105" s="82"/>
      <c r="GH105" s="82"/>
      <c r="GI105" s="82"/>
      <c r="GJ105" s="82"/>
      <c r="GK105" s="82"/>
      <c r="GL105" s="82"/>
      <c r="GM105" s="82"/>
      <c r="GN105" s="82"/>
      <c r="GO105" s="82"/>
      <c r="GP105" s="82"/>
      <c r="GQ105" s="82"/>
      <c r="GR105" s="82"/>
      <c r="GS105" s="82"/>
      <c r="GT105" s="82"/>
      <c r="GU105" s="82"/>
      <c r="GV105" s="82"/>
      <c r="GW105" s="82"/>
      <c r="GX105" s="82"/>
      <c r="GY105" s="82"/>
      <c r="GZ105" s="82"/>
      <c r="HA105" s="82"/>
      <c r="HB105" s="82"/>
      <c r="HC105" s="82"/>
      <c r="HD105" s="82"/>
      <c r="HE105" s="82"/>
      <c r="HF105" s="82"/>
      <c r="HG105" s="82"/>
      <c r="HH105" s="82"/>
      <c r="HI105" s="82"/>
      <c r="HJ105" s="82"/>
      <c r="HK105" s="82"/>
      <c r="HL105" s="82"/>
      <c r="HM105" s="82"/>
      <c r="HN105" s="82"/>
      <c r="HO105" s="82"/>
      <c r="HP105" s="82"/>
      <c r="HQ105" s="82"/>
      <c r="HR105" s="82"/>
      <c r="HS105" s="82"/>
      <c r="HT105" s="82"/>
      <c r="HU105" s="82"/>
      <c r="HV105" s="82"/>
      <c r="HW105" s="82"/>
      <c r="HX105" s="82"/>
      <c r="HY105" s="82"/>
      <c r="HZ105" s="82"/>
      <c r="IA105" s="82"/>
      <c r="IB105" s="82"/>
      <c r="IC105" s="82"/>
      <c r="ID105" s="82"/>
      <c r="IE105" s="82"/>
      <c r="IF105" s="82"/>
      <c r="IG105" s="82"/>
      <c r="IH105" s="82"/>
      <c r="II105" s="82"/>
      <c r="IJ105" s="82"/>
      <c r="IK105" s="82"/>
      <c r="IL105" s="82"/>
      <c r="IM105" s="82"/>
      <c r="IN105" s="82"/>
      <c r="IO105" s="82"/>
      <c r="IP105" s="82"/>
      <c r="IQ105" s="82"/>
      <c r="IR105" s="82"/>
      <c r="IS105" s="82"/>
      <c r="IT105" s="82"/>
      <c r="IU105" s="82"/>
      <c r="IV105" s="82"/>
      <c r="IW105" s="82"/>
      <c r="IX105" s="82"/>
      <c r="IY105" s="82"/>
      <c r="IZ105" s="82"/>
      <c r="JA105" s="82"/>
      <c r="JB105" s="82"/>
      <c r="JC105" s="82"/>
      <c r="JD105" s="82"/>
      <c r="JE105" s="82"/>
      <c r="JF105" s="82"/>
      <c r="JG105" s="82"/>
      <c r="JH105" s="82"/>
      <c r="JI105" s="82"/>
      <c r="JJ105" s="82"/>
      <c r="JK105" s="82"/>
      <c r="JL105" s="82"/>
      <c r="JM105" s="82"/>
      <c r="JN105" s="82"/>
      <c r="JO105" s="82"/>
      <c r="JP105" s="82"/>
      <c r="JQ105" s="82"/>
      <c r="JR105" s="82"/>
      <c r="JS105" s="82"/>
      <c r="JT105" s="82"/>
      <c r="JU105" s="82"/>
      <c r="JV105" s="82"/>
      <c r="JW105" s="82"/>
      <c r="JX105" s="82"/>
      <c r="JY105" s="82"/>
      <c r="JZ105" s="82"/>
      <c r="KA105" s="82"/>
      <c r="KB105" s="82"/>
      <c r="KC105" s="82"/>
      <c r="KD105" s="82"/>
      <c r="KE105" s="82"/>
      <c r="KF105" s="82"/>
      <c r="KG105" s="82"/>
      <c r="KH105" s="82"/>
      <c r="KI105" s="82"/>
      <c r="KJ105" s="82"/>
      <c r="KK105" s="82"/>
      <c r="KL105" s="82"/>
      <c r="KM105" s="82"/>
      <c r="KN105" s="82"/>
      <c r="KO105" s="82"/>
      <c r="KP105" s="82"/>
      <c r="KQ105" s="82"/>
      <c r="KR105" s="82"/>
      <c r="KS105" s="82"/>
      <c r="KT105" s="82"/>
      <c r="KU105" s="82"/>
      <c r="KV105" s="82"/>
      <c r="KW105" s="82"/>
      <c r="KX105" s="82"/>
      <c r="KY105" s="82"/>
      <c r="KZ105" s="82"/>
      <c r="LA105" s="82"/>
      <c r="LB105" s="82"/>
      <c r="LC105" s="82"/>
      <c r="LD105" s="82"/>
      <c r="LE105" s="82"/>
      <c r="LF105" s="82"/>
      <c r="LG105" s="82"/>
      <c r="LH105" s="82"/>
      <c r="LI105" s="82"/>
      <c r="LJ105" s="82"/>
      <c r="LK105" s="82"/>
      <c r="LL105" s="82"/>
      <c r="LM105" s="82"/>
      <c r="LN105" s="82"/>
      <c r="LO105" s="82"/>
      <c r="LP105" s="82"/>
      <c r="LQ105" s="82"/>
      <c r="LR105" s="82"/>
      <c r="LS105" s="82"/>
      <c r="LT105" s="82"/>
      <c r="LU105" s="82"/>
      <c r="LV105" s="82"/>
      <c r="LW105" s="82"/>
      <c r="LX105" s="82"/>
      <c r="LY105" s="82"/>
      <c r="LZ105" s="82"/>
      <c r="MA105" s="82"/>
      <c r="MB105" s="82"/>
      <c r="MC105" s="82"/>
      <c r="MD105" s="82"/>
      <c r="ME105" s="82"/>
      <c r="MF105" s="82"/>
      <c r="MG105" s="82"/>
      <c r="MH105" s="82"/>
      <c r="MI105" s="82"/>
      <c r="MJ105" s="82"/>
      <c r="MK105" s="82"/>
      <c r="ML105" s="82"/>
      <c r="MM105" s="82"/>
      <c r="MN105" s="82"/>
      <c r="MO105" s="82"/>
      <c r="MP105" s="82"/>
      <c r="MQ105" s="82"/>
      <c r="MR105" s="82"/>
      <c r="MS105" s="82"/>
      <c r="MT105" s="82"/>
      <c r="MU105" s="82"/>
      <c r="MV105" s="82"/>
      <c r="MW105" s="82"/>
      <c r="MX105" s="82"/>
      <c r="MY105" s="82"/>
      <c r="MZ105" s="82"/>
      <c r="NA105" s="82"/>
      <c r="NB105" s="82"/>
      <c r="NC105" s="82"/>
      <c r="ND105" s="82"/>
      <c r="NE105" s="82"/>
      <c r="NF105" s="82"/>
      <c r="NG105" s="82"/>
      <c r="NH105" s="82"/>
      <c r="NI105" s="82"/>
      <c r="NJ105" s="82"/>
      <c r="NK105" s="82"/>
      <c r="NL105" s="82"/>
      <c r="NM105" s="82"/>
      <c r="NN105" s="82"/>
      <c r="NO105" s="82"/>
      <c r="NP105" s="82"/>
      <c r="NQ105" s="82"/>
      <c r="NR105" s="82"/>
      <c r="NS105" s="82"/>
      <c r="NT105" s="82"/>
      <c r="NU105" s="82"/>
      <c r="NV105" s="82"/>
      <c r="NW105" s="82"/>
      <c r="NX105" s="82"/>
      <c r="NY105" s="82"/>
      <c r="NZ105" s="82"/>
      <c r="OA105" s="82"/>
      <c r="OB105" s="82"/>
      <c r="OC105" s="82"/>
      <c r="OD105" s="82"/>
      <c r="OE105" s="82"/>
      <c r="OF105" s="82"/>
      <c r="OG105" s="82"/>
      <c r="OH105" s="82"/>
      <c r="OI105" s="82"/>
      <c r="OJ105" s="82"/>
      <c r="OK105" s="82"/>
      <c r="OL105" s="82"/>
      <c r="OM105" s="82"/>
      <c r="ON105" s="82"/>
      <c r="OO105" s="82"/>
      <c r="OP105" s="82"/>
      <c r="OQ105" s="82"/>
      <c r="OR105" s="82"/>
      <c r="OS105" s="82"/>
      <c r="OT105" s="82"/>
      <c r="OU105" s="82"/>
      <c r="OV105" s="82"/>
      <c r="OW105" s="82"/>
      <c r="OX105" s="82"/>
      <c r="OY105" s="82"/>
      <c r="OZ105" s="82"/>
      <c r="PA105" s="82"/>
      <c r="PB105" s="82"/>
      <c r="PC105" s="82"/>
      <c r="PD105" s="82"/>
      <c r="PE105" s="82"/>
      <c r="PF105" s="82"/>
      <c r="PG105" s="82"/>
      <c r="PH105" s="82"/>
      <c r="PI105" s="82"/>
      <c r="PJ105" s="82"/>
      <c r="PK105" s="82"/>
      <c r="PL105" s="82"/>
      <c r="PM105" s="82"/>
      <c r="PN105" s="82"/>
      <c r="PO105" s="82"/>
      <c r="PP105" s="82"/>
      <c r="PQ105" s="82"/>
      <c r="PR105" s="82"/>
      <c r="PS105" s="82"/>
      <c r="PT105" s="82"/>
      <c r="PU105" s="82"/>
      <c r="PV105" s="82"/>
      <c r="PW105" s="82"/>
      <c r="PX105" s="82"/>
      <c r="PY105" s="82"/>
      <c r="PZ105" s="82"/>
      <c r="QA105" s="82"/>
      <c r="QB105" s="82"/>
      <c r="QC105" s="82"/>
      <c r="QD105" s="82"/>
      <c r="QE105" s="82"/>
      <c r="QF105" s="82"/>
      <c r="QG105" s="82"/>
      <c r="QH105" s="82"/>
      <c r="QI105" s="82"/>
      <c r="QJ105" s="82"/>
      <c r="QK105" s="82"/>
      <c r="QL105" s="82"/>
      <c r="QM105" s="82"/>
      <c r="QN105" s="82"/>
      <c r="QO105" s="82"/>
      <c r="QP105" s="82"/>
      <c r="QQ105" s="82"/>
      <c r="QR105" s="82"/>
      <c r="QS105" s="82"/>
      <c r="QT105" s="82"/>
      <c r="QU105" s="82"/>
      <c r="QV105" s="82"/>
      <c r="QW105" s="82"/>
      <c r="QX105" s="82"/>
      <c r="QY105" s="82"/>
      <c r="QZ105" s="82"/>
      <c r="RA105" s="82"/>
      <c r="RB105" s="82"/>
      <c r="RC105" s="82"/>
      <c r="RD105" s="82"/>
      <c r="RE105" s="82"/>
      <c r="RF105" s="82"/>
      <c r="RG105" s="82"/>
      <c r="RH105" s="82"/>
      <c r="RI105" s="82"/>
      <c r="RJ105" s="82"/>
      <c r="RK105" s="82"/>
      <c r="RL105" s="82"/>
      <c r="RM105" s="82"/>
      <c r="RN105" s="82"/>
      <c r="RO105" s="82"/>
      <c r="RP105" s="82"/>
      <c r="RQ105" s="82"/>
      <c r="RR105" s="82"/>
      <c r="RS105" s="82"/>
      <c r="RT105" s="82"/>
      <c r="RU105" s="82"/>
      <c r="RV105" s="82"/>
      <c r="RW105" s="82"/>
      <c r="RX105" s="82"/>
      <c r="RY105" s="82"/>
      <c r="RZ105" s="82"/>
      <c r="SA105" s="82"/>
      <c r="SB105" s="82"/>
      <c r="SC105" s="82"/>
      <c r="SD105" s="82"/>
      <c r="SE105" s="82"/>
      <c r="SF105" s="82"/>
      <c r="SG105" s="82"/>
      <c r="SH105" s="82"/>
      <c r="SI105" s="82"/>
      <c r="SJ105" s="82"/>
      <c r="SK105" s="82"/>
      <c r="SL105" s="82"/>
      <c r="SM105" s="82"/>
      <c r="SN105" s="82"/>
      <c r="SO105" s="82"/>
      <c r="SP105" s="82"/>
      <c r="SQ105" s="82"/>
      <c r="SR105" s="82"/>
      <c r="SS105" s="82"/>
      <c r="ST105" s="82"/>
      <c r="SU105" s="82"/>
      <c r="SV105" s="82"/>
      <c r="SW105" s="82"/>
      <c r="SX105" s="82"/>
      <c r="SY105" s="82"/>
      <c r="SZ105" s="82"/>
      <c r="TA105" s="82"/>
      <c r="TB105" s="82"/>
      <c r="TC105" s="82"/>
      <c r="TD105" s="82"/>
      <c r="TE105" s="82"/>
      <c r="TF105" s="82"/>
      <c r="TG105" s="82"/>
      <c r="TH105" s="82"/>
      <c r="TI105" s="82"/>
      <c r="TJ105" s="82"/>
      <c r="TK105" s="82"/>
      <c r="TL105" s="82"/>
      <c r="TM105" s="82"/>
    </row>
    <row r="106" spans="1:533" s="83" customFormat="1" ht="18.75" x14ac:dyDescent="0.25">
      <c r="A106" s="39"/>
      <c r="B106" s="88" t="s">
        <v>212</v>
      </c>
      <c r="C106" s="41"/>
      <c r="D106" s="57" t="s">
        <v>213</v>
      </c>
      <c r="E106" s="86"/>
      <c r="F106" s="53"/>
      <c r="G106" s="58"/>
      <c r="H106" s="46"/>
      <c r="I106" s="47"/>
      <c r="J106" s="48"/>
      <c r="K106" s="47"/>
      <c r="L106" s="49"/>
      <c r="M106" s="82"/>
      <c r="N106" s="82"/>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c r="BP106" s="82"/>
      <c r="BQ106" s="82"/>
      <c r="BR106" s="82"/>
      <c r="BS106" s="82"/>
      <c r="BT106" s="82"/>
      <c r="BU106" s="82"/>
      <c r="BV106" s="82"/>
      <c r="BW106" s="82"/>
      <c r="BX106" s="82"/>
      <c r="BY106" s="82"/>
      <c r="BZ106" s="82"/>
      <c r="CA106" s="82"/>
      <c r="CB106" s="82"/>
      <c r="CC106" s="82"/>
      <c r="CD106" s="82"/>
      <c r="CE106" s="82"/>
      <c r="CF106" s="82"/>
      <c r="CG106" s="82"/>
      <c r="CH106" s="82"/>
      <c r="CI106" s="82"/>
      <c r="CJ106" s="82"/>
      <c r="CK106" s="82"/>
      <c r="CL106" s="82"/>
      <c r="CM106" s="82"/>
      <c r="CN106" s="82"/>
      <c r="CO106" s="82"/>
      <c r="CP106" s="82"/>
      <c r="CQ106" s="82"/>
      <c r="CR106" s="82"/>
      <c r="CS106" s="82"/>
      <c r="CT106" s="82"/>
      <c r="CU106" s="82"/>
      <c r="CV106" s="82"/>
      <c r="CW106" s="82"/>
      <c r="CX106" s="82"/>
      <c r="CY106" s="82"/>
      <c r="CZ106" s="82"/>
      <c r="DA106" s="82"/>
      <c r="DB106" s="82"/>
      <c r="DC106" s="82"/>
      <c r="DD106" s="82"/>
      <c r="DE106" s="82"/>
      <c r="DF106" s="82"/>
      <c r="DG106" s="82"/>
      <c r="DH106" s="82"/>
      <c r="DI106" s="82"/>
      <c r="DJ106" s="82"/>
      <c r="DK106" s="82"/>
      <c r="DL106" s="82"/>
      <c r="DM106" s="82"/>
      <c r="DN106" s="82"/>
      <c r="DO106" s="82"/>
      <c r="DP106" s="82"/>
      <c r="DQ106" s="82"/>
      <c r="DR106" s="82"/>
      <c r="DS106" s="82"/>
      <c r="DT106" s="82"/>
      <c r="DU106" s="82"/>
      <c r="DV106" s="82"/>
      <c r="DW106" s="82"/>
      <c r="DX106" s="82"/>
      <c r="DY106" s="82"/>
      <c r="DZ106" s="82"/>
      <c r="EA106" s="82"/>
      <c r="EB106" s="82"/>
      <c r="EC106" s="82"/>
      <c r="ED106" s="82"/>
      <c r="EE106" s="82"/>
      <c r="EF106" s="82"/>
      <c r="EG106" s="82"/>
      <c r="EH106" s="82"/>
      <c r="EI106" s="82"/>
      <c r="EJ106" s="82"/>
      <c r="EK106" s="82"/>
      <c r="EL106" s="82"/>
      <c r="EM106" s="82"/>
      <c r="EN106" s="82"/>
      <c r="EO106" s="82"/>
      <c r="EP106" s="82"/>
      <c r="EQ106" s="82"/>
      <c r="ER106" s="82"/>
      <c r="ES106" s="82"/>
      <c r="ET106" s="82"/>
      <c r="EU106" s="82"/>
      <c r="EV106" s="82"/>
      <c r="EW106" s="82"/>
      <c r="EX106" s="82"/>
      <c r="EY106" s="82"/>
      <c r="EZ106" s="82"/>
      <c r="FA106" s="82"/>
      <c r="FB106" s="82"/>
      <c r="FC106" s="82"/>
      <c r="FD106" s="82"/>
      <c r="FE106" s="82"/>
      <c r="FF106" s="82"/>
      <c r="FG106" s="82"/>
      <c r="FH106" s="82"/>
      <c r="FI106" s="82"/>
      <c r="FJ106" s="82"/>
      <c r="FK106" s="82"/>
      <c r="FL106" s="82"/>
      <c r="FM106" s="82"/>
      <c r="FN106" s="82"/>
      <c r="FO106" s="82"/>
      <c r="FP106" s="82"/>
      <c r="FQ106" s="82"/>
      <c r="FR106" s="82"/>
      <c r="FS106" s="82"/>
      <c r="FT106" s="82"/>
      <c r="FU106" s="82"/>
      <c r="FV106" s="82"/>
      <c r="FW106" s="82"/>
      <c r="FX106" s="82"/>
      <c r="FY106" s="82"/>
      <c r="FZ106" s="82"/>
      <c r="GA106" s="82"/>
      <c r="GB106" s="82"/>
      <c r="GC106" s="82"/>
      <c r="GD106" s="82"/>
      <c r="GE106" s="82"/>
      <c r="GF106" s="82"/>
      <c r="GG106" s="82"/>
      <c r="GH106" s="82"/>
      <c r="GI106" s="82"/>
      <c r="GJ106" s="82"/>
      <c r="GK106" s="82"/>
      <c r="GL106" s="82"/>
      <c r="GM106" s="82"/>
      <c r="GN106" s="82"/>
      <c r="GO106" s="82"/>
      <c r="GP106" s="82"/>
      <c r="GQ106" s="82"/>
      <c r="GR106" s="82"/>
      <c r="GS106" s="82"/>
      <c r="GT106" s="82"/>
      <c r="GU106" s="82"/>
      <c r="GV106" s="82"/>
      <c r="GW106" s="82"/>
      <c r="GX106" s="82"/>
      <c r="GY106" s="82"/>
      <c r="GZ106" s="82"/>
      <c r="HA106" s="82"/>
      <c r="HB106" s="82"/>
      <c r="HC106" s="82"/>
      <c r="HD106" s="82"/>
      <c r="HE106" s="82"/>
      <c r="HF106" s="82"/>
      <c r="HG106" s="82"/>
      <c r="HH106" s="82"/>
      <c r="HI106" s="82"/>
      <c r="HJ106" s="82"/>
      <c r="HK106" s="82"/>
      <c r="HL106" s="82"/>
      <c r="HM106" s="82"/>
      <c r="HN106" s="82"/>
      <c r="HO106" s="82"/>
      <c r="HP106" s="82"/>
      <c r="HQ106" s="82"/>
      <c r="HR106" s="82"/>
      <c r="HS106" s="82"/>
      <c r="HT106" s="82"/>
      <c r="HU106" s="82"/>
      <c r="HV106" s="82"/>
      <c r="HW106" s="82"/>
      <c r="HX106" s="82"/>
      <c r="HY106" s="82"/>
      <c r="HZ106" s="82"/>
      <c r="IA106" s="82"/>
      <c r="IB106" s="82"/>
      <c r="IC106" s="82"/>
      <c r="ID106" s="82"/>
      <c r="IE106" s="82"/>
      <c r="IF106" s="82"/>
      <c r="IG106" s="82"/>
      <c r="IH106" s="82"/>
      <c r="II106" s="82"/>
      <c r="IJ106" s="82"/>
      <c r="IK106" s="82"/>
      <c r="IL106" s="82"/>
      <c r="IM106" s="82"/>
      <c r="IN106" s="82"/>
      <c r="IO106" s="82"/>
      <c r="IP106" s="82"/>
      <c r="IQ106" s="82"/>
      <c r="IR106" s="82"/>
      <c r="IS106" s="82"/>
      <c r="IT106" s="82"/>
      <c r="IU106" s="82"/>
      <c r="IV106" s="82"/>
      <c r="IW106" s="82"/>
      <c r="IX106" s="82"/>
      <c r="IY106" s="82"/>
      <c r="IZ106" s="82"/>
      <c r="JA106" s="82"/>
      <c r="JB106" s="82"/>
      <c r="JC106" s="82"/>
      <c r="JD106" s="82"/>
      <c r="JE106" s="82"/>
      <c r="JF106" s="82"/>
      <c r="JG106" s="82"/>
      <c r="JH106" s="82"/>
      <c r="JI106" s="82"/>
      <c r="JJ106" s="82"/>
      <c r="JK106" s="82"/>
      <c r="JL106" s="82"/>
      <c r="JM106" s="82"/>
      <c r="JN106" s="82"/>
      <c r="JO106" s="82"/>
      <c r="JP106" s="82"/>
      <c r="JQ106" s="82"/>
      <c r="JR106" s="82"/>
      <c r="JS106" s="82"/>
      <c r="JT106" s="82"/>
      <c r="JU106" s="82"/>
      <c r="JV106" s="82"/>
      <c r="JW106" s="82"/>
      <c r="JX106" s="82"/>
      <c r="JY106" s="82"/>
      <c r="JZ106" s="82"/>
      <c r="KA106" s="82"/>
      <c r="KB106" s="82"/>
      <c r="KC106" s="82"/>
      <c r="KD106" s="82"/>
      <c r="KE106" s="82"/>
      <c r="KF106" s="82"/>
      <c r="KG106" s="82"/>
      <c r="KH106" s="82"/>
      <c r="KI106" s="82"/>
      <c r="KJ106" s="82"/>
      <c r="KK106" s="82"/>
      <c r="KL106" s="82"/>
      <c r="KM106" s="82"/>
      <c r="KN106" s="82"/>
      <c r="KO106" s="82"/>
      <c r="KP106" s="82"/>
      <c r="KQ106" s="82"/>
      <c r="KR106" s="82"/>
      <c r="KS106" s="82"/>
      <c r="KT106" s="82"/>
      <c r="KU106" s="82"/>
      <c r="KV106" s="82"/>
      <c r="KW106" s="82"/>
      <c r="KX106" s="82"/>
      <c r="KY106" s="82"/>
      <c r="KZ106" s="82"/>
      <c r="LA106" s="82"/>
      <c r="LB106" s="82"/>
      <c r="LC106" s="82"/>
      <c r="LD106" s="82"/>
      <c r="LE106" s="82"/>
      <c r="LF106" s="82"/>
      <c r="LG106" s="82"/>
      <c r="LH106" s="82"/>
      <c r="LI106" s="82"/>
      <c r="LJ106" s="82"/>
      <c r="LK106" s="82"/>
      <c r="LL106" s="82"/>
      <c r="LM106" s="82"/>
      <c r="LN106" s="82"/>
      <c r="LO106" s="82"/>
      <c r="LP106" s="82"/>
      <c r="LQ106" s="82"/>
      <c r="LR106" s="82"/>
      <c r="LS106" s="82"/>
      <c r="LT106" s="82"/>
      <c r="LU106" s="82"/>
      <c r="LV106" s="82"/>
      <c r="LW106" s="82"/>
      <c r="LX106" s="82"/>
      <c r="LY106" s="82"/>
      <c r="LZ106" s="82"/>
      <c r="MA106" s="82"/>
      <c r="MB106" s="82"/>
      <c r="MC106" s="82"/>
      <c r="MD106" s="82"/>
      <c r="ME106" s="82"/>
      <c r="MF106" s="82"/>
      <c r="MG106" s="82"/>
      <c r="MH106" s="82"/>
      <c r="MI106" s="82"/>
      <c r="MJ106" s="82"/>
      <c r="MK106" s="82"/>
      <c r="ML106" s="82"/>
      <c r="MM106" s="82"/>
      <c r="MN106" s="82"/>
      <c r="MO106" s="82"/>
      <c r="MP106" s="82"/>
      <c r="MQ106" s="82"/>
      <c r="MR106" s="82"/>
      <c r="MS106" s="82"/>
      <c r="MT106" s="82"/>
      <c r="MU106" s="82"/>
      <c r="MV106" s="82"/>
      <c r="MW106" s="82"/>
      <c r="MX106" s="82"/>
      <c r="MY106" s="82"/>
      <c r="MZ106" s="82"/>
      <c r="NA106" s="82"/>
      <c r="NB106" s="82"/>
      <c r="NC106" s="82"/>
      <c r="ND106" s="82"/>
      <c r="NE106" s="82"/>
      <c r="NF106" s="82"/>
      <c r="NG106" s="82"/>
      <c r="NH106" s="82"/>
      <c r="NI106" s="82"/>
      <c r="NJ106" s="82"/>
      <c r="NK106" s="82"/>
      <c r="NL106" s="82"/>
      <c r="NM106" s="82"/>
      <c r="NN106" s="82"/>
      <c r="NO106" s="82"/>
      <c r="NP106" s="82"/>
      <c r="NQ106" s="82"/>
      <c r="NR106" s="82"/>
      <c r="NS106" s="82"/>
      <c r="NT106" s="82"/>
      <c r="NU106" s="82"/>
      <c r="NV106" s="82"/>
      <c r="NW106" s="82"/>
      <c r="NX106" s="82"/>
      <c r="NY106" s="82"/>
      <c r="NZ106" s="82"/>
      <c r="OA106" s="82"/>
      <c r="OB106" s="82"/>
      <c r="OC106" s="82"/>
      <c r="OD106" s="82"/>
      <c r="OE106" s="82"/>
      <c r="OF106" s="82"/>
      <c r="OG106" s="82"/>
      <c r="OH106" s="82"/>
      <c r="OI106" s="82"/>
      <c r="OJ106" s="82"/>
      <c r="OK106" s="82"/>
      <c r="OL106" s="82"/>
      <c r="OM106" s="82"/>
      <c r="ON106" s="82"/>
      <c r="OO106" s="82"/>
      <c r="OP106" s="82"/>
      <c r="OQ106" s="82"/>
      <c r="OR106" s="82"/>
      <c r="OS106" s="82"/>
      <c r="OT106" s="82"/>
      <c r="OU106" s="82"/>
      <c r="OV106" s="82"/>
      <c r="OW106" s="82"/>
      <c r="OX106" s="82"/>
      <c r="OY106" s="82"/>
      <c r="OZ106" s="82"/>
      <c r="PA106" s="82"/>
      <c r="PB106" s="82"/>
      <c r="PC106" s="82"/>
      <c r="PD106" s="82"/>
      <c r="PE106" s="82"/>
      <c r="PF106" s="82"/>
      <c r="PG106" s="82"/>
      <c r="PH106" s="82"/>
      <c r="PI106" s="82"/>
      <c r="PJ106" s="82"/>
      <c r="PK106" s="82"/>
      <c r="PL106" s="82"/>
      <c r="PM106" s="82"/>
      <c r="PN106" s="82"/>
      <c r="PO106" s="82"/>
      <c r="PP106" s="82"/>
      <c r="PQ106" s="82"/>
      <c r="PR106" s="82"/>
      <c r="PS106" s="82"/>
      <c r="PT106" s="82"/>
      <c r="PU106" s="82"/>
      <c r="PV106" s="82"/>
      <c r="PW106" s="82"/>
      <c r="PX106" s="82"/>
      <c r="PY106" s="82"/>
      <c r="PZ106" s="82"/>
      <c r="QA106" s="82"/>
      <c r="QB106" s="82"/>
      <c r="QC106" s="82"/>
      <c r="QD106" s="82"/>
      <c r="QE106" s="82"/>
      <c r="QF106" s="82"/>
      <c r="QG106" s="82"/>
      <c r="QH106" s="82"/>
      <c r="QI106" s="82"/>
      <c r="QJ106" s="82"/>
      <c r="QK106" s="82"/>
      <c r="QL106" s="82"/>
      <c r="QM106" s="82"/>
      <c r="QN106" s="82"/>
      <c r="QO106" s="82"/>
      <c r="QP106" s="82"/>
      <c r="QQ106" s="82"/>
      <c r="QR106" s="82"/>
      <c r="QS106" s="82"/>
      <c r="QT106" s="82"/>
      <c r="QU106" s="82"/>
      <c r="QV106" s="82"/>
      <c r="QW106" s="82"/>
      <c r="QX106" s="82"/>
      <c r="QY106" s="82"/>
      <c r="QZ106" s="82"/>
      <c r="RA106" s="82"/>
      <c r="RB106" s="82"/>
      <c r="RC106" s="82"/>
      <c r="RD106" s="82"/>
      <c r="RE106" s="82"/>
      <c r="RF106" s="82"/>
      <c r="RG106" s="82"/>
      <c r="RH106" s="82"/>
      <c r="RI106" s="82"/>
      <c r="RJ106" s="82"/>
      <c r="RK106" s="82"/>
      <c r="RL106" s="82"/>
      <c r="RM106" s="82"/>
      <c r="RN106" s="82"/>
      <c r="RO106" s="82"/>
      <c r="RP106" s="82"/>
      <c r="RQ106" s="82"/>
      <c r="RR106" s="82"/>
      <c r="RS106" s="82"/>
      <c r="RT106" s="82"/>
      <c r="RU106" s="82"/>
      <c r="RV106" s="82"/>
      <c r="RW106" s="82"/>
      <c r="RX106" s="82"/>
      <c r="RY106" s="82"/>
      <c r="RZ106" s="82"/>
      <c r="SA106" s="82"/>
      <c r="SB106" s="82"/>
      <c r="SC106" s="82"/>
      <c r="SD106" s="82"/>
      <c r="SE106" s="82"/>
      <c r="SF106" s="82"/>
      <c r="SG106" s="82"/>
      <c r="SH106" s="82"/>
      <c r="SI106" s="82"/>
      <c r="SJ106" s="82"/>
      <c r="SK106" s="82"/>
      <c r="SL106" s="82"/>
      <c r="SM106" s="82"/>
      <c r="SN106" s="82"/>
      <c r="SO106" s="82"/>
      <c r="SP106" s="82"/>
      <c r="SQ106" s="82"/>
      <c r="SR106" s="82"/>
      <c r="SS106" s="82"/>
      <c r="ST106" s="82"/>
      <c r="SU106" s="82"/>
      <c r="SV106" s="82"/>
      <c r="SW106" s="82"/>
      <c r="SX106" s="82"/>
      <c r="SY106" s="82"/>
      <c r="SZ106" s="82"/>
      <c r="TA106" s="82"/>
      <c r="TB106" s="82"/>
      <c r="TC106" s="82"/>
      <c r="TD106" s="82"/>
      <c r="TE106" s="82"/>
      <c r="TF106" s="82"/>
      <c r="TG106" s="82"/>
      <c r="TH106" s="82"/>
      <c r="TI106" s="82"/>
      <c r="TJ106" s="82"/>
      <c r="TK106" s="82"/>
      <c r="TL106" s="82"/>
      <c r="TM106" s="82"/>
    </row>
    <row r="107" spans="1:533" s="91" customFormat="1" ht="18.75" x14ac:dyDescent="0.25">
      <c r="A107" s="74"/>
      <c r="B107" s="88" t="s">
        <v>212</v>
      </c>
      <c r="C107" s="41" t="s">
        <v>214</v>
      </c>
      <c r="D107" s="56" t="s">
        <v>215</v>
      </c>
      <c r="E107" s="43" t="s">
        <v>75</v>
      </c>
      <c r="F107" s="53">
        <v>14</v>
      </c>
      <c r="G107" s="58"/>
      <c r="H107" s="46"/>
      <c r="I107" s="47">
        <f t="shared" ref="I107:I108" si="19">F107*G107</f>
        <v>0</v>
      </c>
      <c r="J107" s="48">
        <v>2040</v>
      </c>
      <c r="K107" s="47" t="s">
        <v>30</v>
      </c>
      <c r="L107" s="49"/>
    </row>
    <row r="108" spans="1:533" s="91" customFormat="1" ht="18.75" x14ac:dyDescent="0.25">
      <c r="A108" s="74"/>
      <c r="B108" s="88" t="s">
        <v>212</v>
      </c>
      <c r="C108" s="41" t="s">
        <v>216</v>
      </c>
      <c r="D108" s="56" t="s">
        <v>217</v>
      </c>
      <c r="E108" s="43" t="s">
        <v>75</v>
      </c>
      <c r="F108" s="53">
        <v>14</v>
      </c>
      <c r="G108" s="58"/>
      <c r="H108" s="46"/>
      <c r="I108" s="47">
        <f t="shared" si="19"/>
        <v>0</v>
      </c>
      <c r="J108" s="48">
        <v>2040</v>
      </c>
      <c r="K108" s="47" t="s">
        <v>30</v>
      </c>
      <c r="L108" s="49"/>
    </row>
    <row r="109" spans="1:533" s="91" customFormat="1" ht="18.75" x14ac:dyDescent="0.25">
      <c r="A109" s="74"/>
      <c r="B109" s="88" t="s">
        <v>212</v>
      </c>
      <c r="C109" s="41"/>
      <c r="D109" s="57" t="s">
        <v>218</v>
      </c>
      <c r="E109" s="86"/>
      <c r="F109" s="53"/>
      <c r="G109" s="58"/>
      <c r="H109" s="46"/>
      <c r="I109" s="55"/>
      <c r="J109" s="48"/>
      <c r="K109" s="47"/>
      <c r="L109" s="49"/>
    </row>
    <row r="110" spans="1:533" s="91" customFormat="1" ht="18.75" x14ac:dyDescent="0.25">
      <c r="A110" s="74"/>
      <c r="B110" s="88" t="s">
        <v>212</v>
      </c>
      <c r="C110" s="41" t="s">
        <v>219</v>
      </c>
      <c r="D110" s="56" t="s">
        <v>220</v>
      </c>
      <c r="E110" s="43" t="s">
        <v>29</v>
      </c>
      <c r="F110" s="53">
        <v>44</v>
      </c>
      <c r="G110" s="58"/>
      <c r="H110" s="46"/>
      <c r="I110" s="47">
        <f t="shared" ref="I110" si="20">F110*G110</f>
        <v>0</v>
      </c>
      <c r="J110" s="48">
        <v>2040</v>
      </c>
      <c r="K110" s="47" t="s">
        <v>30</v>
      </c>
      <c r="L110" s="49"/>
    </row>
    <row r="111" spans="1:533" s="39" customFormat="1" ht="131.25" x14ac:dyDescent="0.25">
      <c r="B111" s="50" t="s">
        <v>221</v>
      </c>
      <c r="C111" s="41"/>
      <c r="D111" s="57" t="s">
        <v>222</v>
      </c>
      <c r="E111" s="86"/>
      <c r="F111" s="53"/>
      <c r="G111" s="54"/>
      <c r="H111" s="46"/>
      <c r="I111" s="55"/>
      <c r="J111" s="48"/>
      <c r="K111" s="47"/>
      <c r="L111" s="49"/>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c r="CO111" s="38"/>
      <c r="CP111" s="38"/>
      <c r="CQ111" s="38"/>
      <c r="CR111" s="38"/>
      <c r="CS111" s="38"/>
      <c r="CT111" s="38"/>
      <c r="CU111" s="38"/>
      <c r="CV111" s="38"/>
      <c r="CW111" s="38"/>
      <c r="CX111" s="38"/>
      <c r="CY111" s="38"/>
      <c r="CZ111" s="38"/>
      <c r="DA111" s="38"/>
      <c r="DB111" s="38"/>
      <c r="DC111" s="38"/>
      <c r="DD111" s="38"/>
      <c r="DE111" s="38"/>
      <c r="DF111" s="38"/>
      <c r="DG111" s="38"/>
      <c r="DH111" s="38"/>
      <c r="DI111" s="38"/>
      <c r="DJ111" s="38"/>
      <c r="DK111" s="38"/>
      <c r="DL111" s="38"/>
      <c r="DM111" s="38"/>
      <c r="DN111" s="38"/>
      <c r="DO111" s="38"/>
      <c r="DP111" s="38"/>
      <c r="DQ111" s="38"/>
      <c r="DR111" s="38"/>
      <c r="DS111" s="38"/>
      <c r="DT111" s="38"/>
      <c r="DU111" s="38"/>
      <c r="DV111" s="38"/>
      <c r="DW111" s="38"/>
      <c r="DX111" s="38"/>
      <c r="DY111" s="38"/>
      <c r="DZ111" s="38"/>
      <c r="EA111" s="38"/>
      <c r="EB111" s="38"/>
      <c r="EC111" s="38"/>
      <c r="ED111" s="38"/>
      <c r="EE111" s="38"/>
      <c r="EF111" s="38"/>
      <c r="EG111" s="38"/>
      <c r="EH111" s="38"/>
      <c r="EI111" s="38"/>
      <c r="EJ111" s="38"/>
      <c r="EK111" s="38"/>
      <c r="EL111" s="38"/>
      <c r="EM111" s="38"/>
      <c r="EN111" s="38"/>
      <c r="EO111" s="38"/>
      <c r="EP111" s="38"/>
      <c r="EQ111" s="38"/>
      <c r="ER111" s="38"/>
      <c r="ES111" s="38"/>
      <c r="ET111" s="38"/>
      <c r="EU111" s="38"/>
      <c r="EV111" s="38"/>
      <c r="EW111" s="38"/>
      <c r="EX111" s="38"/>
      <c r="EY111" s="38"/>
      <c r="EZ111" s="38"/>
      <c r="FA111" s="38"/>
      <c r="FB111" s="38"/>
      <c r="FC111" s="38"/>
      <c r="FD111" s="38"/>
      <c r="FE111" s="38"/>
      <c r="FF111" s="38"/>
      <c r="FG111" s="38"/>
      <c r="FH111" s="38"/>
      <c r="FI111" s="38"/>
      <c r="FJ111" s="38"/>
      <c r="FK111" s="38"/>
      <c r="FL111" s="38"/>
      <c r="FM111" s="38"/>
      <c r="FN111" s="38"/>
      <c r="FO111" s="38"/>
      <c r="FP111" s="38"/>
      <c r="FQ111" s="38"/>
      <c r="FR111" s="38"/>
      <c r="FS111" s="38"/>
      <c r="FT111" s="38"/>
      <c r="FU111" s="38"/>
      <c r="FV111" s="38"/>
      <c r="FW111" s="38"/>
      <c r="FX111" s="38"/>
      <c r="FY111" s="38"/>
      <c r="FZ111" s="38"/>
      <c r="GA111" s="38"/>
      <c r="GB111" s="38"/>
      <c r="GC111" s="38"/>
      <c r="GD111" s="38"/>
      <c r="GE111" s="38"/>
      <c r="GF111" s="38"/>
      <c r="GG111" s="38"/>
      <c r="GH111" s="38"/>
      <c r="GI111" s="38"/>
      <c r="GJ111" s="38"/>
      <c r="GK111" s="38"/>
      <c r="GL111" s="38"/>
      <c r="GM111" s="38"/>
      <c r="GN111" s="38"/>
      <c r="GO111" s="38"/>
      <c r="GP111" s="38"/>
      <c r="GQ111" s="38"/>
      <c r="GR111" s="38"/>
      <c r="GS111" s="38"/>
      <c r="GT111" s="38"/>
      <c r="GU111" s="38"/>
      <c r="GV111" s="38"/>
      <c r="GW111" s="38"/>
      <c r="GX111" s="38"/>
      <c r="GY111" s="38"/>
      <c r="GZ111" s="38"/>
      <c r="HA111" s="38"/>
      <c r="HB111" s="38"/>
      <c r="HC111" s="38"/>
      <c r="HD111" s="38"/>
      <c r="HE111" s="38"/>
      <c r="HF111" s="38"/>
      <c r="HG111" s="38"/>
      <c r="HH111" s="38"/>
      <c r="HI111" s="38"/>
      <c r="HJ111" s="38"/>
      <c r="HK111" s="38"/>
      <c r="HL111" s="38"/>
      <c r="HM111" s="38"/>
      <c r="HN111" s="38"/>
      <c r="HO111" s="38"/>
      <c r="HP111" s="38"/>
      <c r="HQ111" s="38"/>
      <c r="HR111" s="38"/>
      <c r="HS111" s="38"/>
      <c r="HT111" s="38"/>
      <c r="HU111" s="38"/>
      <c r="HV111" s="38"/>
      <c r="HW111" s="38"/>
      <c r="HX111" s="38"/>
      <c r="HY111" s="38"/>
      <c r="HZ111" s="38"/>
      <c r="IA111" s="38"/>
      <c r="IB111" s="38"/>
      <c r="IC111" s="38"/>
      <c r="ID111" s="38"/>
      <c r="IE111" s="38"/>
      <c r="IF111" s="38"/>
      <c r="IG111" s="38"/>
      <c r="IH111" s="38"/>
      <c r="II111" s="38"/>
      <c r="IJ111" s="38"/>
      <c r="IK111" s="38"/>
      <c r="IL111" s="38"/>
      <c r="IM111" s="38"/>
      <c r="IN111" s="38"/>
      <c r="IO111" s="38"/>
      <c r="IP111" s="38"/>
      <c r="IQ111" s="38"/>
      <c r="IR111" s="38"/>
      <c r="IS111" s="38"/>
      <c r="IT111" s="38"/>
      <c r="IU111" s="38"/>
      <c r="IV111" s="38"/>
      <c r="IW111" s="38"/>
      <c r="IX111" s="38"/>
      <c r="IY111" s="38"/>
      <c r="IZ111" s="38"/>
      <c r="JA111" s="38"/>
      <c r="JB111" s="38"/>
      <c r="JC111" s="38"/>
      <c r="JD111" s="38"/>
      <c r="JE111" s="38"/>
      <c r="JF111" s="38"/>
      <c r="JG111" s="38"/>
      <c r="JH111" s="38"/>
      <c r="JI111" s="38"/>
      <c r="JJ111" s="38"/>
      <c r="JK111" s="38"/>
      <c r="JL111" s="38"/>
      <c r="JM111" s="38"/>
      <c r="JN111" s="38"/>
      <c r="JO111" s="38"/>
      <c r="JP111" s="38"/>
      <c r="JQ111" s="38"/>
      <c r="JR111" s="38"/>
      <c r="JS111" s="38"/>
      <c r="JT111" s="38"/>
      <c r="JU111" s="38"/>
      <c r="JV111" s="38"/>
      <c r="JW111" s="38"/>
      <c r="JX111" s="38"/>
      <c r="JY111" s="38"/>
      <c r="JZ111" s="38"/>
      <c r="KA111" s="38"/>
      <c r="KB111" s="38"/>
      <c r="KC111" s="38"/>
      <c r="KD111" s="38"/>
      <c r="KE111" s="38"/>
      <c r="KF111" s="38"/>
      <c r="KG111" s="38"/>
      <c r="KH111" s="38"/>
      <c r="KI111" s="38"/>
      <c r="KJ111" s="38"/>
      <c r="KK111" s="38"/>
      <c r="KL111" s="38"/>
      <c r="KM111" s="38"/>
      <c r="KN111" s="38"/>
      <c r="KO111" s="38"/>
      <c r="KP111" s="38"/>
      <c r="KQ111" s="38"/>
      <c r="KR111" s="38"/>
      <c r="KS111" s="38"/>
      <c r="KT111" s="38"/>
      <c r="KU111" s="38"/>
      <c r="KV111" s="38"/>
      <c r="KW111" s="38"/>
      <c r="KX111" s="38"/>
      <c r="KY111" s="38"/>
      <c r="KZ111" s="38"/>
      <c r="LA111" s="38"/>
      <c r="LB111" s="38"/>
      <c r="LC111" s="38"/>
      <c r="LD111" s="38"/>
      <c r="LE111" s="38"/>
      <c r="LF111" s="38"/>
      <c r="LG111" s="38"/>
      <c r="LH111" s="38"/>
      <c r="LI111" s="38"/>
      <c r="LJ111" s="38"/>
      <c r="LK111" s="38"/>
      <c r="LL111" s="38"/>
      <c r="LM111" s="38"/>
      <c r="LN111" s="38"/>
      <c r="LO111" s="38"/>
      <c r="LP111" s="38"/>
      <c r="LQ111" s="38"/>
      <c r="LR111" s="38"/>
      <c r="LS111" s="38"/>
      <c r="LT111" s="38"/>
      <c r="LU111" s="38"/>
      <c r="LV111" s="38"/>
      <c r="LW111" s="38"/>
      <c r="LX111" s="38"/>
      <c r="LY111" s="38"/>
      <c r="LZ111" s="38"/>
      <c r="MA111" s="38"/>
      <c r="MB111" s="38"/>
      <c r="MC111" s="38"/>
      <c r="MD111" s="38"/>
      <c r="ME111" s="38"/>
      <c r="MF111" s="38"/>
      <c r="MG111" s="38"/>
      <c r="MH111" s="38"/>
      <c r="MI111" s="38"/>
      <c r="MJ111" s="38"/>
      <c r="MK111" s="38"/>
      <c r="ML111" s="38"/>
      <c r="MM111" s="38"/>
      <c r="MN111" s="38"/>
      <c r="MO111" s="38"/>
      <c r="MP111" s="38"/>
      <c r="MQ111" s="38"/>
      <c r="MR111" s="38"/>
      <c r="MS111" s="38"/>
      <c r="MT111" s="38"/>
      <c r="MU111" s="38"/>
      <c r="MV111" s="38"/>
      <c r="MW111" s="38"/>
      <c r="MX111" s="38"/>
      <c r="MY111" s="38"/>
      <c r="MZ111" s="38"/>
      <c r="NA111" s="38"/>
      <c r="NB111" s="38"/>
      <c r="NC111" s="38"/>
      <c r="ND111" s="38"/>
      <c r="NE111" s="38"/>
      <c r="NF111" s="38"/>
      <c r="NG111" s="38"/>
      <c r="NH111" s="38"/>
      <c r="NI111" s="38"/>
      <c r="NJ111" s="38"/>
      <c r="NK111" s="38"/>
      <c r="NL111" s="38"/>
      <c r="NM111" s="38"/>
      <c r="NN111" s="38"/>
      <c r="NO111" s="38"/>
      <c r="NP111" s="38"/>
      <c r="NQ111" s="38"/>
      <c r="NR111" s="38"/>
      <c r="NS111" s="38"/>
      <c r="NT111" s="38"/>
      <c r="NU111" s="38"/>
      <c r="NV111" s="38"/>
      <c r="NW111" s="38"/>
      <c r="NX111" s="38"/>
      <c r="NY111" s="38"/>
      <c r="NZ111" s="38"/>
      <c r="OA111" s="38"/>
      <c r="OB111" s="38"/>
      <c r="OC111" s="38"/>
      <c r="OD111" s="38"/>
      <c r="OE111" s="38"/>
      <c r="OF111" s="38"/>
      <c r="OG111" s="38"/>
      <c r="OH111" s="38"/>
      <c r="OI111" s="38"/>
      <c r="OJ111" s="38"/>
      <c r="OK111" s="38"/>
      <c r="OL111" s="38"/>
      <c r="OM111" s="38"/>
      <c r="ON111" s="38"/>
      <c r="OO111" s="38"/>
      <c r="OP111" s="38"/>
      <c r="OQ111" s="38"/>
      <c r="OR111" s="38"/>
      <c r="OS111" s="38"/>
      <c r="OT111" s="38"/>
      <c r="OU111" s="38"/>
      <c r="OV111" s="38"/>
      <c r="OW111" s="38"/>
      <c r="OX111" s="38"/>
      <c r="OY111" s="38"/>
      <c r="OZ111" s="38"/>
      <c r="PA111" s="38"/>
      <c r="PB111" s="38"/>
      <c r="PC111" s="38"/>
      <c r="PD111" s="38"/>
      <c r="PE111" s="38"/>
      <c r="PF111" s="38"/>
      <c r="PG111" s="38"/>
      <c r="PH111" s="38"/>
      <c r="PI111" s="38"/>
      <c r="PJ111" s="38"/>
      <c r="PK111" s="38"/>
      <c r="PL111" s="38"/>
      <c r="PM111" s="38"/>
      <c r="PN111" s="38"/>
      <c r="PO111" s="38"/>
      <c r="PP111" s="38"/>
      <c r="PQ111" s="38"/>
      <c r="PR111" s="38"/>
      <c r="PS111" s="38"/>
      <c r="PT111" s="38"/>
      <c r="PU111" s="38"/>
      <c r="PV111" s="38"/>
      <c r="PW111" s="38"/>
      <c r="PX111" s="38"/>
      <c r="PY111" s="38"/>
      <c r="PZ111" s="38"/>
      <c r="QA111" s="38"/>
      <c r="QB111" s="38"/>
      <c r="QC111" s="38"/>
      <c r="QD111" s="38"/>
      <c r="QE111" s="38"/>
      <c r="QF111" s="38"/>
      <c r="QG111" s="38"/>
      <c r="QH111" s="38"/>
      <c r="QI111" s="38"/>
      <c r="QJ111" s="38"/>
      <c r="QK111" s="38"/>
      <c r="QL111" s="38"/>
      <c r="QM111" s="38"/>
      <c r="QN111" s="38"/>
      <c r="QO111" s="38"/>
      <c r="QP111" s="38"/>
      <c r="QQ111" s="38"/>
      <c r="QR111" s="38"/>
      <c r="QS111" s="38"/>
      <c r="QT111" s="38"/>
      <c r="QU111" s="38"/>
      <c r="QV111" s="38"/>
      <c r="QW111" s="38"/>
      <c r="QX111" s="38"/>
      <c r="QY111" s="38"/>
      <c r="QZ111" s="38"/>
      <c r="RA111" s="38"/>
      <c r="RB111" s="38"/>
      <c r="RC111" s="38"/>
      <c r="RD111" s="38"/>
      <c r="RE111" s="38"/>
      <c r="RF111" s="38"/>
      <c r="RG111" s="38"/>
      <c r="RH111" s="38"/>
      <c r="RI111" s="38"/>
      <c r="RJ111" s="38"/>
      <c r="RK111" s="38"/>
      <c r="RL111" s="38"/>
      <c r="RM111" s="38"/>
      <c r="RN111" s="38"/>
      <c r="RO111" s="38"/>
      <c r="RP111" s="38"/>
      <c r="RQ111" s="38"/>
      <c r="RR111" s="38"/>
      <c r="RS111" s="38"/>
      <c r="RT111" s="38"/>
      <c r="RU111" s="38"/>
      <c r="RV111" s="38"/>
      <c r="RW111" s="38"/>
      <c r="RX111" s="38"/>
      <c r="RY111" s="38"/>
      <c r="RZ111" s="38"/>
      <c r="SA111" s="38"/>
      <c r="SB111" s="38"/>
      <c r="SC111" s="38"/>
      <c r="SD111" s="38"/>
      <c r="SE111" s="38"/>
      <c r="SF111" s="38"/>
      <c r="SG111" s="38"/>
      <c r="SH111" s="38"/>
      <c r="SI111" s="38"/>
      <c r="SJ111" s="38"/>
      <c r="SK111" s="38"/>
      <c r="SL111" s="38"/>
      <c r="SM111" s="38"/>
      <c r="SN111" s="38"/>
      <c r="SO111" s="38"/>
      <c r="SP111" s="38"/>
      <c r="SQ111" s="38"/>
      <c r="SR111" s="38"/>
      <c r="SS111" s="38"/>
      <c r="ST111" s="38"/>
      <c r="SU111" s="38"/>
      <c r="SV111" s="38"/>
      <c r="SW111" s="38"/>
      <c r="SX111" s="38"/>
      <c r="SY111" s="38"/>
      <c r="SZ111" s="38"/>
      <c r="TA111" s="38"/>
      <c r="TB111" s="38"/>
      <c r="TC111" s="38"/>
      <c r="TD111" s="38"/>
      <c r="TE111" s="38"/>
      <c r="TF111" s="38"/>
      <c r="TG111" s="38"/>
      <c r="TH111" s="38"/>
      <c r="TI111" s="38"/>
      <c r="TJ111" s="38"/>
      <c r="TK111" s="38"/>
      <c r="TL111" s="38"/>
      <c r="TM111" s="38"/>
    </row>
    <row r="112" spans="1:533" s="39" customFormat="1" ht="18.75" x14ac:dyDescent="0.25">
      <c r="B112" s="50" t="s">
        <v>221</v>
      </c>
      <c r="C112" s="41" t="s">
        <v>223</v>
      </c>
      <c r="D112" s="56" t="s">
        <v>224</v>
      </c>
      <c r="E112" s="43" t="s">
        <v>225</v>
      </c>
      <c r="F112" s="53">
        <v>87</v>
      </c>
      <c r="G112" s="58"/>
      <c r="H112" s="46"/>
      <c r="I112" s="47">
        <f t="shared" ref="I112:I123" si="21">F112*G112</f>
        <v>0</v>
      </c>
      <c r="J112" s="48">
        <v>2045</v>
      </c>
      <c r="K112" s="47" t="s">
        <v>30</v>
      </c>
      <c r="L112" s="49"/>
    </row>
    <row r="113" spans="1:533" s="39" customFormat="1" ht="18.75" x14ac:dyDescent="0.25">
      <c r="B113" s="50" t="s">
        <v>221</v>
      </c>
      <c r="C113" s="41" t="s">
        <v>226</v>
      </c>
      <c r="D113" s="56" t="s">
        <v>227</v>
      </c>
      <c r="E113" s="43" t="s">
        <v>225</v>
      </c>
      <c r="F113" s="53">
        <v>186</v>
      </c>
      <c r="G113" s="58"/>
      <c r="H113" s="46"/>
      <c r="I113" s="47">
        <f t="shared" si="21"/>
        <v>0</v>
      </c>
      <c r="J113" s="48">
        <v>2045</v>
      </c>
      <c r="K113" s="47" t="s">
        <v>30</v>
      </c>
      <c r="L113" s="49"/>
    </row>
    <row r="114" spans="1:533" s="83" customFormat="1" ht="18.75" x14ac:dyDescent="0.25">
      <c r="A114" s="39"/>
      <c r="B114" s="50" t="s">
        <v>221</v>
      </c>
      <c r="C114" s="41" t="s">
        <v>228</v>
      </c>
      <c r="D114" s="56" t="s">
        <v>229</v>
      </c>
      <c r="E114" s="43" t="s">
        <v>225</v>
      </c>
      <c r="F114" s="53">
        <v>88</v>
      </c>
      <c r="G114" s="58"/>
      <c r="H114" s="46"/>
      <c r="I114" s="47">
        <f t="shared" si="21"/>
        <v>0</v>
      </c>
      <c r="J114" s="48">
        <v>2045</v>
      </c>
      <c r="K114" s="47" t="s">
        <v>30</v>
      </c>
      <c r="L114" s="49"/>
    </row>
    <row r="115" spans="1:533" s="91" customFormat="1" ht="131.25" x14ac:dyDescent="0.25">
      <c r="A115" s="74"/>
      <c r="B115" s="50" t="s">
        <v>230</v>
      </c>
      <c r="C115" s="41"/>
      <c r="D115" s="57" t="s">
        <v>231</v>
      </c>
      <c r="E115" s="86"/>
      <c r="F115" s="53"/>
      <c r="G115" s="54"/>
      <c r="H115" s="46"/>
      <c r="I115" s="47"/>
      <c r="J115" s="48"/>
      <c r="K115" s="47"/>
      <c r="L115" s="49"/>
    </row>
    <row r="116" spans="1:533" s="39" customFormat="1" ht="18.75" x14ac:dyDescent="0.25">
      <c r="B116" s="50" t="s">
        <v>230</v>
      </c>
      <c r="C116" s="41" t="s">
        <v>232</v>
      </c>
      <c r="D116" s="56" t="s">
        <v>233</v>
      </c>
      <c r="E116" s="43" t="s">
        <v>225</v>
      </c>
      <c r="F116" s="53">
        <v>1023</v>
      </c>
      <c r="G116" s="45"/>
      <c r="H116" s="71"/>
      <c r="I116" s="47">
        <f t="shared" si="21"/>
        <v>0</v>
      </c>
      <c r="J116" s="48">
        <v>2048</v>
      </c>
      <c r="K116" s="47" t="s">
        <v>30</v>
      </c>
      <c r="L116" s="49"/>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c r="CO116" s="38"/>
      <c r="CP116" s="38"/>
      <c r="CQ116" s="38"/>
      <c r="CR116" s="38"/>
      <c r="CS116" s="38"/>
      <c r="CT116" s="38"/>
      <c r="CU116" s="38"/>
      <c r="CV116" s="38"/>
      <c r="CW116" s="38"/>
      <c r="CX116" s="38"/>
      <c r="CY116" s="38"/>
      <c r="CZ116" s="38"/>
      <c r="DA116" s="38"/>
      <c r="DB116" s="38"/>
      <c r="DC116" s="38"/>
      <c r="DD116" s="38"/>
      <c r="DE116" s="38"/>
      <c r="DF116" s="38"/>
      <c r="DG116" s="38"/>
      <c r="DH116" s="38"/>
      <c r="DI116" s="38"/>
      <c r="DJ116" s="38"/>
      <c r="DK116" s="38"/>
      <c r="DL116" s="38"/>
      <c r="DM116" s="38"/>
      <c r="DN116" s="38"/>
      <c r="DO116" s="38"/>
      <c r="DP116" s="38"/>
      <c r="DQ116" s="38"/>
      <c r="DR116" s="38"/>
      <c r="DS116" s="38"/>
      <c r="DT116" s="38"/>
      <c r="DU116" s="38"/>
      <c r="DV116" s="38"/>
      <c r="DW116" s="38"/>
      <c r="DX116" s="38"/>
      <c r="DY116" s="38"/>
      <c r="DZ116" s="38"/>
      <c r="EA116" s="38"/>
      <c r="EB116" s="38"/>
      <c r="EC116" s="38"/>
      <c r="ED116" s="38"/>
      <c r="EE116" s="38"/>
      <c r="EF116" s="38"/>
      <c r="EG116" s="38"/>
      <c r="EH116" s="38"/>
      <c r="EI116" s="38"/>
      <c r="EJ116" s="38"/>
      <c r="EK116" s="38"/>
      <c r="EL116" s="38"/>
      <c r="EM116" s="38"/>
      <c r="EN116" s="38"/>
      <c r="EO116" s="38"/>
      <c r="EP116" s="38"/>
      <c r="EQ116" s="38"/>
      <c r="ER116" s="38"/>
      <c r="ES116" s="38"/>
      <c r="ET116" s="38"/>
      <c r="EU116" s="38"/>
      <c r="EV116" s="38"/>
      <c r="EW116" s="38"/>
      <c r="EX116" s="38"/>
      <c r="EY116" s="38"/>
      <c r="EZ116" s="38"/>
      <c r="FA116" s="38"/>
      <c r="FB116" s="38"/>
      <c r="FC116" s="38"/>
      <c r="FD116" s="38"/>
      <c r="FE116" s="38"/>
      <c r="FF116" s="38"/>
      <c r="FG116" s="38"/>
      <c r="FH116" s="38"/>
      <c r="FI116" s="38"/>
      <c r="FJ116" s="38"/>
      <c r="FK116" s="38"/>
      <c r="FL116" s="38"/>
      <c r="FM116" s="38"/>
      <c r="FN116" s="38"/>
      <c r="FO116" s="38"/>
      <c r="FP116" s="38"/>
      <c r="FQ116" s="38"/>
      <c r="FR116" s="38"/>
      <c r="FS116" s="38"/>
      <c r="FT116" s="38"/>
      <c r="FU116" s="38"/>
      <c r="FV116" s="38"/>
      <c r="FW116" s="38"/>
      <c r="FX116" s="38"/>
      <c r="FY116" s="38"/>
      <c r="FZ116" s="38"/>
      <c r="GA116" s="38"/>
      <c r="GB116" s="38"/>
      <c r="GC116" s="38"/>
      <c r="GD116" s="38"/>
      <c r="GE116" s="38"/>
      <c r="GF116" s="38"/>
      <c r="GG116" s="38"/>
      <c r="GH116" s="38"/>
      <c r="GI116" s="38"/>
      <c r="GJ116" s="38"/>
      <c r="GK116" s="38"/>
      <c r="GL116" s="38"/>
      <c r="GM116" s="38"/>
      <c r="GN116" s="38"/>
      <c r="GO116" s="38"/>
      <c r="GP116" s="38"/>
      <c r="GQ116" s="38"/>
      <c r="GR116" s="38"/>
      <c r="GS116" s="38"/>
      <c r="GT116" s="38"/>
      <c r="GU116" s="38"/>
      <c r="GV116" s="38"/>
      <c r="GW116" s="38"/>
      <c r="GX116" s="38"/>
      <c r="GY116" s="38"/>
      <c r="GZ116" s="38"/>
      <c r="HA116" s="38"/>
      <c r="HB116" s="38"/>
      <c r="HC116" s="38"/>
      <c r="HD116" s="38"/>
      <c r="HE116" s="38"/>
      <c r="HF116" s="38"/>
      <c r="HG116" s="38"/>
      <c r="HH116" s="38"/>
      <c r="HI116" s="38"/>
      <c r="HJ116" s="38"/>
      <c r="HK116" s="38"/>
      <c r="HL116" s="38"/>
      <c r="HM116" s="38"/>
      <c r="HN116" s="38"/>
      <c r="HO116" s="38"/>
      <c r="HP116" s="38"/>
      <c r="HQ116" s="38"/>
      <c r="HR116" s="38"/>
      <c r="HS116" s="38"/>
      <c r="HT116" s="38"/>
      <c r="HU116" s="38"/>
      <c r="HV116" s="38"/>
      <c r="HW116" s="38"/>
      <c r="HX116" s="38"/>
      <c r="HY116" s="38"/>
      <c r="HZ116" s="38"/>
      <c r="IA116" s="38"/>
      <c r="IB116" s="38"/>
      <c r="IC116" s="38"/>
      <c r="ID116" s="38"/>
      <c r="IE116" s="38"/>
      <c r="IF116" s="38"/>
      <c r="IG116" s="38"/>
      <c r="IH116" s="38"/>
      <c r="II116" s="38"/>
      <c r="IJ116" s="38"/>
      <c r="IK116" s="38"/>
      <c r="IL116" s="38"/>
      <c r="IM116" s="38"/>
      <c r="IN116" s="38"/>
      <c r="IO116" s="38"/>
      <c r="IP116" s="38"/>
      <c r="IQ116" s="38"/>
      <c r="IR116" s="38"/>
      <c r="IS116" s="38"/>
      <c r="IT116" s="38"/>
      <c r="IU116" s="38"/>
      <c r="IV116" s="38"/>
      <c r="IW116" s="38"/>
      <c r="IX116" s="38"/>
      <c r="IY116" s="38"/>
      <c r="IZ116" s="38"/>
      <c r="JA116" s="38"/>
      <c r="JB116" s="38"/>
      <c r="JC116" s="38"/>
      <c r="JD116" s="38"/>
      <c r="JE116" s="38"/>
      <c r="JF116" s="38"/>
      <c r="JG116" s="38"/>
      <c r="JH116" s="38"/>
      <c r="JI116" s="38"/>
      <c r="JJ116" s="38"/>
      <c r="JK116" s="38"/>
      <c r="JL116" s="38"/>
      <c r="JM116" s="38"/>
      <c r="JN116" s="38"/>
      <c r="JO116" s="38"/>
      <c r="JP116" s="38"/>
      <c r="JQ116" s="38"/>
      <c r="JR116" s="38"/>
      <c r="JS116" s="38"/>
      <c r="JT116" s="38"/>
      <c r="JU116" s="38"/>
      <c r="JV116" s="38"/>
      <c r="JW116" s="38"/>
      <c r="JX116" s="38"/>
      <c r="JY116" s="38"/>
      <c r="JZ116" s="38"/>
      <c r="KA116" s="38"/>
      <c r="KB116" s="38"/>
      <c r="KC116" s="38"/>
      <c r="KD116" s="38"/>
      <c r="KE116" s="38"/>
      <c r="KF116" s="38"/>
      <c r="KG116" s="38"/>
      <c r="KH116" s="38"/>
      <c r="KI116" s="38"/>
      <c r="KJ116" s="38"/>
      <c r="KK116" s="38"/>
      <c r="KL116" s="38"/>
      <c r="KM116" s="38"/>
      <c r="KN116" s="38"/>
      <c r="KO116" s="38"/>
      <c r="KP116" s="38"/>
      <c r="KQ116" s="38"/>
      <c r="KR116" s="38"/>
      <c r="KS116" s="38"/>
      <c r="KT116" s="38"/>
      <c r="KU116" s="38"/>
      <c r="KV116" s="38"/>
      <c r="KW116" s="38"/>
      <c r="KX116" s="38"/>
      <c r="KY116" s="38"/>
      <c r="KZ116" s="38"/>
      <c r="LA116" s="38"/>
      <c r="LB116" s="38"/>
      <c r="LC116" s="38"/>
      <c r="LD116" s="38"/>
      <c r="LE116" s="38"/>
      <c r="LF116" s="38"/>
      <c r="LG116" s="38"/>
      <c r="LH116" s="38"/>
      <c r="LI116" s="38"/>
      <c r="LJ116" s="38"/>
      <c r="LK116" s="38"/>
      <c r="LL116" s="38"/>
      <c r="LM116" s="38"/>
      <c r="LN116" s="38"/>
      <c r="LO116" s="38"/>
      <c r="LP116" s="38"/>
      <c r="LQ116" s="38"/>
      <c r="LR116" s="38"/>
      <c r="LS116" s="38"/>
      <c r="LT116" s="38"/>
      <c r="LU116" s="38"/>
      <c r="LV116" s="38"/>
      <c r="LW116" s="38"/>
      <c r="LX116" s="38"/>
      <c r="LY116" s="38"/>
      <c r="LZ116" s="38"/>
      <c r="MA116" s="38"/>
      <c r="MB116" s="38"/>
      <c r="MC116" s="38"/>
      <c r="MD116" s="38"/>
      <c r="ME116" s="38"/>
      <c r="MF116" s="38"/>
      <c r="MG116" s="38"/>
      <c r="MH116" s="38"/>
      <c r="MI116" s="38"/>
      <c r="MJ116" s="38"/>
      <c r="MK116" s="38"/>
      <c r="ML116" s="38"/>
      <c r="MM116" s="38"/>
      <c r="MN116" s="38"/>
      <c r="MO116" s="38"/>
      <c r="MP116" s="38"/>
      <c r="MQ116" s="38"/>
      <c r="MR116" s="38"/>
      <c r="MS116" s="38"/>
      <c r="MT116" s="38"/>
      <c r="MU116" s="38"/>
      <c r="MV116" s="38"/>
      <c r="MW116" s="38"/>
      <c r="MX116" s="38"/>
      <c r="MY116" s="38"/>
      <c r="MZ116" s="38"/>
      <c r="NA116" s="38"/>
      <c r="NB116" s="38"/>
      <c r="NC116" s="38"/>
      <c r="ND116" s="38"/>
      <c r="NE116" s="38"/>
      <c r="NF116" s="38"/>
      <c r="NG116" s="38"/>
      <c r="NH116" s="38"/>
      <c r="NI116" s="38"/>
      <c r="NJ116" s="38"/>
      <c r="NK116" s="38"/>
      <c r="NL116" s="38"/>
      <c r="NM116" s="38"/>
      <c r="NN116" s="38"/>
      <c r="NO116" s="38"/>
      <c r="NP116" s="38"/>
      <c r="NQ116" s="38"/>
      <c r="NR116" s="38"/>
      <c r="NS116" s="38"/>
      <c r="NT116" s="38"/>
      <c r="NU116" s="38"/>
      <c r="NV116" s="38"/>
      <c r="NW116" s="38"/>
      <c r="NX116" s="38"/>
      <c r="NY116" s="38"/>
      <c r="NZ116" s="38"/>
      <c r="OA116" s="38"/>
      <c r="OB116" s="38"/>
      <c r="OC116" s="38"/>
      <c r="OD116" s="38"/>
      <c r="OE116" s="38"/>
      <c r="OF116" s="38"/>
      <c r="OG116" s="38"/>
      <c r="OH116" s="38"/>
      <c r="OI116" s="38"/>
      <c r="OJ116" s="38"/>
      <c r="OK116" s="38"/>
      <c r="OL116" s="38"/>
      <c r="OM116" s="38"/>
      <c r="ON116" s="38"/>
      <c r="OO116" s="38"/>
      <c r="OP116" s="38"/>
      <c r="OQ116" s="38"/>
      <c r="OR116" s="38"/>
      <c r="OS116" s="38"/>
      <c r="OT116" s="38"/>
      <c r="OU116" s="38"/>
      <c r="OV116" s="38"/>
      <c r="OW116" s="38"/>
      <c r="OX116" s="38"/>
      <c r="OY116" s="38"/>
      <c r="OZ116" s="38"/>
      <c r="PA116" s="38"/>
      <c r="PB116" s="38"/>
      <c r="PC116" s="38"/>
      <c r="PD116" s="38"/>
      <c r="PE116" s="38"/>
      <c r="PF116" s="38"/>
      <c r="PG116" s="38"/>
      <c r="PH116" s="38"/>
      <c r="PI116" s="38"/>
      <c r="PJ116" s="38"/>
      <c r="PK116" s="38"/>
      <c r="PL116" s="38"/>
      <c r="PM116" s="38"/>
      <c r="PN116" s="38"/>
      <c r="PO116" s="38"/>
      <c r="PP116" s="38"/>
      <c r="PQ116" s="38"/>
      <c r="PR116" s="38"/>
      <c r="PS116" s="38"/>
      <c r="PT116" s="38"/>
      <c r="PU116" s="38"/>
      <c r="PV116" s="38"/>
      <c r="PW116" s="38"/>
      <c r="PX116" s="38"/>
      <c r="PY116" s="38"/>
      <c r="PZ116" s="38"/>
      <c r="QA116" s="38"/>
      <c r="QB116" s="38"/>
      <c r="QC116" s="38"/>
      <c r="QD116" s="38"/>
      <c r="QE116" s="38"/>
      <c r="QF116" s="38"/>
      <c r="QG116" s="38"/>
      <c r="QH116" s="38"/>
      <c r="QI116" s="38"/>
      <c r="QJ116" s="38"/>
      <c r="QK116" s="38"/>
      <c r="QL116" s="38"/>
      <c r="QM116" s="38"/>
      <c r="QN116" s="38"/>
      <c r="QO116" s="38"/>
      <c r="QP116" s="38"/>
      <c r="QQ116" s="38"/>
      <c r="QR116" s="38"/>
      <c r="QS116" s="38"/>
      <c r="QT116" s="38"/>
      <c r="QU116" s="38"/>
      <c r="QV116" s="38"/>
      <c r="QW116" s="38"/>
      <c r="QX116" s="38"/>
      <c r="QY116" s="38"/>
      <c r="QZ116" s="38"/>
      <c r="RA116" s="38"/>
      <c r="RB116" s="38"/>
      <c r="RC116" s="38"/>
      <c r="RD116" s="38"/>
      <c r="RE116" s="38"/>
      <c r="RF116" s="38"/>
      <c r="RG116" s="38"/>
      <c r="RH116" s="38"/>
      <c r="RI116" s="38"/>
      <c r="RJ116" s="38"/>
      <c r="RK116" s="38"/>
      <c r="RL116" s="38"/>
      <c r="RM116" s="38"/>
      <c r="RN116" s="38"/>
      <c r="RO116" s="38"/>
      <c r="RP116" s="38"/>
      <c r="RQ116" s="38"/>
      <c r="RR116" s="38"/>
      <c r="RS116" s="38"/>
      <c r="RT116" s="38"/>
      <c r="RU116" s="38"/>
      <c r="RV116" s="38"/>
      <c r="RW116" s="38"/>
      <c r="RX116" s="38"/>
      <c r="RY116" s="38"/>
      <c r="RZ116" s="38"/>
      <c r="SA116" s="38"/>
      <c r="SB116" s="38"/>
      <c r="SC116" s="38"/>
      <c r="SD116" s="38"/>
      <c r="SE116" s="38"/>
      <c r="SF116" s="38"/>
      <c r="SG116" s="38"/>
      <c r="SH116" s="38"/>
      <c r="SI116" s="38"/>
      <c r="SJ116" s="38"/>
      <c r="SK116" s="38"/>
      <c r="SL116" s="38"/>
      <c r="SM116" s="38"/>
      <c r="SN116" s="38"/>
      <c r="SO116" s="38"/>
      <c r="SP116" s="38"/>
      <c r="SQ116" s="38"/>
      <c r="SR116" s="38"/>
      <c r="SS116" s="38"/>
      <c r="ST116" s="38"/>
      <c r="SU116" s="38"/>
      <c r="SV116" s="38"/>
      <c r="SW116" s="38"/>
      <c r="SX116" s="38"/>
      <c r="SY116" s="38"/>
      <c r="SZ116" s="38"/>
      <c r="TA116" s="38"/>
      <c r="TB116" s="38"/>
      <c r="TC116" s="38"/>
      <c r="TD116" s="38"/>
      <c r="TE116" s="38"/>
      <c r="TF116" s="38"/>
      <c r="TG116" s="38"/>
      <c r="TH116" s="38"/>
      <c r="TI116" s="38"/>
      <c r="TJ116" s="38"/>
      <c r="TK116" s="38"/>
      <c r="TL116" s="38"/>
      <c r="TM116" s="38"/>
    </row>
    <row r="117" spans="1:533" s="39" customFormat="1" ht="18.75" x14ac:dyDescent="0.25">
      <c r="B117" s="50" t="s">
        <v>230</v>
      </c>
      <c r="C117" s="41" t="s">
        <v>234</v>
      </c>
      <c r="D117" s="56" t="s">
        <v>235</v>
      </c>
      <c r="E117" s="43" t="s">
        <v>225</v>
      </c>
      <c r="F117" s="53">
        <v>349</v>
      </c>
      <c r="G117" s="45"/>
      <c r="H117" s="46"/>
      <c r="I117" s="47">
        <f t="shared" si="21"/>
        <v>0</v>
      </c>
      <c r="J117" s="48">
        <v>2048</v>
      </c>
      <c r="K117" s="47" t="s">
        <v>30</v>
      </c>
      <c r="L117" s="49"/>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c r="CO117" s="38"/>
      <c r="CP117" s="38"/>
      <c r="CQ117" s="38"/>
      <c r="CR117" s="38"/>
      <c r="CS117" s="38"/>
      <c r="CT117" s="38"/>
      <c r="CU117" s="38"/>
      <c r="CV117" s="38"/>
      <c r="CW117" s="38"/>
      <c r="CX117" s="38"/>
      <c r="CY117" s="38"/>
      <c r="CZ117" s="38"/>
      <c r="DA117" s="38"/>
      <c r="DB117" s="38"/>
      <c r="DC117" s="38"/>
      <c r="DD117" s="38"/>
      <c r="DE117" s="38"/>
      <c r="DF117" s="38"/>
      <c r="DG117" s="38"/>
      <c r="DH117" s="38"/>
      <c r="DI117" s="38"/>
      <c r="DJ117" s="38"/>
      <c r="DK117" s="38"/>
      <c r="DL117" s="38"/>
      <c r="DM117" s="38"/>
      <c r="DN117" s="38"/>
      <c r="DO117" s="38"/>
      <c r="DP117" s="38"/>
      <c r="DQ117" s="38"/>
      <c r="DR117" s="38"/>
      <c r="DS117" s="38"/>
      <c r="DT117" s="38"/>
      <c r="DU117" s="38"/>
      <c r="DV117" s="38"/>
      <c r="DW117" s="38"/>
      <c r="DX117" s="38"/>
      <c r="DY117" s="38"/>
      <c r="DZ117" s="38"/>
      <c r="EA117" s="38"/>
      <c r="EB117" s="38"/>
      <c r="EC117" s="38"/>
      <c r="ED117" s="38"/>
      <c r="EE117" s="38"/>
      <c r="EF117" s="38"/>
      <c r="EG117" s="38"/>
      <c r="EH117" s="38"/>
      <c r="EI117" s="38"/>
      <c r="EJ117" s="38"/>
      <c r="EK117" s="38"/>
      <c r="EL117" s="38"/>
      <c r="EM117" s="38"/>
      <c r="EN117" s="38"/>
      <c r="EO117" s="38"/>
      <c r="EP117" s="38"/>
      <c r="EQ117" s="38"/>
      <c r="ER117" s="38"/>
      <c r="ES117" s="38"/>
      <c r="ET117" s="38"/>
      <c r="EU117" s="38"/>
      <c r="EV117" s="38"/>
      <c r="EW117" s="38"/>
      <c r="EX117" s="38"/>
      <c r="EY117" s="38"/>
      <c r="EZ117" s="38"/>
      <c r="FA117" s="38"/>
      <c r="FB117" s="38"/>
      <c r="FC117" s="38"/>
      <c r="FD117" s="38"/>
      <c r="FE117" s="38"/>
      <c r="FF117" s="38"/>
      <c r="FG117" s="38"/>
      <c r="FH117" s="38"/>
      <c r="FI117" s="38"/>
      <c r="FJ117" s="38"/>
      <c r="FK117" s="38"/>
      <c r="FL117" s="38"/>
      <c r="FM117" s="38"/>
      <c r="FN117" s="38"/>
      <c r="FO117" s="38"/>
      <c r="FP117" s="38"/>
      <c r="FQ117" s="38"/>
      <c r="FR117" s="38"/>
      <c r="FS117" s="38"/>
      <c r="FT117" s="38"/>
      <c r="FU117" s="38"/>
      <c r="FV117" s="38"/>
      <c r="FW117" s="38"/>
      <c r="FX117" s="38"/>
      <c r="FY117" s="38"/>
      <c r="FZ117" s="38"/>
      <c r="GA117" s="38"/>
      <c r="GB117" s="38"/>
      <c r="GC117" s="38"/>
      <c r="GD117" s="38"/>
      <c r="GE117" s="38"/>
      <c r="GF117" s="38"/>
      <c r="GG117" s="38"/>
      <c r="GH117" s="38"/>
      <c r="GI117" s="38"/>
      <c r="GJ117" s="38"/>
      <c r="GK117" s="38"/>
      <c r="GL117" s="38"/>
      <c r="GM117" s="38"/>
      <c r="GN117" s="38"/>
      <c r="GO117" s="38"/>
      <c r="GP117" s="38"/>
      <c r="GQ117" s="38"/>
      <c r="GR117" s="38"/>
      <c r="GS117" s="38"/>
      <c r="GT117" s="38"/>
      <c r="GU117" s="38"/>
      <c r="GV117" s="38"/>
      <c r="GW117" s="38"/>
      <c r="GX117" s="38"/>
      <c r="GY117" s="38"/>
      <c r="GZ117" s="38"/>
      <c r="HA117" s="38"/>
      <c r="HB117" s="38"/>
      <c r="HC117" s="38"/>
      <c r="HD117" s="38"/>
      <c r="HE117" s="38"/>
      <c r="HF117" s="38"/>
      <c r="HG117" s="38"/>
      <c r="HH117" s="38"/>
      <c r="HI117" s="38"/>
      <c r="HJ117" s="38"/>
      <c r="HK117" s="38"/>
      <c r="HL117" s="38"/>
      <c r="HM117" s="38"/>
      <c r="HN117" s="38"/>
      <c r="HO117" s="38"/>
      <c r="HP117" s="38"/>
      <c r="HQ117" s="38"/>
      <c r="HR117" s="38"/>
      <c r="HS117" s="38"/>
      <c r="HT117" s="38"/>
      <c r="HU117" s="38"/>
      <c r="HV117" s="38"/>
      <c r="HW117" s="38"/>
      <c r="HX117" s="38"/>
      <c r="HY117" s="38"/>
      <c r="HZ117" s="38"/>
      <c r="IA117" s="38"/>
      <c r="IB117" s="38"/>
      <c r="IC117" s="38"/>
      <c r="ID117" s="38"/>
      <c r="IE117" s="38"/>
      <c r="IF117" s="38"/>
      <c r="IG117" s="38"/>
      <c r="IH117" s="38"/>
      <c r="II117" s="38"/>
      <c r="IJ117" s="38"/>
      <c r="IK117" s="38"/>
      <c r="IL117" s="38"/>
      <c r="IM117" s="38"/>
      <c r="IN117" s="38"/>
      <c r="IO117" s="38"/>
      <c r="IP117" s="38"/>
      <c r="IQ117" s="38"/>
      <c r="IR117" s="38"/>
      <c r="IS117" s="38"/>
      <c r="IT117" s="38"/>
      <c r="IU117" s="38"/>
      <c r="IV117" s="38"/>
      <c r="IW117" s="38"/>
      <c r="IX117" s="38"/>
      <c r="IY117" s="38"/>
      <c r="IZ117" s="38"/>
      <c r="JA117" s="38"/>
      <c r="JB117" s="38"/>
      <c r="JC117" s="38"/>
      <c r="JD117" s="38"/>
      <c r="JE117" s="38"/>
      <c r="JF117" s="38"/>
      <c r="JG117" s="38"/>
      <c r="JH117" s="38"/>
      <c r="JI117" s="38"/>
      <c r="JJ117" s="38"/>
      <c r="JK117" s="38"/>
      <c r="JL117" s="38"/>
      <c r="JM117" s="38"/>
      <c r="JN117" s="38"/>
      <c r="JO117" s="38"/>
      <c r="JP117" s="38"/>
      <c r="JQ117" s="38"/>
      <c r="JR117" s="38"/>
      <c r="JS117" s="38"/>
      <c r="JT117" s="38"/>
      <c r="JU117" s="38"/>
      <c r="JV117" s="38"/>
      <c r="JW117" s="38"/>
      <c r="JX117" s="38"/>
      <c r="JY117" s="38"/>
      <c r="JZ117" s="38"/>
      <c r="KA117" s="38"/>
      <c r="KB117" s="38"/>
      <c r="KC117" s="38"/>
      <c r="KD117" s="38"/>
      <c r="KE117" s="38"/>
      <c r="KF117" s="38"/>
      <c r="KG117" s="38"/>
      <c r="KH117" s="38"/>
      <c r="KI117" s="38"/>
      <c r="KJ117" s="38"/>
      <c r="KK117" s="38"/>
      <c r="KL117" s="38"/>
      <c r="KM117" s="38"/>
      <c r="KN117" s="38"/>
      <c r="KO117" s="38"/>
      <c r="KP117" s="38"/>
      <c r="KQ117" s="38"/>
      <c r="KR117" s="38"/>
      <c r="KS117" s="38"/>
      <c r="KT117" s="38"/>
      <c r="KU117" s="38"/>
      <c r="KV117" s="38"/>
      <c r="KW117" s="38"/>
      <c r="KX117" s="38"/>
      <c r="KY117" s="38"/>
      <c r="KZ117" s="38"/>
      <c r="LA117" s="38"/>
      <c r="LB117" s="38"/>
      <c r="LC117" s="38"/>
      <c r="LD117" s="38"/>
      <c r="LE117" s="38"/>
      <c r="LF117" s="38"/>
      <c r="LG117" s="38"/>
      <c r="LH117" s="38"/>
      <c r="LI117" s="38"/>
      <c r="LJ117" s="38"/>
      <c r="LK117" s="38"/>
      <c r="LL117" s="38"/>
      <c r="LM117" s="38"/>
      <c r="LN117" s="38"/>
      <c r="LO117" s="38"/>
      <c r="LP117" s="38"/>
      <c r="LQ117" s="38"/>
      <c r="LR117" s="38"/>
      <c r="LS117" s="38"/>
      <c r="LT117" s="38"/>
      <c r="LU117" s="38"/>
      <c r="LV117" s="38"/>
      <c r="LW117" s="38"/>
      <c r="LX117" s="38"/>
      <c r="LY117" s="38"/>
      <c r="LZ117" s="38"/>
      <c r="MA117" s="38"/>
      <c r="MB117" s="38"/>
      <c r="MC117" s="38"/>
      <c r="MD117" s="38"/>
      <c r="ME117" s="38"/>
      <c r="MF117" s="38"/>
      <c r="MG117" s="38"/>
      <c r="MH117" s="38"/>
      <c r="MI117" s="38"/>
      <c r="MJ117" s="38"/>
      <c r="MK117" s="38"/>
      <c r="ML117" s="38"/>
      <c r="MM117" s="38"/>
      <c r="MN117" s="38"/>
      <c r="MO117" s="38"/>
      <c r="MP117" s="38"/>
      <c r="MQ117" s="38"/>
      <c r="MR117" s="38"/>
      <c r="MS117" s="38"/>
      <c r="MT117" s="38"/>
      <c r="MU117" s="38"/>
      <c r="MV117" s="38"/>
      <c r="MW117" s="38"/>
      <c r="MX117" s="38"/>
      <c r="MY117" s="38"/>
      <c r="MZ117" s="38"/>
      <c r="NA117" s="38"/>
      <c r="NB117" s="38"/>
      <c r="NC117" s="38"/>
      <c r="ND117" s="38"/>
      <c r="NE117" s="38"/>
      <c r="NF117" s="38"/>
      <c r="NG117" s="38"/>
      <c r="NH117" s="38"/>
      <c r="NI117" s="38"/>
      <c r="NJ117" s="38"/>
      <c r="NK117" s="38"/>
      <c r="NL117" s="38"/>
      <c r="NM117" s="38"/>
      <c r="NN117" s="38"/>
      <c r="NO117" s="38"/>
      <c r="NP117" s="38"/>
      <c r="NQ117" s="38"/>
      <c r="NR117" s="38"/>
      <c r="NS117" s="38"/>
      <c r="NT117" s="38"/>
      <c r="NU117" s="38"/>
      <c r="NV117" s="38"/>
      <c r="NW117" s="38"/>
      <c r="NX117" s="38"/>
      <c r="NY117" s="38"/>
      <c r="NZ117" s="38"/>
      <c r="OA117" s="38"/>
      <c r="OB117" s="38"/>
      <c r="OC117" s="38"/>
      <c r="OD117" s="38"/>
      <c r="OE117" s="38"/>
      <c r="OF117" s="38"/>
      <c r="OG117" s="38"/>
      <c r="OH117" s="38"/>
      <c r="OI117" s="38"/>
      <c r="OJ117" s="38"/>
      <c r="OK117" s="38"/>
      <c r="OL117" s="38"/>
      <c r="OM117" s="38"/>
      <c r="ON117" s="38"/>
      <c r="OO117" s="38"/>
      <c r="OP117" s="38"/>
      <c r="OQ117" s="38"/>
      <c r="OR117" s="38"/>
      <c r="OS117" s="38"/>
      <c r="OT117" s="38"/>
      <c r="OU117" s="38"/>
      <c r="OV117" s="38"/>
      <c r="OW117" s="38"/>
      <c r="OX117" s="38"/>
      <c r="OY117" s="38"/>
      <c r="OZ117" s="38"/>
      <c r="PA117" s="38"/>
      <c r="PB117" s="38"/>
      <c r="PC117" s="38"/>
      <c r="PD117" s="38"/>
      <c r="PE117" s="38"/>
      <c r="PF117" s="38"/>
      <c r="PG117" s="38"/>
      <c r="PH117" s="38"/>
      <c r="PI117" s="38"/>
      <c r="PJ117" s="38"/>
      <c r="PK117" s="38"/>
      <c r="PL117" s="38"/>
      <c r="PM117" s="38"/>
      <c r="PN117" s="38"/>
      <c r="PO117" s="38"/>
      <c r="PP117" s="38"/>
      <c r="PQ117" s="38"/>
      <c r="PR117" s="38"/>
      <c r="PS117" s="38"/>
      <c r="PT117" s="38"/>
      <c r="PU117" s="38"/>
      <c r="PV117" s="38"/>
      <c r="PW117" s="38"/>
      <c r="PX117" s="38"/>
      <c r="PY117" s="38"/>
      <c r="PZ117" s="38"/>
      <c r="QA117" s="38"/>
      <c r="QB117" s="38"/>
      <c r="QC117" s="38"/>
      <c r="QD117" s="38"/>
      <c r="QE117" s="38"/>
      <c r="QF117" s="38"/>
      <c r="QG117" s="38"/>
      <c r="QH117" s="38"/>
      <c r="QI117" s="38"/>
      <c r="QJ117" s="38"/>
      <c r="QK117" s="38"/>
      <c r="QL117" s="38"/>
      <c r="QM117" s="38"/>
      <c r="QN117" s="38"/>
      <c r="QO117" s="38"/>
      <c r="QP117" s="38"/>
      <c r="QQ117" s="38"/>
      <c r="QR117" s="38"/>
      <c r="QS117" s="38"/>
      <c r="QT117" s="38"/>
      <c r="QU117" s="38"/>
      <c r="QV117" s="38"/>
      <c r="QW117" s="38"/>
      <c r="QX117" s="38"/>
      <c r="QY117" s="38"/>
      <c r="QZ117" s="38"/>
      <c r="RA117" s="38"/>
      <c r="RB117" s="38"/>
      <c r="RC117" s="38"/>
      <c r="RD117" s="38"/>
      <c r="RE117" s="38"/>
      <c r="RF117" s="38"/>
      <c r="RG117" s="38"/>
      <c r="RH117" s="38"/>
      <c r="RI117" s="38"/>
      <c r="RJ117" s="38"/>
      <c r="RK117" s="38"/>
      <c r="RL117" s="38"/>
      <c r="RM117" s="38"/>
      <c r="RN117" s="38"/>
      <c r="RO117" s="38"/>
      <c r="RP117" s="38"/>
      <c r="RQ117" s="38"/>
      <c r="RR117" s="38"/>
      <c r="RS117" s="38"/>
      <c r="RT117" s="38"/>
      <c r="RU117" s="38"/>
      <c r="RV117" s="38"/>
      <c r="RW117" s="38"/>
      <c r="RX117" s="38"/>
      <c r="RY117" s="38"/>
      <c r="RZ117" s="38"/>
      <c r="SA117" s="38"/>
      <c r="SB117" s="38"/>
      <c r="SC117" s="38"/>
      <c r="SD117" s="38"/>
      <c r="SE117" s="38"/>
      <c r="SF117" s="38"/>
      <c r="SG117" s="38"/>
      <c r="SH117" s="38"/>
      <c r="SI117" s="38"/>
      <c r="SJ117" s="38"/>
      <c r="SK117" s="38"/>
      <c r="SL117" s="38"/>
      <c r="SM117" s="38"/>
      <c r="SN117" s="38"/>
      <c r="SO117" s="38"/>
      <c r="SP117" s="38"/>
      <c r="SQ117" s="38"/>
      <c r="SR117" s="38"/>
      <c r="SS117" s="38"/>
      <c r="ST117" s="38"/>
      <c r="SU117" s="38"/>
      <c r="SV117" s="38"/>
      <c r="SW117" s="38"/>
      <c r="SX117" s="38"/>
      <c r="SY117" s="38"/>
      <c r="SZ117" s="38"/>
      <c r="TA117" s="38"/>
      <c r="TB117" s="38"/>
      <c r="TC117" s="38"/>
      <c r="TD117" s="38"/>
      <c r="TE117" s="38"/>
      <c r="TF117" s="38"/>
      <c r="TG117" s="38"/>
      <c r="TH117" s="38"/>
      <c r="TI117" s="38"/>
      <c r="TJ117" s="38"/>
      <c r="TK117" s="38"/>
      <c r="TL117" s="38"/>
      <c r="TM117" s="38"/>
    </row>
    <row r="118" spans="1:533" s="83" customFormat="1" ht="93.75" x14ac:dyDescent="0.25">
      <c r="A118" s="39"/>
      <c r="B118" s="50" t="s">
        <v>230</v>
      </c>
      <c r="C118" s="41"/>
      <c r="D118" s="57" t="s">
        <v>236</v>
      </c>
      <c r="E118" s="86"/>
      <c r="F118" s="53"/>
      <c r="G118" s="54"/>
      <c r="H118" s="46"/>
      <c r="I118" s="47"/>
      <c r="J118" s="48"/>
      <c r="K118" s="47"/>
      <c r="L118" s="49"/>
      <c r="M118" s="82"/>
      <c r="N118" s="82"/>
      <c r="O118" s="82"/>
      <c r="P118" s="82"/>
      <c r="Q118" s="82"/>
      <c r="R118" s="82"/>
      <c r="S118" s="82"/>
      <c r="T118" s="82"/>
      <c r="U118" s="82"/>
      <c r="V118" s="82"/>
      <c r="W118" s="82"/>
      <c r="X118" s="82"/>
      <c r="Y118" s="82"/>
      <c r="Z118" s="82"/>
      <c r="AA118" s="82"/>
      <c r="AB118" s="82"/>
      <c r="AC118" s="82"/>
      <c r="AD118" s="82"/>
      <c r="AE118" s="82"/>
      <c r="AF118" s="82"/>
      <c r="AG118" s="82"/>
      <c r="AH118" s="82"/>
      <c r="AI118" s="82"/>
      <c r="AJ118" s="82"/>
      <c r="AK118" s="82"/>
      <c r="AL118" s="82"/>
      <c r="AM118" s="82"/>
      <c r="AN118" s="82"/>
      <c r="AO118" s="82"/>
      <c r="AP118" s="82"/>
      <c r="AQ118" s="82"/>
      <c r="AR118" s="82"/>
      <c r="AS118" s="82"/>
      <c r="AT118" s="82"/>
      <c r="AU118" s="82"/>
      <c r="AV118" s="82"/>
      <c r="AW118" s="82"/>
      <c r="AX118" s="82"/>
      <c r="AY118" s="82"/>
      <c r="AZ118" s="82"/>
      <c r="BA118" s="82"/>
      <c r="BB118" s="82"/>
      <c r="BC118" s="82"/>
      <c r="BD118" s="82"/>
      <c r="BE118" s="82"/>
      <c r="BF118" s="82"/>
      <c r="BG118" s="82"/>
      <c r="BH118" s="82"/>
      <c r="BI118" s="82"/>
      <c r="BJ118" s="82"/>
      <c r="BK118" s="82"/>
      <c r="BL118" s="82"/>
      <c r="BM118" s="82"/>
      <c r="BN118" s="82"/>
      <c r="BO118" s="82"/>
      <c r="BP118" s="82"/>
      <c r="BQ118" s="82"/>
      <c r="BR118" s="82"/>
      <c r="BS118" s="82"/>
      <c r="BT118" s="82"/>
      <c r="BU118" s="82"/>
      <c r="BV118" s="82"/>
      <c r="BW118" s="82"/>
      <c r="BX118" s="82"/>
      <c r="BY118" s="82"/>
      <c r="BZ118" s="82"/>
      <c r="CA118" s="82"/>
      <c r="CB118" s="82"/>
      <c r="CC118" s="82"/>
      <c r="CD118" s="82"/>
      <c r="CE118" s="82"/>
      <c r="CF118" s="82"/>
      <c r="CG118" s="82"/>
      <c r="CH118" s="82"/>
      <c r="CI118" s="82"/>
      <c r="CJ118" s="82"/>
      <c r="CK118" s="82"/>
      <c r="CL118" s="82"/>
      <c r="CM118" s="82"/>
      <c r="CN118" s="82"/>
      <c r="CO118" s="82"/>
      <c r="CP118" s="82"/>
      <c r="CQ118" s="82"/>
      <c r="CR118" s="82"/>
      <c r="CS118" s="82"/>
      <c r="CT118" s="82"/>
      <c r="CU118" s="82"/>
      <c r="CV118" s="82"/>
      <c r="CW118" s="82"/>
      <c r="CX118" s="82"/>
      <c r="CY118" s="82"/>
      <c r="CZ118" s="82"/>
      <c r="DA118" s="82"/>
      <c r="DB118" s="82"/>
      <c r="DC118" s="82"/>
      <c r="DD118" s="82"/>
      <c r="DE118" s="82"/>
      <c r="DF118" s="82"/>
      <c r="DG118" s="82"/>
      <c r="DH118" s="82"/>
      <c r="DI118" s="82"/>
      <c r="DJ118" s="82"/>
      <c r="DK118" s="82"/>
      <c r="DL118" s="82"/>
      <c r="DM118" s="82"/>
      <c r="DN118" s="82"/>
      <c r="DO118" s="82"/>
      <c r="DP118" s="82"/>
      <c r="DQ118" s="82"/>
      <c r="DR118" s="82"/>
      <c r="DS118" s="82"/>
      <c r="DT118" s="82"/>
      <c r="DU118" s="82"/>
      <c r="DV118" s="82"/>
      <c r="DW118" s="82"/>
      <c r="DX118" s="82"/>
      <c r="DY118" s="82"/>
      <c r="DZ118" s="82"/>
      <c r="EA118" s="82"/>
      <c r="EB118" s="82"/>
      <c r="EC118" s="82"/>
      <c r="ED118" s="82"/>
      <c r="EE118" s="82"/>
      <c r="EF118" s="82"/>
      <c r="EG118" s="82"/>
      <c r="EH118" s="82"/>
      <c r="EI118" s="82"/>
      <c r="EJ118" s="82"/>
      <c r="EK118" s="82"/>
      <c r="EL118" s="82"/>
      <c r="EM118" s="82"/>
      <c r="EN118" s="82"/>
      <c r="EO118" s="82"/>
      <c r="EP118" s="82"/>
      <c r="EQ118" s="82"/>
      <c r="ER118" s="82"/>
      <c r="ES118" s="82"/>
      <c r="ET118" s="82"/>
      <c r="EU118" s="82"/>
      <c r="EV118" s="82"/>
      <c r="EW118" s="82"/>
      <c r="EX118" s="82"/>
      <c r="EY118" s="82"/>
      <c r="EZ118" s="82"/>
      <c r="FA118" s="82"/>
      <c r="FB118" s="82"/>
      <c r="FC118" s="82"/>
      <c r="FD118" s="82"/>
      <c r="FE118" s="82"/>
      <c r="FF118" s="82"/>
      <c r="FG118" s="82"/>
      <c r="FH118" s="82"/>
      <c r="FI118" s="82"/>
      <c r="FJ118" s="82"/>
      <c r="FK118" s="82"/>
      <c r="FL118" s="82"/>
      <c r="FM118" s="82"/>
      <c r="FN118" s="82"/>
      <c r="FO118" s="82"/>
      <c r="FP118" s="82"/>
      <c r="FQ118" s="82"/>
      <c r="FR118" s="82"/>
      <c r="FS118" s="82"/>
      <c r="FT118" s="82"/>
      <c r="FU118" s="82"/>
      <c r="FV118" s="82"/>
      <c r="FW118" s="82"/>
      <c r="FX118" s="82"/>
      <c r="FY118" s="82"/>
      <c r="FZ118" s="82"/>
      <c r="GA118" s="82"/>
      <c r="GB118" s="82"/>
      <c r="GC118" s="82"/>
      <c r="GD118" s="82"/>
      <c r="GE118" s="82"/>
      <c r="GF118" s="82"/>
      <c r="GG118" s="82"/>
      <c r="GH118" s="82"/>
      <c r="GI118" s="82"/>
      <c r="GJ118" s="82"/>
      <c r="GK118" s="82"/>
      <c r="GL118" s="82"/>
      <c r="GM118" s="82"/>
      <c r="GN118" s="82"/>
      <c r="GO118" s="82"/>
      <c r="GP118" s="82"/>
      <c r="GQ118" s="82"/>
      <c r="GR118" s="82"/>
      <c r="GS118" s="82"/>
      <c r="GT118" s="82"/>
      <c r="GU118" s="82"/>
      <c r="GV118" s="82"/>
      <c r="GW118" s="82"/>
      <c r="GX118" s="82"/>
      <c r="GY118" s="82"/>
      <c r="GZ118" s="82"/>
      <c r="HA118" s="82"/>
      <c r="HB118" s="82"/>
      <c r="HC118" s="82"/>
      <c r="HD118" s="82"/>
      <c r="HE118" s="82"/>
      <c r="HF118" s="82"/>
      <c r="HG118" s="82"/>
      <c r="HH118" s="82"/>
      <c r="HI118" s="82"/>
      <c r="HJ118" s="82"/>
      <c r="HK118" s="82"/>
      <c r="HL118" s="82"/>
      <c r="HM118" s="82"/>
      <c r="HN118" s="82"/>
      <c r="HO118" s="82"/>
      <c r="HP118" s="82"/>
      <c r="HQ118" s="82"/>
      <c r="HR118" s="82"/>
      <c r="HS118" s="82"/>
      <c r="HT118" s="82"/>
      <c r="HU118" s="82"/>
      <c r="HV118" s="82"/>
      <c r="HW118" s="82"/>
      <c r="HX118" s="82"/>
      <c r="HY118" s="82"/>
      <c r="HZ118" s="82"/>
      <c r="IA118" s="82"/>
      <c r="IB118" s="82"/>
      <c r="IC118" s="82"/>
      <c r="ID118" s="82"/>
      <c r="IE118" s="82"/>
      <c r="IF118" s="82"/>
      <c r="IG118" s="82"/>
      <c r="IH118" s="82"/>
      <c r="II118" s="82"/>
      <c r="IJ118" s="82"/>
      <c r="IK118" s="82"/>
      <c r="IL118" s="82"/>
      <c r="IM118" s="82"/>
      <c r="IN118" s="82"/>
      <c r="IO118" s="82"/>
      <c r="IP118" s="82"/>
      <c r="IQ118" s="82"/>
      <c r="IR118" s="82"/>
      <c r="IS118" s="82"/>
      <c r="IT118" s="82"/>
      <c r="IU118" s="82"/>
      <c r="IV118" s="82"/>
      <c r="IW118" s="82"/>
      <c r="IX118" s="82"/>
      <c r="IY118" s="82"/>
      <c r="IZ118" s="82"/>
      <c r="JA118" s="82"/>
      <c r="JB118" s="82"/>
      <c r="JC118" s="82"/>
      <c r="JD118" s="82"/>
      <c r="JE118" s="82"/>
      <c r="JF118" s="82"/>
      <c r="JG118" s="82"/>
      <c r="JH118" s="82"/>
      <c r="JI118" s="82"/>
      <c r="JJ118" s="82"/>
      <c r="JK118" s="82"/>
      <c r="JL118" s="82"/>
      <c r="JM118" s="82"/>
      <c r="JN118" s="82"/>
      <c r="JO118" s="82"/>
      <c r="JP118" s="82"/>
      <c r="JQ118" s="82"/>
      <c r="JR118" s="82"/>
      <c r="JS118" s="82"/>
      <c r="JT118" s="82"/>
      <c r="JU118" s="82"/>
      <c r="JV118" s="82"/>
      <c r="JW118" s="82"/>
      <c r="JX118" s="82"/>
      <c r="JY118" s="82"/>
      <c r="JZ118" s="82"/>
      <c r="KA118" s="82"/>
      <c r="KB118" s="82"/>
      <c r="KC118" s="82"/>
      <c r="KD118" s="82"/>
      <c r="KE118" s="82"/>
      <c r="KF118" s="82"/>
      <c r="KG118" s="82"/>
      <c r="KH118" s="82"/>
      <c r="KI118" s="82"/>
      <c r="KJ118" s="82"/>
      <c r="KK118" s="82"/>
      <c r="KL118" s="82"/>
      <c r="KM118" s="82"/>
      <c r="KN118" s="82"/>
      <c r="KO118" s="82"/>
      <c r="KP118" s="82"/>
      <c r="KQ118" s="82"/>
      <c r="KR118" s="82"/>
      <c r="KS118" s="82"/>
      <c r="KT118" s="82"/>
      <c r="KU118" s="82"/>
      <c r="KV118" s="82"/>
      <c r="KW118" s="82"/>
      <c r="KX118" s="82"/>
      <c r="KY118" s="82"/>
      <c r="KZ118" s="82"/>
      <c r="LA118" s="82"/>
      <c r="LB118" s="82"/>
      <c r="LC118" s="82"/>
      <c r="LD118" s="82"/>
      <c r="LE118" s="82"/>
      <c r="LF118" s="82"/>
      <c r="LG118" s="82"/>
      <c r="LH118" s="82"/>
      <c r="LI118" s="82"/>
      <c r="LJ118" s="82"/>
      <c r="LK118" s="82"/>
      <c r="LL118" s="82"/>
      <c r="LM118" s="82"/>
      <c r="LN118" s="82"/>
      <c r="LO118" s="82"/>
      <c r="LP118" s="82"/>
      <c r="LQ118" s="82"/>
      <c r="LR118" s="82"/>
      <c r="LS118" s="82"/>
      <c r="LT118" s="82"/>
      <c r="LU118" s="82"/>
      <c r="LV118" s="82"/>
      <c r="LW118" s="82"/>
      <c r="LX118" s="82"/>
      <c r="LY118" s="82"/>
      <c r="LZ118" s="82"/>
      <c r="MA118" s="82"/>
      <c r="MB118" s="82"/>
      <c r="MC118" s="82"/>
      <c r="MD118" s="82"/>
      <c r="ME118" s="82"/>
      <c r="MF118" s="82"/>
      <c r="MG118" s="82"/>
      <c r="MH118" s="82"/>
      <c r="MI118" s="82"/>
      <c r="MJ118" s="82"/>
      <c r="MK118" s="82"/>
      <c r="ML118" s="82"/>
      <c r="MM118" s="82"/>
      <c r="MN118" s="82"/>
      <c r="MO118" s="82"/>
      <c r="MP118" s="82"/>
      <c r="MQ118" s="82"/>
      <c r="MR118" s="82"/>
      <c r="MS118" s="82"/>
      <c r="MT118" s="82"/>
      <c r="MU118" s="82"/>
      <c r="MV118" s="82"/>
      <c r="MW118" s="82"/>
      <c r="MX118" s="82"/>
      <c r="MY118" s="82"/>
      <c r="MZ118" s="82"/>
      <c r="NA118" s="82"/>
      <c r="NB118" s="82"/>
      <c r="NC118" s="82"/>
      <c r="ND118" s="82"/>
      <c r="NE118" s="82"/>
      <c r="NF118" s="82"/>
      <c r="NG118" s="82"/>
      <c r="NH118" s="82"/>
      <c r="NI118" s="82"/>
      <c r="NJ118" s="82"/>
      <c r="NK118" s="82"/>
      <c r="NL118" s="82"/>
      <c r="NM118" s="82"/>
      <c r="NN118" s="82"/>
      <c r="NO118" s="82"/>
      <c r="NP118" s="82"/>
      <c r="NQ118" s="82"/>
      <c r="NR118" s="82"/>
      <c r="NS118" s="82"/>
      <c r="NT118" s="82"/>
      <c r="NU118" s="82"/>
      <c r="NV118" s="82"/>
      <c r="NW118" s="82"/>
      <c r="NX118" s="82"/>
      <c r="NY118" s="82"/>
      <c r="NZ118" s="82"/>
      <c r="OA118" s="82"/>
      <c r="OB118" s="82"/>
      <c r="OC118" s="82"/>
      <c r="OD118" s="82"/>
      <c r="OE118" s="82"/>
      <c r="OF118" s="82"/>
      <c r="OG118" s="82"/>
      <c r="OH118" s="82"/>
      <c r="OI118" s="82"/>
      <c r="OJ118" s="82"/>
      <c r="OK118" s="82"/>
      <c r="OL118" s="82"/>
      <c r="OM118" s="82"/>
      <c r="ON118" s="82"/>
      <c r="OO118" s="82"/>
      <c r="OP118" s="82"/>
      <c r="OQ118" s="82"/>
      <c r="OR118" s="82"/>
      <c r="OS118" s="82"/>
      <c r="OT118" s="82"/>
      <c r="OU118" s="82"/>
      <c r="OV118" s="82"/>
      <c r="OW118" s="82"/>
      <c r="OX118" s="82"/>
      <c r="OY118" s="82"/>
      <c r="OZ118" s="82"/>
      <c r="PA118" s="82"/>
      <c r="PB118" s="82"/>
      <c r="PC118" s="82"/>
      <c r="PD118" s="82"/>
      <c r="PE118" s="82"/>
      <c r="PF118" s="82"/>
      <c r="PG118" s="82"/>
      <c r="PH118" s="82"/>
      <c r="PI118" s="82"/>
      <c r="PJ118" s="82"/>
      <c r="PK118" s="82"/>
      <c r="PL118" s="82"/>
      <c r="PM118" s="82"/>
      <c r="PN118" s="82"/>
      <c r="PO118" s="82"/>
      <c r="PP118" s="82"/>
      <c r="PQ118" s="82"/>
      <c r="PR118" s="82"/>
      <c r="PS118" s="82"/>
      <c r="PT118" s="82"/>
      <c r="PU118" s="82"/>
      <c r="PV118" s="82"/>
      <c r="PW118" s="82"/>
      <c r="PX118" s="82"/>
      <c r="PY118" s="82"/>
      <c r="PZ118" s="82"/>
      <c r="QA118" s="82"/>
      <c r="QB118" s="82"/>
      <c r="QC118" s="82"/>
      <c r="QD118" s="82"/>
      <c r="QE118" s="82"/>
      <c r="QF118" s="82"/>
      <c r="QG118" s="82"/>
      <c r="QH118" s="82"/>
      <c r="QI118" s="82"/>
      <c r="QJ118" s="82"/>
      <c r="QK118" s="82"/>
      <c r="QL118" s="82"/>
      <c r="QM118" s="82"/>
      <c r="QN118" s="82"/>
      <c r="QO118" s="82"/>
      <c r="QP118" s="82"/>
      <c r="QQ118" s="82"/>
      <c r="QR118" s="82"/>
      <c r="QS118" s="82"/>
      <c r="QT118" s="82"/>
      <c r="QU118" s="82"/>
      <c r="QV118" s="82"/>
      <c r="QW118" s="82"/>
      <c r="QX118" s="82"/>
      <c r="QY118" s="82"/>
      <c r="QZ118" s="82"/>
      <c r="RA118" s="82"/>
      <c r="RB118" s="82"/>
      <c r="RC118" s="82"/>
      <c r="RD118" s="82"/>
      <c r="RE118" s="82"/>
      <c r="RF118" s="82"/>
      <c r="RG118" s="82"/>
      <c r="RH118" s="82"/>
      <c r="RI118" s="82"/>
      <c r="RJ118" s="82"/>
      <c r="RK118" s="82"/>
      <c r="RL118" s="82"/>
      <c r="RM118" s="82"/>
      <c r="RN118" s="82"/>
      <c r="RO118" s="82"/>
      <c r="RP118" s="82"/>
      <c r="RQ118" s="82"/>
      <c r="RR118" s="82"/>
      <c r="RS118" s="82"/>
      <c r="RT118" s="82"/>
      <c r="RU118" s="82"/>
      <c r="RV118" s="82"/>
      <c r="RW118" s="82"/>
      <c r="RX118" s="82"/>
      <c r="RY118" s="82"/>
      <c r="RZ118" s="82"/>
      <c r="SA118" s="82"/>
      <c r="SB118" s="82"/>
      <c r="SC118" s="82"/>
      <c r="SD118" s="82"/>
      <c r="SE118" s="82"/>
      <c r="SF118" s="82"/>
      <c r="SG118" s="82"/>
      <c r="SH118" s="82"/>
      <c r="SI118" s="82"/>
      <c r="SJ118" s="82"/>
      <c r="SK118" s="82"/>
      <c r="SL118" s="82"/>
      <c r="SM118" s="82"/>
      <c r="SN118" s="82"/>
      <c r="SO118" s="82"/>
      <c r="SP118" s="82"/>
      <c r="SQ118" s="82"/>
      <c r="SR118" s="82"/>
      <c r="SS118" s="82"/>
      <c r="ST118" s="82"/>
      <c r="SU118" s="82"/>
      <c r="SV118" s="82"/>
      <c r="SW118" s="82"/>
      <c r="SX118" s="82"/>
      <c r="SY118" s="82"/>
      <c r="SZ118" s="82"/>
      <c r="TA118" s="82"/>
      <c r="TB118" s="82"/>
      <c r="TC118" s="82"/>
      <c r="TD118" s="82"/>
      <c r="TE118" s="82"/>
      <c r="TF118" s="82"/>
      <c r="TG118" s="82"/>
      <c r="TH118" s="82"/>
      <c r="TI118" s="82"/>
      <c r="TJ118" s="82"/>
      <c r="TK118" s="82"/>
      <c r="TL118" s="82"/>
      <c r="TM118" s="82"/>
    </row>
    <row r="119" spans="1:533" s="39" customFormat="1" ht="18.75" x14ac:dyDescent="0.25">
      <c r="B119" s="50" t="s">
        <v>230</v>
      </c>
      <c r="C119" s="41" t="s">
        <v>237</v>
      </c>
      <c r="D119" s="56" t="s">
        <v>238</v>
      </c>
      <c r="E119" s="43" t="s">
        <v>225</v>
      </c>
      <c r="F119" s="53">
        <v>739</v>
      </c>
      <c r="G119" s="58"/>
      <c r="H119" s="46"/>
      <c r="I119" s="47">
        <f t="shared" si="21"/>
        <v>0</v>
      </c>
      <c r="J119" s="48">
        <v>2048</v>
      </c>
      <c r="K119" s="47" t="s">
        <v>30</v>
      </c>
      <c r="L119" s="49"/>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c r="CO119" s="38"/>
      <c r="CP119" s="38"/>
      <c r="CQ119" s="38"/>
      <c r="CR119" s="38"/>
      <c r="CS119" s="38"/>
      <c r="CT119" s="38"/>
      <c r="CU119" s="38"/>
      <c r="CV119" s="38"/>
      <c r="CW119" s="38"/>
      <c r="CX119" s="38"/>
      <c r="CY119" s="38"/>
      <c r="CZ119" s="38"/>
      <c r="DA119" s="38"/>
      <c r="DB119" s="38"/>
      <c r="DC119" s="38"/>
      <c r="DD119" s="38"/>
      <c r="DE119" s="38"/>
      <c r="DF119" s="38"/>
      <c r="DG119" s="38"/>
      <c r="DH119" s="38"/>
      <c r="DI119" s="38"/>
      <c r="DJ119" s="38"/>
      <c r="DK119" s="38"/>
      <c r="DL119" s="38"/>
      <c r="DM119" s="38"/>
      <c r="DN119" s="38"/>
      <c r="DO119" s="38"/>
      <c r="DP119" s="38"/>
      <c r="DQ119" s="38"/>
      <c r="DR119" s="38"/>
      <c r="DS119" s="38"/>
      <c r="DT119" s="38"/>
      <c r="DU119" s="38"/>
      <c r="DV119" s="38"/>
      <c r="DW119" s="38"/>
      <c r="DX119" s="38"/>
      <c r="DY119" s="38"/>
      <c r="DZ119" s="38"/>
      <c r="EA119" s="38"/>
      <c r="EB119" s="38"/>
      <c r="EC119" s="38"/>
      <c r="ED119" s="38"/>
      <c r="EE119" s="38"/>
      <c r="EF119" s="38"/>
      <c r="EG119" s="38"/>
      <c r="EH119" s="38"/>
      <c r="EI119" s="38"/>
      <c r="EJ119" s="38"/>
      <c r="EK119" s="38"/>
      <c r="EL119" s="38"/>
      <c r="EM119" s="38"/>
      <c r="EN119" s="38"/>
      <c r="EO119" s="38"/>
      <c r="EP119" s="38"/>
      <c r="EQ119" s="38"/>
      <c r="ER119" s="38"/>
      <c r="ES119" s="38"/>
      <c r="ET119" s="38"/>
      <c r="EU119" s="38"/>
      <c r="EV119" s="38"/>
      <c r="EW119" s="38"/>
      <c r="EX119" s="38"/>
      <c r="EY119" s="38"/>
      <c r="EZ119" s="38"/>
      <c r="FA119" s="38"/>
      <c r="FB119" s="38"/>
      <c r="FC119" s="38"/>
      <c r="FD119" s="38"/>
      <c r="FE119" s="38"/>
      <c r="FF119" s="38"/>
      <c r="FG119" s="38"/>
      <c r="FH119" s="38"/>
      <c r="FI119" s="38"/>
      <c r="FJ119" s="38"/>
      <c r="FK119" s="38"/>
      <c r="FL119" s="38"/>
      <c r="FM119" s="38"/>
      <c r="FN119" s="38"/>
      <c r="FO119" s="38"/>
      <c r="FP119" s="38"/>
      <c r="FQ119" s="38"/>
      <c r="FR119" s="38"/>
      <c r="FS119" s="38"/>
      <c r="FT119" s="38"/>
      <c r="FU119" s="38"/>
      <c r="FV119" s="38"/>
      <c r="FW119" s="38"/>
      <c r="FX119" s="38"/>
      <c r="FY119" s="38"/>
      <c r="FZ119" s="38"/>
      <c r="GA119" s="38"/>
      <c r="GB119" s="38"/>
      <c r="GC119" s="38"/>
      <c r="GD119" s="38"/>
      <c r="GE119" s="38"/>
      <c r="GF119" s="38"/>
      <c r="GG119" s="38"/>
      <c r="GH119" s="38"/>
      <c r="GI119" s="38"/>
      <c r="GJ119" s="38"/>
      <c r="GK119" s="38"/>
      <c r="GL119" s="38"/>
      <c r="GM119" s="38"/>
      <c r="GN119" s="38"/>
      <c r="GO119" s="38"/>
      <c r="GP119" s="38"/>
      <c r="GQ119" s="38"/>
      <c r="GR119" s="38"/>
      <c r="GS119" s="38"/>
      <c r="GT119" s="38"/>
      <c r="GU119" s="38"/>
      <c r="GV119" s="38"/>
      <c r="GW119" s="38"/>
      <c r="GX119" s="38"/>
      <c r="GY119" s="38"/>
      <c r="GZ119" s="38"/>
      <c r="HA119" s="38"/>
      <c r="HB119" s="38"/>
      <c r="HC119" s="38"/>
      <c r="HD119" s="38"/>
      <c r="HE119" s="38"/>
      <c r="HF119" s="38"/>
      <c r="HG119" s="38"/>
      <c r="HH119" s="38"/>
      <c r="HI119" s="38"/>
      <c r="HJ119" s="38"/>
      <c r="HK119" s="38"/>
      <c r="HL119" s="38"/>
      <c r="HM119" s="38"/>
      <c r="HN119" s="38"/>
      <c r="HO119" s="38"/>
      <c r="HP119" s="38"/>
      <c r="HQ119" s="38"/>
      <c r="HR119" s="38"/>
      <c r="HS119" s="38"/>
      <c r="HT119" s="38"/>
      <c r="HU119" s="38"/>
      <c r="HV119" s="38"/>
      <c r="HW119" s="38"/>
      <c r="HX119" s="38"/>
      <c r="HY119" s="38"/>
      <c r="HZ119" s="38"/>
      <c r="IA119" s="38"/>
      <c r="IB119" s="38"/>
      <c r="IC119" s="38"/>
      <c r="ID119" s="38"/>
      <c r="IE119" s="38"/>
      <c r="IF119" s="38"/>
      <c r="IG119" s="38"/>
      <c r="IH119" s="38"/>
      <c r="II119" s="38"/>
      <c r="IJ119" s="38"/>
      <c r="IK119" s="38"/>
      <c r="IL119" s="38"/>
      <c r="IM119" s="38"/>
      <c r="IN119" s="38"/>
      <c r="IO119" s="38"/>
      <c r="IP119" s="38"/>
      <c r="IQ119" s="38"/>
      <c r="IR119" s="38"/>
      <c r="IS119" s="38"/>
      <c r="IT119" s="38"/>
      <c r="IU119" s="38"/>
      <c r="IV119" s="38"/>
      <c r="IW119" s="38"/>
      <c r="IX119" s="38"/>
      <c r="IY119" s="38"/>
      <c r="IZ119" s="38"/>
      <c r="JA119" s="38"/>
      <c r="JB119" s="38"/>
      <c r="JC119" s="38"/>
      <c r="JD119" s="38"/>
      <c r="JE119" s="38"/>
      <c r="JF119" s="38"/>
      <c r="JG119" s="38"/>
      <c r="JH119" s="38"/>
      <c r="JI119" s="38"/>
      <c r="JJ119" s="38"/>
      <c r="JK119" s="38"/>
      <c r="JL119" s="38"/>
      <c r="JM119" s="38"/>
      <c r="JN119" s="38"/>
      <c r="JO119" s="38"/>
      <c r="JP119" s="38"/>
      <c r="JQ119" s="38"/>
      <c r="JR119" s="38"/>
      <c r="JS119" s="38"/>
      <c r="JT119" s="38"/>
      <c r="JU119" s="38"/>
      <c r="JV119" s="38"/>
      <c r="JW119" s="38"/>
      <c r="JX119" s="38"/>
      <c r="JY119" s="38"/>
      <c r="JZ119" s="38"/>
      <c r="KA119" s="38"/>
      <c r="KB119" s="38"/>
      <c r="KC119" s="38"/>
      <c r="KD119" s="38"/>
      <c r="KE119" s="38"/>
      <c r="KF119" s="38"/>
      <c r="KG119" s="38"/>
      <c r="KH119" s="38"/>
      <c r="KI119" s="38"/>
      <c r="KJ119" s="38"/>
      <c r="KK119" s="38"/>
      <c r="KL119" s="38"/>
      <c r="KM119" s="38"/>
      <c r="KN119" s="38"/>
      <c r="KO119" s="38"/>
      <c r="KP119" s="38"/>
      <c r="KQ119" s="38"/>
      <c r="KR119" s="38"/>
      <c r="KS119" s="38"/>
      <c r="KT119" s="38"/>
      <c r="KU119" s="38"/>
      <c r="KV119" s="38"/>
      <c r="KW119" s="38"/>
      <c r="KX119" s="38"/>
      <c r="KY119" s="38"/>
      <c r="KZ119" s="38"/>
      <c r="LA119" s="38"/>
      <c r="LB119" s="38"/>
      <c r="LC119" s="38"/>
      <c r="LD119" s="38"/>
      <c r="LE119" s="38"/>
      <c r="LF119" s="38"/>
      <c r="LG119" s="38"/>
      <c r="LH119" s="38"/>
      <c r="LI119" s="38"/>
      <c r="LJ119" s="38"/>
      <c r="LK119" s="38"/>
      <c r="LL119" s="38"/>
      <c r="LM119" s="38"/>
      <c r="LN119" s="38"/>
      <c r="LO119" s="38"/>
      <c r="LP119" s="38"/>
      <c r="LQ119" s="38"/>
      <c r="LR119" s="38"/>
      <c r="LS119" s="38"/>
      <c r="LT119" s="38"/>
      <c r="LU119" s="38"/>
      <c r="LV119" s="38"/>
      <c r="LW119" s="38"/>
      <c r="LX119" s="38"/>
      <c r="LY119" s="38"/>
      <c r="LZ119" s="38"/>
      <c r="MA119" s="38"/>
      <c r="MB119" s="38"/>
      <c r="MC119" s="38"/>
      <c r="MD119" s="38"/>
      <c r="ME119" s="38"/>
      <c r="MF119" s="38"/>
      <c r="MG119" s="38"/>
      <c r="MH119" s="38"/>
      <c r="MI119" s="38"/>
      <c r="MJ119" s="38"/>
      <c r="MK119" s="38"/>
      <c r="ML119" s="38"/>
      <c r="MM119" s="38"/>
      <c r="MN119" s="38"/>
      <c r="MO119" s="38"/>
      <c r="MP119" s="38"/>
      <c r="MQ119" s="38"/>
      <c r="MR119" s="38"/>
      <c r="MS119" s="38"/>
      <c r="MT119" s="38"/>
      <c r="MU119" s="38"/>
      <c r="MV119" s="38"/>
      <c r="MW119" s="38"/>
      <c r="MX119" s="38"/>
      <c r="MY119" s="38"/>
      <c r="MZ119" s="38"/>
      <c r="NA119" s="38"/>
      <c r="NB119" s="38"/>
      <c r="NC119" s="38"/>
      <c r="ND119" s="38"/>
      <c r="NE119" s="38"/>
      <c r="NF119" s="38"/>
      <c r="NG119" s="38"/>
      <c r="NH119" s="38"/>
      <c r="NI119" s="38"/>
      <c r="NJ119" s="38"/>
      <c r="NK119" s="38"/>
      <c r="NL119" s="38"/>
      <c r="NM119" s="38"/>
      <c r="NN119" s="38"/>
      <c r="NO119" s="38"/>
      <c r="NP119" s="38"/>
      <c r="NQ119" s="38"/>
      <c r="NR119" s="38"/>
      <c r="NS119" s="38"/>
      <c r="NT119" s="38"/>
      <c r="NU119" s="38"/>
      <c r="NV119" s="38"/>
      <c r="NW119" s="38"/>
      <c r="NX119" s="38"/>
      <c r="NY119" s="38"/>
      <c r="NZ119" s="38"/>
      <c r="OA119" s="38"/>
      <c r="OB119" s="38"/>
      <c r="OC119" s="38"/>
      <c r="OD119" s="38"/>
      <c r="OE119" s="38"/>
      <c r="OF119" s="38"/>
      <c r="OG119" s="38"/>
      <c r="OH119" s="38"/>
      <c r="OI119" s="38"/>
      <c r="OJ119" s="38"/>
      <c r="OK119" s="38"/>
      <c r="OL119" s="38"/>
      <c r="OM119" s="38"/>
      <c r="ON119" s="38"/>
      <c r="OO119" s="38"/>
      <c r="OP119" s="38"/>
      <c r="OQ119" s="38"/>
      <c r="OR119" s="38"/>
      <c r="OS119" s="38"/>
      <c r="OT119" s="38"/>
      <c r="OU119" s="38"/>
      <c r="OV119" s="38"/>
      <c r="OW119" s="38"/>
      <c r="OX119" s="38"/>
      <c r="OY119" s="38"/>
      <c r="OZ119" s="38"/>
      <c r="PA119" s="38"/>
      <c r="PB119" s="38"/>
      <c r="PC119" s="38"/>
      <c r="PD119" s="38"/>
      <c r="PE119" s="38"/>
      <c r="PF119" s="38"/>
      <c r="PG119" s="38"/>
      <c r="PH119" s="38"/>
      <c r="PI119" s="38"/>
      <c r="PJ119" s="38"/>
      <c r="PK119" s="38"/>
      <c r="PL119" s="38"/>
      <c r="PM119" s="38"/>
      <c r="PN119" s="38"/>
      <c r="PO119" s="38"/>
      <c r="PP119" s="38"/>
      <c r="PQ119" s="38"/>
      <c r="PR119" s="38"/>
      <c r="PS119" s="38"/>
      <c r="PT119" s="38"/>
      <c r="PU119" s="38"/>
      <c r="PV119" s="38"/>
      <c r="PW119" s="38"/>
      <c r="PX119" s="38"/>
      <c r="PY119" s="38"/>
      <c r="PZ119" s="38"/>
      <c r="QA119" s="38"/>
      <c r="QB119" s="38"/>
      <c r="QC119" s="38"/>
      <c r="QD119" s="38"/>
      <c r="QE119" s="38"/>
      <c r="QF119" s="38"/>
      <c r="QG119" s="38"/>
      <c r="QH119" s="38"/>
      <c r="QI119" s="38"/>
      <c r="QJ119" s="38"/>
      <c r="QK119" s="38"/>
      <c r="QL119" s="38"/>
      <c r="QM119" s="38"/>
      <c r="QN119" s="38"/>
      <c r="QO119" s="38"/>
      <c r="QP119" s="38"/>
      <c r="QQ119" s="38"/>
      <c r="QR119" s="38"/>
      <c r="QS119" s="38"/>
      <c r="QT119" s="38"/>
      <c r="QU119" s="38"/>
      <c r="QV119" s="38"/>
      <c r="QW119" s="38"/>
      <c r="QX119" s="38"/>
      <c r="QY119" s="38"/>
      <c r="QZ119" s="38"/>
      <c r="RA119" s="38"/>
      <c r="RB119" s="38"/>
      <c r="RC119" s="38"/>
      <c r="RD119" s="38"/>
      <c r="RE119" s="38"/>
      <c r="RF119" s="38"/>
      <c r="RG119" s="38"/>
      <c r="RH119" s="38"/>
      <c r="RI119" s="38"/>
      <c r="RJ119" s="38"/>
      <c r="RK119" s="38"/>
      <c r="RL119" s="38"/>
      <c r="RM119" s="38"/>
      <c r="RN119" s="38"/>
      <c r="RO119" s="38"/>
      <c r="RP119" s="38"/>
      <c r="RQ119" s="38"/>
      <c r="RR119" s="38"/>
      <c r="RS119" s="38"/>
      <c r="RT119" s="38"/>
      <c r="RU119" s="38"/>
      <c r="RV119" s="38"/>
      <c r="RW119" s="38"/>
      <c r="RX119" s="38"/>
      <c r="RY119" s="38"/>
      <c r="RZ119" s="38"/>
      <c r="SA119" s="38"/>
      <c r="SB119" s="38"/>
      <c r="SC119" s="38"/>
      <c r="SD119" s="38"/>
      <c r="SE119" s="38"/>
      <c r="SF119" s="38"/>
      <c r="SG119" s="38"/>
      <c r="SH119" s="38"/>
      <c r="SI119" s="38"/>
      <c r="SJ119" s="38"/>
      <c r="SK119" s="38"/>
      <c r="SL119" s="38"/>
      <c r="SM119" s="38"/>
      <c r="SN119" s="38"/>
      <c r="SO119" s="38"/>
      <c r="SP119" s="38"/>
      <c r="SQ119" s="38"/>
      <c r="SR119" s="38"/>
      <c r="SS119" s="38"/>
      <c r="ST119" s="38"/>
      <c r="SU119" s="38"/>
      <c r="SV119" s="38"/>
      <c r="SW119" s="38"/>
      <c r="SX119" s="38"/>
      <c r="SY119" s="38"/>
      <c r="SZ119" s="38"/>
      <c r="TA119" s="38"/>
      <c r="TB119" s="38"/>
      <c r="TC119" s="38"/>
      <c r="TD119" s="38"/>
      <c r="TE119" s="38"/>
      <c r="TF119" s="38"/>
      <c r="TG119" s="38"/>
      <c r="TH119" s="38"/>
      <c r="TI119" s="38"/>
      <c r="TJ119" s="38"/>
      <c r="TK119" s="38"/>
      <c r="TL119" s="38"/>
      <c r="TM119" s="38"/>
    </row>
    <row r="120" spans="1:533" s="83" customFormat="1" ht="112.5" x14ac:dyDescent="0.25">
      <c r="A120" s="39"/>
      <c r="B120" s="50" t="s">
        <v>230</v>
      </c>
      <c r="C120" s="41"/>
      <c r="D120" s="63" t="s">
        <v>239</v>
      </c>
      <c r="E120" s="60"/>
      <c r="F120" s="53"/>
      <c r="G120" s="54"/>
      <c r="H120" s="46"/>
      <c r="I120" s="47"/>
      <c r="J120" s="48"/>
      <c r="K120" s="47"/>
      <c r="L120" s="49"/>
      <c r="M120" s="82"/>
      <c r="N120" s="82"/>
      <c r="O120" s="82"/>
      <c r="P120" s="82"/>
      <c r="Q120" s="82"/>
      <c r="R120" s="82"/>
      <c r="S120" s="82"/>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c r="AU120" s="82"/>
      <c r="AV120" s="82"/>
      <c r="AW120" s="82"/>
      <c r="AX120" s="82"/>
      <c r="AY120" s="82"/>
      <c r="AZ120" s="82"/>
      <c r="BA120" s="82"/>
      <c r="BB120" s="82"/>
      <c r="BC120" s="82"/>
      <c r="BD120" s="82"/>
      <c r="BE120" s="82"/>
      <c r="BF120" s="82"/>
      <c r="BG120" s="82"/>
      <c r="BH120" s="82"/>
      <c r="BI120" s="82"/>
      <c r="BJ120" s="82"/>
      <c r="BK120" s="82"/>
      <c r="BL120" s="82"/>
      <c r="BM120" s="82"/>
      <c r="BN120" s="82"/>
      <c r="BO120" s="82"/>
      <c r="BP120" s="82"/>
      <c r="BQ120" s="82"/>
      <c r="BR120" s="82"/>
      <c r="BS120" s="82"/>
      <c r="BT120" s="82"/>
      <c r="BU120" s="82"/>
      <c r="BV120" s="82"/>
      <c r="BW120" s="82"/>
      <c r="BX120" s="82"/>
      <c r="BY120" s="82"/>
      <c r="BZ120" s="82"/>
      <c r="CA120" s="82"/>
      <c r="CB120" s="82"/>
      <c r="CC120" s="82"/>
      <c r="CD120" s="82"/>
      <c r="CE120" s="82"/>
      <c r="CF120" s="82"/>
      <c r="CG120" s="82"/>
      <c r="CH120" s="82"/>
      <c r="CI120" s="82"/>
      <c r="CJ120" s="82"/>
      <c r="CK120" s="82"/>
      <c r="CL120" s="82"/>
      <c r="CM120" s="82"/>
      <c r="CN120" s="82"/>
      <c r="CO120" s="82"/>
      <c r="CP120" s="82"/>
      <c r="CQ120" s="82"/>
      <c r="CR120" s="82"/>
      <c r="CS120" s="82"/>
      <c r="CT120" s="82"/>
      <c r="CU120" s="82"/>
      <c r="CV120" s="82"/>
      <c r="CW120" s="82"/>
      <c r="CX120" s="82"/>
      <c r="CY120" s="82"/>
      <c r="CZ120" s="82"/>
      <c r="DA120" s="82"/>
      <c r="DB120" s="82"/>
      <c r="DC120" s="82"/>
      <c r="DD120" s="82"/>
      <c r="DE120" s="82"/>
      <c r="DF120" s="82"/>
      <c r="DG120" s="82"/>
      <c r="DH120" s="82"/>
      <c r="DI120" s="82"/>
      <c r="DJ120" s="82"/>
      <c r="DK120" s="82"/>
      <c r="DL120" s="82"/>
      <c r="DM120" s="82"/>
      <c r="DN120" s="82"/>
      <c r="DO120" s="82"/>
      <c r="DP120" s="82"/>
      <c r="DQ120" s="82"/>
      <c r="DR120" s="82"/>
      <c r="DS120" s="82"/>
      <c r="DT120" s="82"/>
      <c r="DU120" s="82"/>
      <c r="DV120" s="82"/>
      <c r="DW120" s="82"/>
      <c r="DX120" s="82"/>
      <c r="DY120" s="82"/>
      <c r="DZ120" s="82"/>
      <c r="EA120" s="82"/>
      <c r="EB120" s="82"/>
      <c r="EC120" s="82"/>
      <c r="ED120" s="82"/>
      <c r="EE120" s="82"/>
      <c r="EF120" s="82"/>
      <c r="EG120" s="82"/>
      <c r="EH120" s="82"/>
      <c r="EI120" s="82"/>
      <c r="EJ120" s="82"/>
      <c r="EK120" s="82"/>
      <c r="EL120" s="82"/>
      <c r="EM120" s="82"/>
      <c r="EN120" s="82"/>
      <c r="EO120" s="82"/>
      <c r="EP120" s="82"/>
      <c r="EQ120" s="82"/>
      <c r="ER120" s="82"/>
      <c r="ES120" s="82"/>
      <c r="ET120" s="82"/>
      <c r="EU120" s="82"/>
      <c r="EV120" s="82"/>
      <c r="EW120" s="82"/>
      <c r="EX120" s="82"/>
      <c r="EY120" s="82"/>
      <c r="EZ120" s="82"/>
      <c r="FA120" s="82"/>
      <c r="FB120" s="82"/>
      <c r="FC120" s="82"/>
      <c r="FD120" s="82"/>
      <c r="FE120" s="82"/>
      <c r="FF120" s="82"/>
      <c r="FG120" s="82"/>
      <c r="FH120" s="82"/>
      <c r="FI120" s="82"/>
      <c r="FJ120" s="82"/>
      <c r="FK120" s="82"/>
      <c r="FL120" s="82"/>
      <c r="FM120" s="82"/>
      <c r="FN120" s="82"/>
      <c r="FO120" s="82"/>
      <c r="FP120" s="82"/>
      <c r="FQ120" s="82"/>
      <c r="FR120" s="82"/>
      <c r="FS120" s="82"/>
      <c r="FT120" s="82"/>
      <c r="FU120" s="82"/>
      <c r="FV120" s="82"/>
      <c r="FW120" s="82"/>
      <c r="FX120" s="82"/>
      <c r="FY120" s="82"/>
      <c r="FZ120" s="82"/>
      <c r="GA120" s="82"/>
      <c r="GB120" s="82"/>
      <c r="GC120" s="82"/>
      <c r="GD120" s="82"/>
      <c r="GE120" s="82"/>
      <c r="GF120" s="82"/>
      <c r="GG120" s="82"/>
      <c r="GH120" s="82"/>
      <c r="GI120" s="82"/>
      <c r="GJ120" s="82"/>
      <c r="GK120" s="82"/>
      <c r="GL120" s="82"/>
      <c r="GM120" s="82"/>
      <c r="GN120" s="82"/>
      <c r="GO120" s="82"/>
      <c r="GP120" s="82"/>
      <c r="GQ120" s="82"/>
      <c r="GR120" s="82"/>
      <c r="GS120" s="82"/>
      <c r="GT120" s="82"/>
      <c r="GU120" s="82"/>
      <c r="GV120" s="82"/>
      <c r="GW120" s="82"/>
      <c r="GX120" s="82"/>
      <c r="GY120" s="82"/>
      <c r="GZ120" s="82"/>
      <c r="HA120" s="82"/>
      <c r="HB120" s="82"/>
      <c r="HC120" s="82"/>
      <c r="HD120" s="82"/>
      <c r="HE120" s="82"/>
      <c r="HF120" s="82"/>
      <c r="HG120" s="82"/>
      <c r="HH120" s="82"/>
      <c r="HI120" s="82"/>
      <c r="HJ120" s="82"/>
      <c r="HK120" s="82"/>
      <c r="HL120" s="82"/>
      <c r="HM120" s="82"/>
      <c r="HN120" s="82"/>
      <c r="HO120" s="82"/>
      <c r="HP120" s="82"/>
      <c r="HQ120" s="82"/>
      <c r="HR120" s="82"/>
      <c r="HS120" s="82"/>
      <c r="HT120" s="82"/>
      <c r="HU120" s="82"/>
      <c r="HV120" s="82"/>
      <c r="HW120" s="82"/>
      <c r="HX120" s="82"/>
      <c r="HY120" s="82"/>
      <c r="HZ120" s="82"/>
      <c r="IA120" s="82"/>
      <c r="IB120" s="82"/>
      <c r="IC120" s="82"/>
      <c r="ID120" s="82"/>
      <c r="IE120" s="82"/>
      <c r="IF120" s="82"/>
      <c r="IG120" s="82"/>
      <c r="IH120" s="82"/>
      <c r="II120" s="82"/>
      <c r="IJ120" s="82"/>
      <c r="IK120" s="82"/>
      <c r="IL120" s="82"/>
      <c r="IM120" s="82"/>
      <c r="IN120" s="82"/>
      <c r="IO120" s="82"/>
      <c r="IP120" s="82"/>
      <c r="IQ120" s="82"/>
      <c r="IR120" s="82"/>
      <c r="IS120" s="82"/>
      <c r="IT120" s="82"/>
      <c r="IU120" s="82"/>
      <c r="IV120" s="82"/>
      <c r="IW120" s="82"/>
      <c r="IX120" s="82"/>
      <c r="IY120" s="82"/>
      <c r="IZ120" s="82"/>
      <c r="JA120" s="82"/>
      <c r="JB120" s="82"/>
      <c r="JC120" s="82"/>
      <c r="JD120" s="82"/>
      <c r="JE120" s="82"/>
      <c r="JF120" s="82"/>
      <c r="JG120" s="82"/>
      <c r="JH120" s="82"/>
      <c r="JI120" s="82"/>
      <c r="JJ120" s="82"/>
      <c r="JK120" s="82"/>
      <c r="JL120" s="82"/>
      <c r="JM120" s="82"/>
      <c r="JN120" s="82"/>
      <c r="JO120" s="82"/>
      <c r="JP120" s="82"/>
      <c r="JQ120" s="82"/>
      <c r="JR120" s="82"/>
      <c r="JS120" s="82"/>
      <c r="JT120" s="82"/>
      <c r="JU120" s="82"/>
      <c r="JV120" s="82"/>
      <c r="JW120" s="82"/>
      <c r="JX120" s="82"/>
      <c r="JY120" s="82"/>
      <c r="JZ120" s="82"/>
      <c r="KA120" s="82"/>
      <c r="KB120" s="82"/>
      <c r="KC120" s="82"/>
      <c r="KD120" s="82"/>
      <c r="KE120" s="82"/>
      <c r="KF120" s="82"/>
      <c r="KG120" s="82"/>
      <c r="KH120" s="82"/>
      <c r="KI120" s="82"/>
      <c r="KJ120" s="82"/>
      <c r="KK120" s="82"/>
      <c r="KL120" s="82"/>
      <c r="KM120" s="82"/>
      <c r="KN120" s="82"/>
      <c r="KO120" s="82"/>
      <c r="KP120" s="82"/>
      <c r="KQ120" s="82"/>
      <c r="KR120" s="82"/>
      <c r="KS120" s="82"/>
      <c r="KT120" s="82"/>
      <c r="KU120" s="82"/>
      <c r="KV120" s="82"/>
      <c r="KW120" s="82"/>
      <c r="KX120" s="82"/>
      <c r="KY120" s="82"/>
      <c r="KZ120" s="82"/>
      <c r="LA120" s="82"/>
      <c r="LB120" s="82"/>
      <c r="LC120" s="82"/>
      <c r="LD120" s="82"/>
      <c r="LE120" s="82"/>
      <c r="LF120" s="82"/>
      <c r="LG120" s="82"/>
      <c r="LH120" s="82"/>
      <c r="LI120" s="82"/>
      <c r="LJ120" s="82"/>
      <c r="LK120" s="82"/>
      <c r="LL120" s="82"/>
      <c r="LM120" s="82"/>
      <c r="LN120" s="82"/>
      <c r="LO120" s="82"/>
      <c r="LP120" s="82"/>
      <c r="LQ120" s="82"/>
      <c r="LR120" s="82"/>
      <c r="LS120" s="82"/>
      <c r="LT120" s="82"/>
      <c r="LU120" s="82"/>
      <c r="LV120" s="82"/>
      <c r="LW120" s="82"/>
      <c r="LX120" s="82"/>
      <c r="LY120" s="82"/>
      <c r="LZ120" s="82"/>
      <c r="MA120" s="82"/>
      <c r="MB120" s="82"/>
      <c r="MC120" s="82"/>
      <c r="MD120" s="82"/>
      <c r="ME120" s="82"/>
      <c r="MF120" s="82"/>
      <c r="MG120" s="82"/>
      <c r="MH120" s="82"/>
      <c r="MI120" s="82"/>
      <c r="MJ120" s="82"/>
      <c r="MK120" s="82"/>
      <c r="ML120" s="82"/>
      <c r="MM120" s="82"/>
      <c r="MN120" s="82"/>
      <c r="MO120" s="82"/>
      <c r="MP120" s="82"/>
      <c r="MQ120" s="82"/>
      <c r="MR120" s="82"/>
      <c r="MS120" s="82"/>
      <c r="MT120" s="82"/>
      <c r="MU120" s="82"/>
      <c r="MV120" s="82"/>
      <c r="MW120" s="82"/>
      <c r="MX120" s="82"/>
      <c r="MY120" s="82"/>
      <c r="MZ120" s="82"/>
      <c r="NA120" s="82"/>
      <c r="NB120" s="82"/>
      <c r="NC120" s="82"/>
      <c r="ND120" s="82"/>
      <c r="NE120" s="82"/>
      <c r="NF120" s="82"/>
      <c r="NG120" s="82"/>
      <c r="NH120" s="82"/>
      <c r="NI120" s="82"/>
      <c r="NJ120" s="82"/>
      <c r="NK120" s="82"/>
      <c r="NL120" s="82"/>
      <c r="NM120" s="82"/>
      <c r="NN120" s="82"/>
      <c r="NO120" s="82"/>
      <c r="NP120" s="82"/>
      <c r="NQ120" s="82"/>
      <c r="NR120" s="82"/>
      <c r="NS120" s="82"/>
      <c r="NT120" s="82"/>
      <c r="NU120" s="82"/>
      <c r="NV120" s="82"/>
      <c r="NW120" s="82"/>
      <c r="NX120" s="82"/>
      <c r="NY120" s="82"/>
      <c r="NZ120" s="82"/>
      <c r="OA120" s="82"/>
      <c r="OB120" s="82"/>
      <c r="OC120" s="82"/>
      <c r="OD120" s="82"/>
      <c r="OE120" s="82"/>
      <c r="OF120" s="82"/>
      <c r="OG120" s="82"/>
      <c r="OH120" s="82"/>
      <c r="OI120" s="82"/>
      <c r="OJ120" s="82"/>
      <c r="OK120" s="82"/>
      <c r="OL120" s="82"/>
      <c r="OM120" s="82"/>
      <c r="ON120" s="82"/>
      <c r="OO120" s="82"/>
      <c r="OP120" s="82"/>
      <c r="OQ120" s="82"/>
      <c r="OR120" s="82"/>
      <c r="OS120" s="82"/>
      <c r="OT120" s="82"/>
      <c r="OU120" s="82"/>
      <c r="OV120" s="82"/>
      <c r="OW120" s="82"/>
      <c r="OX120" s="82"/>
      <c r="OY120" s="82"/>
      <c r="OZ120" s="82"/>
      <c r="PA120" s="82"/>
      <c r="PB120" s="82"/>
      <c r="PC120" s="82"/>
      <c r="PD120" s="82"/>
      <c r="PE120" s="82"/>
      <c r="PF120" s="82"/>
      <c r="PG120" s="82"/>
      <c r="PH120" s="82"/>
      <c r="PI120" s="82"/>
      <c r="PJ120" s="82"/>
      <c r="PK120" s="82"/>
      <c r="PL120" s="82"/>
      <c r="PM120" s="82"/>
      <c r="PN120" s="82"/>
      <c r="PO120" s="82"/>
      <c r="PP120" s="82"/>
      <c r="PQ120" s="82"/>
      <c r="PR120" s="82"/>
      <c r="PS120" s="82"/>
      <c r="PT120" s="82"/>
      <c r="PU120" s="82"/>
      <c r="PV120" s="82"/>
      <c r="PW120" s="82"/>
      <c r="PX120" s="82"/>
      <c r="PY120" s="82"/>
      <c r="PZ120" s="82"/>
      <c r="QA120" s="82"/>
      <c r="QB120" s="82"/>
      <c r="QC120" s="82"/>
      <c r="QD120" s="82"/>
      <c r="QE120" s="82"/>
      <c r="QF120" s="82"/>
      <c r="QG120" s="82"/>
      <c r="QH120" s="82"/>
      <c r="QI120" s="82"/>
      <c r="QJ120" s="82"/>
      <c r="QK120" s="82"/>
      <c r="QL120" s="82"/>
      <c r="QM120" s="82"/>
      <c r="QN120" s="82"/>
      <c r="QO120" s="82"/>
      <c r="QP120" s="82"/>
      <c r="QQ120" s="82"/>
      <c r="QR120" s="82"/>
      <c r="QS120" s="82"/>
      <c r="QT120" s="82"/>
      <c r="QU120" s="82"/>
      <c r="QV120" s="82"/>
      <c r="QW120" s="82"/>
      <c r="QX120" s="82"/>
      <c r="QY120" s="82"/>
      <c r="QZ120" s="82"/>
      <c r="RA120" s="82"/>
      <c r="RB120" s="82"/>
      <c r="RC120" s="82"/>
      <c r="RD120" s="82"/>
      <c r="RE120" s="82"/>
      <c r="RF120" s="82"/>
      <c r="RG120" s="82"/>
      <c r="RH120" s="82"/>
      <c r="RI120" s="82"/>
      <c r="RJ120" s="82"/>
      <c r="RK120" s="82"/>
      <c r="RL120" s="82"/>
      <c r="RM120" s="82"/>
      <c r="RN120" s="82"/>
      <c r="RO120" s="82"/>
      <c r="RP120" s="82"/>
      <c r="RQ120" s="82"/>
      <c r="RR120" s="82"/>
      <c r="RS120" s="82"/>
      <c r="RT120" s="82"/>
      <c r="RU120" s="82"/>
      <c r="RV120" s="82"/>
      <c r="RW120" s="82"/>
      <c r="RX120" s="82"/>
      <c r="RY120" s="82"/>
      <c r="RZ120" s="82"/>
      <c r="SA120" s="82"/>
      <c r="SB120" s="82"/>
      <c r="SC120" s="82"/>
      <c r="SD120" s="82"/>
      <c r="SE120" s="82"/>
      <c r="SF120" s="82"/>
      <c r="SG120" s="82"/>
      <c r="SH120" s="82"/>
      <c r="SI120" s="82"/>
      <c r="SJ120" s="82"/>
      <c r="SK120" s="82"/>
      <c r="SL120" s="82"/>
      <c r="SM120" s="82"/>
      <c r="SN120" s="82"/>
      <c r="SO120" s="82"/>
      <c r="SP120" s="82"/>
      <c r="SQ120" s="82"/>
      <c r="SR120" s="82"/>
      <c r="SS120" s="82"/>
      <c r="ST120" s="82"/>
      <c r="SU120" s="82"/>
      <c r="SV120" s="82"/>
      <c r="SW120" s="82"/>
      <c r="SX120" s="82"/>
      <c r="SY120" s="82"/>
      <c r="SZ120" s="82"/>
      <c r="TA120" s="82"/>
      <c r="TB120" s="82"/>
      <c r="TC120" s="82"/>
      <c r="TD120" s="82"/>
      <c r="TE120" s="82"/>
      <c r="TF120" s="82"/>
      <c r="TG120" s="82"/>
      <c r="TH120" s="82"/>
      <c r="TI120" s="82"/>
      <c r="TJ120" s="82"/>
      <c r="TK120" s="82"/>
      <c r="TL120" s="82"/>
      <c r="TM120" s="82"/>
    </row>
    <row r="121" spans="1:533" s="39" customFormat="1" ht="37.5" x14ac:dyDescent="0.25">
      <c r="B121" s="50" t="s">
        <v>230</v>
      </c>
      <c r="C121" s="41" t="s">
        <v>240</v>
      </c>
      <c r="D121" s="56" t="s">
        <v>241</v>
      </c>
      <c r="E121" s="43" t="s">
        <v>225</v>
      </c>
      <c r="F121" s="53">
        <v>263</v>
      </c>
      <c r="G121" s="58"/>
      <c r="H121" s="46"/>
      <c r="I121" s="47">
        <f t="shared" si="21"/>
        <v>0</v>
      </c>
      <c r="J121" s="48">
        <v>2048</v>
      </c>
      <c r="K121" s="47" t="s">
        <v>30</v>
      </c>
      <c r="L121" s="49"/>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c r="CS121" s="38"/>
      <c r="CT121" s="38"/>
      <c r="CU121" s="38"/>
      <c r="CV121" s="38"/>
      <c r="CW121" s="38"/>
      <c r="CX121" s="38"/>
      <c r="CY121" s="38"/>
      <c r="CZ121" s="38"/>
      <c r="DA121" s="38"/>
      <c r="DB121" s="38"/>
      <c r="DC121" s="38"/>
      <c r="DD121" s="38"/>
      <c r="DE121" s="38"/>
      <c r="DF121" s="38"/>
      <c r="DG121" s="38"/>
      <c r="DH121" s="38"/>
      <c r="DI121" s="38"/>
      <c r="DJ121" s="38"/>
      <c r="DK121" s="38"/>
      <c r="DL121" s="38"/>
      <c r="DM121" s="38"/>
      <c r="DN121" s="38"/>
      <c r="DO121" s="38"/>
      <c r="DP121" s="38"/>
      <c r="DQ121" s="38"/>
      <c r="DR121" s="38"/>
      <c r="DS121" s="38"/>
      <c r="DT121" s="38"/>
      <c r="DU121" s="38"/>
      <c r="DV121" s="38"/>
      <c r="DW121" s="38"/>
      <c r="DX121" s="38"/>
      <c r="DY121" s="38"/>
      <c r="DZ121" s="38"/>
      <c r="EA121" s="38"/>
      <c r="EB121" s="38"/>
      <c r="EC121" s="38"/>
      <c r="ED121" s="38"/>
      <c r="EE121" s="38"/>
      <c r="EF121" s="38"/>
      <c r="EG121" s="38"/>
      <c r="EH121" s="38"/>
      <c r="EI121" s="38"/>
      <c r="EJ121" s="38"/>
      <c r="EK121" s="38"/>
      <c r="EL121" s="38"/>
      <c r="EM121" s="38"/>
      <c r="EN121" s="38"/>
      <c r="EO121" s="38"/>
      <c r="EP121" s="38"/>
      <c r="EQ121" s="38"/>
      <c r="ER121" s="38"/>
      <c r="ES121" s="38"/>
      <c r="ET121" s="38"/>
      <c r="EU121" s="38"/>
      <c r="EV121" s="38"/>
      <c r="EW121" s="38"/>
      <c r="EX121" s="38"/>
      <c r="EY121" s="38"/>
      <c r="EZ121" s="38"/>
      <c r="FA121" s="38"/>
      <c r="FB121" s="38"/>
      <c r="FC121" s="38"/>
      <c r="FD121" s="38"/>
      <c r="FE121" s="38"/>
      <c r="FF121" s="38"/>
      <c r="FG121" s="38"/>
      <c r="FH121" s="38"/>
      <c r="FI121" s="38"/>
      <c r="FJ121" s="38"/>
      <c r="FK121" s="38"/>
      <c r="FL121" s="38"/>
      <c r="FM121" s="38"/>
      <c r="FN121" s="38"/>
      <c r="FO121" s="38"/>
      <c r="FP121" s="38"/>
      <c r="FQ121" s="38"/>
      <c r="FR121" s="38"/>
      <c r="FS121" s="38"/>
      <c r="FT121" s="38"/>
      <c r="FU121" s="38"/>
      <c r="FV121" s="38"/>
      <c r="FW121" s="38"/>
      <c r="FX121" s="38"/>
      <c r="FY121" s="38"/>
      <c r="FZ121" s="38"/>
      <c r="GA121" s="38"/>
      <c r="GB121" s="38"/>
      <c r="GC121" s="38"/>
      <c r="GD121" s="38"/>
      <c r="GE121" s="38"/>
      <c r="GF121" s="38"/>
      <c r="GG121" s="38"/>
      <c r="GH121" s="38"/>
      <c r="GI121" s="38"/>
      <c r="GJ121" s="38"/>
      <c r="GK121" s="38"/>
      <c r="GL121" s="38"/>
      <c r="GM121" s="38"/>
      <c r="GN121" s="38"/>
      <c r="GO121" s="38"/>
      <c r="GP121" s="38"/>
      <c r="GQ121" s="38"/>
      <c r="GR121" s="38"/>
      <c r="GS121" s="38"/>
      <c r="GT121" s="38"/>
      <c r="GU121" s="38"/>
      <c r="GV121" s="38"/>
      <c r="GW121" s="38"/>
      <c r="GX121" s="38"/>
      <c r="GY121" s="38"/>
      <c r="GZ121" s="38"/>
      <c r="HA121" s="38"/>
      <c r="HB121" s="38"/>
      <c r="HC121" s="38"/>
      <c r="HD121" s="38"/>
      <c r="HE121" s="38"/>
      <c r="HF121" s="38"/>
      <c r="HG121" s="38"/>
      <c r="HH121" s="38"/>
      <c r="HI121" s="38"/>
      <c r="HJ121" s="38"/>
      <c r="HK121" s="38"/>
      <c r="HL121" s="38"/>
      <c r="HM121" s="38"/>
      <c r="HN121" s="38"/>
      <c r="HO121" s="38"/>
      <c r="HP121" s="38"/>
      <c r="HQ121" s="38"/>
      <c r="HR121" s="38"/>
      <c r="HS121" s="38"/>
      <c r="HT121" s="38"/>
      <c r="HU121" s="38"/>
      <c r="HV121" s="38"/>
      <c r="HW121" s="38"/>
      <c r="HX121" s="38"/>
      <c r="HY121" s="38"/>
      <c r="HZ121" s="38"/>
      <c r="IA121" s="38"/>
      <c r="IB121" s="38"/>
      <c r="IC121" s="38"/>
      <c r="ID121" s="38"/>
      <c r="IE121" s="38"/>
      <c r="IF121" s="38"/>
      <c r="IG121" s="38"/>
      <c r="IH121" s="38"/>
      <c r="II121" s="38"/>
      <c r="IJ121" s="38"/>
      <c r="IK121" s="38"/>
      <c r="IL121" s="38"/>
      <c r="IM121" s="38"/>
      <c r="IN121" s="38"/>
      <c r="IO121" s="38"/>
      <c r="IP121" s="38"/>
      <c r="IQ121" s="38"/>
      <c r="IR121" s="38"/>
      <c r="IS121" s="38"/>
      <c r="IT121" s="38"/>
      <c r="IU121" s="38"/>
      <c r="IV121" s="38"/>
      <c r="IW121" s="38"/>
      <c r="IX121" s="38"/>
      <c r="IY121" s="38"/>
      <c r="IZ121" s="38"/>
      <c r="JA121" s="38"/>
      <c r="JB121" s="38"/>
      <c r="JC121" s="38"/>
      <c r="JD121" s="38"/>
      <c r="JE121" s="38"/>
      <c r="JF121" s="38"/>
      <c r="JG121" s="38"/>
      <c r="JH121" s="38"/>
      <c r="JI121" s="38"/>
      <c r="JJ121" s="38"/>
      <c r="JK121" s="38"/>
      <c r="JL121" s="38"/>
      <c r="JM121" s="38"/>
      <c r="JN121" s="38"/>
      <c r="JO121" s="38"/>
      <c r="JP121" s="38"/>
      <c r="JQ121" s="38"/>
      <c r="JR121" s="38"/>
      <c r="JS121" s="38"/>
      <c r="JT121" s="38"/>
      <c r="JU121" s="38"/>
      <c r="JV121" s="38"/>
      <c r="JW121" s="38"/>
      <c r="JX121" s="38"/>
      <c r="JY121" s="38"/>
      <c r="JZ121" s="38"/>
      <c r="KA121" s="38"/>
      <c r="KB121" s="38"/>
      <c r="KC121" s="38"/>
      <c r="KD121" s="38"/>
      <c r="KE121" s="38"/>
      <c r="KF121" s="38"/>
      <c r="KG121" s="38"/>
      <c r="KH121" s="38"/>
      <c r="KI121" s="38"/>
      <c r="KJ121" s="38"/>
      <c r="KK121" s="38"/>
      <c r="KL121" s="38"/>
      <c r="KM121" s="38"/>
      <c r="KN121" s="38"/>
      <c r="KO121" s="38"/>
      <c r="KP121" s="38"/>
      <c r="KQ121" s="38"/>
      <c r="KR121" s="38"/>
      <c r="KS121" s="38"/>
      <c r="KT121" s="38"/>
      <c r="KU121" s="38"/>
      <c r="KV121" s="38"/>
      <c r="KW121" s="38"/>
      <c r="KX121" s="38"/>
      <c r="KY121" s="38"/>
      <c r="KZ121" s="38"/>
      <c r="LA121" s="38"/>
      <c r="LB121" s="38"/>
      <c r="LC121" s="38"/>
      <c r="LD121" s="38"/>
      <c r="LE121" s="38"/>
      <c r="LF121" s="38"/>
      <c r="LG121" s="38"/>
      <c r="LH121" s="38"/>
      <c r="LI121" s="38"/>
      <c r="LJ121" s="38"/>
      <c r="LK121" s="38"/>
      <c r="LL121" s="38"/>
      <c r="LM121" s="38"/>
      <c r="LN121" s="38"/>
      <c r="LO121" s="38"/>
      <c r="LP121" s="38"/>
      <c r="LQ121" s="38"/>
      <c r="LR121" s="38"/>
      <c r="LS121" s="38"/>
      <c r="LT121" s="38"/>
      <c r="LU121" s="38"/>
      <c r="LV121" s="38"/>
      <c r="LW121" s="38"/>
      <c r="LX121" s="38"/>
      <c r="LY121" s="38"/>
      <c r="LZ121" s="38"/>
      <c r="MA121" s="38"/>
      <c r="MB121" s="38"/>
      <c r="MC121" s="38"/>
      <c r="MD121" s="38"/>
      <c r="ME121" s="38"/>
      <c r="MF121" s="38"/>
      <c r="MG121" s="38"/>
      <c r="MH121" s="38"/>
      <c r="MI121" s="38"/>
      <c r="MJ121" s="38"/>
      <c r="MK121" s="38"/>
      <c r="ML121" s="38"/>
      <c r="MM121" s="38"/>
      <c r="MN121" s="38"/>
      <c r="MO121" s="38"/>
      <c r="MP121" s="38"/>
      <c r="MQ121" s="38"/>
      <c r="MR121" s="38"/>
      <c r="MS121" s="38"/>
      <c r="MT121" s="38"/>
      <c r="MU121" s="38"/>
      <c r="MV121" s="38"/>
      <c r="MW121" s="38"/>
      <c r="MX121" s="38"/>
      <c r="MY121" s="38"/>
      <c r="MZ121" s="38"/>
      <c r="NA121" s="38"/>
      <c r="NB121" s="38"/>
      <c r="NC121" s="38"/>
      <c r="ND121" s="38"/>
      <c r="NE121" s="38"/>
      <c r="NF121" s="38"/>
      <c r="NG121" s="38"/>
      <c r="NH121" s="38"/>
      <c r="NI121" s="38"/>
      <c r="NJ121" s="38"/>
      <c r="NK121" s="38"/>
      <c r="NL121" s="38"/>
      <c r="NM121" s="38"/>
      <c r="NN121" s="38"/>
      <c r="NO121" s="38"/>
      <c r="NP121" s="38"/>
      <c r="NQ121" s="38"/>
      <c r="NR121" s="38"/>
      <c r="NS121" s="38"/>
      <c r="NT121" s="38"/>
      <c r="NU121" s="38"/>
      <c r="NV121" s="38"/>
      <c r="NW121" s="38"/>
      <c r="NX121" s="38"/>
      <c r="NY121" s="38"/>
      <c r="NZ121" s="38"/>
      <c r="OA121" s="38"/>
      <c r="OB121" s="38"/>
      <c r="OC121" s="38"/>
      <c r="OD121" s="38"/>
      <c r="OE121" s="38"/>
      <c r="OF121" s="38"/>
      <c r="OG121" s="38"/>
      <c r="OH121" s="38"/>
      <c r="OI121" s="38"/>
      <c r="OJ121" s="38"/>
      <c r="OK121" s="38"/>
      <c r="OL121" s="38"/>
      <c r="OM121" s="38"/>
      <c r="ON121" s="38"/>
      <c r="OO121" s="38"/>
      <c r="OP121" s="38"/>
      <c r="OQ121" s="38"/>
      <c r="OR121" s="38"/>
      <c r="OS121" s="38"/>
      <c r="OT121" s="38"/>
      <c r="OU121" s="38"/>
      <c r="OV121" s="38"/>
      <c r="OW121" s="38"/>
      <c r="OX121" s="38"/>
      <c r="OY121" s="38"/>
      <c r="OZ121" s="38"/>
      <c r="PA121" s="38"/>
      <c r="PB121" s="38"/>
      <c r="PC121" s="38"/>
      <c r="PD121" s="38"/>
      <c r="PE121" s="38"/>
      <c r="PF121" s="38"/>
      <c r="PG121" s="38"/>
      <c r="PH121" s="38"/>
      <c r="PI121" s="38"/>
      <c r="PJ121" s="38"/>
      <c r="PK121" s="38"/>
      <c r="PL121" s="38"/>
      <c r="PM121" s="38"/>
      <c r="PN121" s="38"/>
      <c r="PO121" s="38"/>
      <c r="PP121" s="38"/>
      <c r="PQ121" s="38"/>
      <c r="PR121" s="38"/>
      <c r="PS121" s="38"/>
      <c r="PT121" s="38"/>
      <c r="PU121" s="38"/>
      <c r="PV121" s="38"/>
      <c r="PW121" s="38"/>
      <c r="PX121" s="38"/>
      <c r="PY121" s="38"/>
      <c r="PZ121" s="38"/>
      <c r="QA121" s="38"/>
      <c r="QB121" s="38"/>
      <c r="QC121" s="38"/>
      <c r="QD121" s="38"/>
      <c r="QE121" s="38"/>
      <c r="QF121" s="38"/>
      <c r="QG121" s="38"/>
      <c r="QH121" s="38"/>
      <c r="QI121" s="38"/>
      <c r="QJ121" s="38"/>
      <c r="QK121" s="38"/>
      <c r="QL121" s="38"/>
      <c r="QM121" s="38"/>
      <c r="QN121" s="38"/>
      <c r="QO121" s="38"/>
      <c r="QP121" s="38"/>
      <c r="QQ121" s="38"/>
      <c r="QR121" s="38"/>
      <c r="QS121" s="38"/>
      <c r="QT121" s="38"/>
      <c r="QU121" s="38"/>
      <c r="QV121" s="38"/>
      <c r="QW121" s="38"/>
      <c r="QX121" s="38"/>
      <c r="QY121" s="38"/>
      <c r="QZ121" s="38"/>
      <c r="RA121" s="38"/>
      <c r="RB121" s="38"/>
      <c r="RC121" s="38"/>
      <c r="RD121" s="38"/>
      <c r="RE121" s="38"/>
      <c r="RF121" s="38"/>
      <c r="RG121" s="38"/>
      <c r="RH121" s="38"/>
      <c r="RI121" s="38"/>
      <c r="RJ121" s="38"/>
      <c r="RK121" s="38"/>
      <c r="RL121" s="38"/>
      <c r="RM121" s="38"/>
      <c r="RN121" s="38"/>
      <c r="RO121" s="38"/>
      <c r="RP121" s="38"/>
      <c r="RQ121" s="38"/>
      <c r="RR121" s="38"/>
      <c r="RS121" s="38"/>
      <c r="RT121" s="38"/>
      <c r="RU121" s="38"/>
      <c r="RV121" s="38"/>
      <c r="RW121" s="38"/>
      <c r="RX121" s="38"/>
      <c r="RY121" s="38"/>
      <c r="RZ121" s="38"/>
      <c r="SA121" s="38"/>
      <c r="SB121" s="38"/>
      <c r="SC121" s="38"/>
      <c r="SD121" s="38"/>
      <c r="SE121" s="38"/>
      <c r="SF121" s="38"/>
      <c r="SG121" s="38"/>
      <c r="SH121" s="38"/>
      <c r="SI121" s="38"/>
      <c r="SJ121" s="38"/>
      <c r="SK121" s="38"/>
      <c r="SL121" s="38"/>
      <c r="SM121" s="38"/>
      <c r="SN121" s="38"/>
      <c r="SO121" s="38"/>
      <c r="SP121" s="38"/>
      <c r="SQ121" s="38"/>
      <c r="SR121" s="38"/>
      <c r="SS121" s="38"/>
      <c r="ST121" s="38"/>
      <c r="SU121" s="38"/>
      <c r="SV121" s="38"/>
      <c r="SW121" s="38"/>
      <c r="SX121" s="38"/>
      <c r="SY121" s="38"/>
      <c r="SZ121" s="38"/>
      <c r="TA121" s="38"/>
      <c r="TB121" s="38"/>
      <c r="TC121" s="38"/>
      <c r="TD121" s="38"/>
      <c r="TE121" s="38"/>
      <c r="TF121" s="38"/>
      <c r="TG121" s="38"/>
      <c r="TH121" s="38"/>
      <c r="TI121" s="38"/>
      <c r="TJ121" s="38"/>
      <c r="TK121" s="38"/>
      <c r="TL121" s="38"/>
      <c r="TM121" s="38"/>
    </row>
    <row r="122" spans="1:533" s="39" customFormat="1" ht="18.75" x14ac:dyDescent="0.25">
      <c r="B122" s="50" t="s">
        <v>230</v>
      </c>
      <c r="C122" s="41"/>
      <c r="D122" s="63" t="s">
        <v>195</v>
      </c>
      <c r="E122" s="43"/>
      <c r="F122" s="53"/>
      <c r="G122" s="58"/>
      <c r="H122" s="46"/>
      <c r="I122" s="47"/>
      <c r="J122" s="48"/>
      <c r="K122" s="47"/>
      <c r="L122" s="49"/>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c r="CV122" s="38"/>
      <c r="CW122" s="38"/>
      <c r="CX122" s="38"/>
      <c r="CY122" s="38"/>
      <c r="CZ122" s="38"/>
      <c r="DA122" s="38"/>
      <c r="DB122" s="38"/>
      <c r="DC122" s="38"/>
      <c r="DD122" s="38"/>
      <c r="DE122" s="38"/>
      <c r="DF122" s="38"/>
      <c r="DG122" s="38"/>
      <c r="DH122" s="38"/>
      <c r="DI122" s="38"/>
      <c r="DJ122" s="38"/>
      <c r="DK122" s="38"/>
      <c r="DL122" s="38"/>
      <c r="DM122" s="38"/>
      <c r="DN122" s="38"/>
      <c r="DO122" s="38"/>
      <c r="DP122" s="38"/>
      <c r="DQ122" s="38"/>
      <c r="DR122" s="38"/>
      <c r="DS122" s="38"/>
      <c r="DT122" s="38"/>
      <c r="DU122" s="38"/>
      <c r="DV122" s="38"/>
      <c r="DW122" s="38"/>
      <c r="DX122" s="38"/>
      <c r="DY122" s="38"/>
      <c r="DZ122" s="38"/>
      <c r="EA122" s="38"/>
      <c r="EB122" s="38"/>
      <c r="EC122" s="38"/>
      <c r="ED122" s="38"/>
      <c r="EE122" s="38"/>
      <c r="EF122" s="38"/>
      <c r="EG122" s="38"/>
      <c r="EH122" s="38"/>
      <c r="EI122" s="38"/>
      <c r="EJ122" s="38"/>
      <c r="EK122" s="38"/>
      <c r="EL122" s="38"/>
      <c r="EM122" s="38"/>
      <c r="EN122" s="38"/>
      <c r="EO122" s="38"/>
      <c r="EP122" s="38"/>
      <c r="EQ122" s="38"/>
      <c r="ER122" s="38"/>
      <c r="ES122" s="38"/>
      <c r="ET122" s="38"/>
      <c r="EU122" s="38"/>
      <c r="EV122" s="38"/>
      <c r="EW122" s="38"/>
      <c r="EX122" s="38"/>
      <c r="EY122" s="38"/>
      <c r="EZ122" s="38"/>
      <c r="FA122" s="38"/>
      <c r="FB122" s="38"/>
      <c r="FC122" s="38"/>
      <c r="FD122" s="38"/>
      <c r="FE122" s="38"/>
      <c r="FF122" s="38"/>
      <c r="FG122" s="38"/>
      <c r="FH122" s="38"/>
      <c r="FI122" s="38"/>
      <c r="FJ122" s="38"/>
      <c r="FK122" s="38"/>
      <c r="FL122" s="38"/>
      <c r="FM122" s="38"/>
      <c r="FN122" s="38"/>
      <c r="FO122" s="38"/>
      <c r="FP122" s="38"/>
      <c r="FQ122" s="38"/>
      <c r="FR122" s="38"/>
      <c r="FS122" s="38"/>
      <c r="FT122" s="38"/>
      <c r="FU122" s="38"/>
      <c r="FV122" s="38"/>
      <c r="FW122" s="38"/>
      <c r="FX122" s="38"/>
      <c r="FY122" s="38"/>
      <c r="FZ122" s="38"/>
      <c r="GA122" s="38"/>
      <c r="GB122" s="38"/>
      <c r="GC122" s="38"/>
      <c r="GD122" s="38"/>
      <c r="GE122" s="38"/>
      <c r="GF122" s="38"/>
      <c r="GG122" s="38"/>
      <c r="GH122" s="38"/>
      <c r="GI122" s="38"/>
      <c r="GJ122" s="38"/>
      <c r="GK122" s="38"/>
      <c r="GL122" s="38"/>
      <c r="GM122" s="38"/>
      <c r="GN122" s="38"/>
      <c r="GO122" s="38"/>
      <c r="GP122" s="38"/>
      <c r="GQ122" s="38"/>
      <c r="GR122" s="38"/>
      <c r="GS122" s="38"/>
      <c r="GT122" s="38"/>
      <c r="GU122" s="38"/>
      <c r="GV122" s="38"/>
      <c r="GW122" s="38"/>
      <c r="GX122" s="38"/>
      <c r="GY122" s="38"/>
      <c r="GZ122" s="38"/>
      <c r="HA122" s="38"/>
      <c r="HB122" s="38"/>
      <c r="HC122" s="38"/>
      <c r="HD122" s="38"/>
      <c r="HE122" s="38"/>
      <c r="HF122" s="38"/>
      <c r="HG122" s="38"/>
      <c r="HH122" s="38"/>
      <c r="HI122" s="38"/>
      <c r="HJ122" s="38"/>
      <c r="HK122" s="38"/>
      <c r="HL122" s="38"/>
      <c r="HM122" s="38"/>
      <c r="HN122" s="38"/>
      <c r="HO122" s="38"/>
      <c r="HP122" s="38"/>
      <c r="HQ122" s="38"/>
      <c r="HR122" s="38"/>
      <c r="HS122" s="38"/>
      <c r="HT122" s="38"/>
      <c r="HU122" s="38"/>
      <c r="HV122" s="38"/>
      <c r="HW122" s="38"/>
      <c r="HX122" s="38"/>
      <c r="HY122" s="38"/>
      <c r="HZ122" s="38"/>
      <c r="IA122" s="38"/>
      <c r="IB122" s="38"/>
      <c r="IC122" s="38"/>
      <c r="ID122" s="38"/>
      <c r="IE122" s="38"/>
      <c r="IF122" s="38"/>
      <c r="IG122" s="38"/>
      <c r="IH122" s="38"/>
      <c r="II122" s="38"/>
      <c r="IJ122" s="38"/>
      <c r="IK122" s="38"/>
      <c r="IL122" s="38"/>
      <c r="IM122" s="38"/>
      <c r="IN122" s="38"/>
      <c r="IO122" s="38"/>
      <c r="IP122" s="38"/>
      <c r="IQ122" s="38"/>
      <c r="IR122" s="38"/>
      <c r="IS122" s="38"/>
      <c r="IT122" s="38"/>
      <c r="IU122" s="38"/>
      <c r="IV122" s="38"/>
      <c r="IW122" s="38"/>
      <c r="IX122" s="38"/>
      <c r="IY122" s="38"/>
      <c r="IZ122" s="38"/>
      <c r="JA122" s="38"/>
      <c r="JB122" s="38"/>
      <c r="JC122" s="38"/>
      <c r="JD122" s="38"/>
      <c r="JE122" s="38"/>
      <c r="JF122" s="38"/>
      <c r="JG122" s="38"/>
      <c r="JH122" s="38"/>
      <c r="JI122" s="38"/>
      <c r="JJ122" s="38"/>
      <c r="JK122" s="38"/>
      <c r="JL122" s="38"/>
      <c r="JM122" s="38"/>
      <c r="JN122" s="38"/>
      <c r="JO122" s="38"/>
      <c r="JP122" s="38"/>
      <c r="JQ122" s="38"/>
      <c r="JR122" s="38"/>
      <c r="JS122" s="38"/>
      <c r="JT122" s="38"/>
      <c r="JU122" s="38"/>
      <c r="JV122" s="38"/>
      <c r="JW122" s="38"/>
      <c r="JX122" s="38"/>
      <c r="JY122" s="38"/>
      <c r="JZ122" s="38"/>
      <c r="KA122" s="38"/>
      <c r="KB122" s="38"/>
      <c r="KC122" s="38"/>
      <c r="KD122" s="38"/>
      <c r="KE122" s="38"/>
      <c r="KF122" s="38"/>
      <c r="KG122" s="38"/>
      <c r="KH122" s="38"/>
      <c r="KI122" s="38"/>
      <c r="KJ122" s="38"/>
      <c r="KK122" s="38"/>
      <c r="KL122" s="38"/>
      <c r="KM122" s="38"/>
      <c r="KN122" s="38"/>
      <c r="KO122" s="38"/>
      <c r="KP122" s="38"/>
      <c r="KQ122" s="38"/>
      <c r="KR122" s="38"/>
      <c r="KS122" s="38"/>
      <c r="KT122" s="38"/>
      <c r="KU122" s="38"/>
      <c r="KV122" s="38"/>
      <c r="KW122" s="38"/>
      <c r="KX122" s="38"/>
      <c r="KY122" s="38"/>
      <c r="KZ122" s="38"/>
      <c r="LA122" s="38"/>
      <c r="LB122" s="38"/>
      <c r="LC122" s="38"/>
      <c r="LD122" s="38"/>
      <c r="LE122" s="38"/>
      <c r="LF122" s="38"/>
      <c r="LG122" s="38"/>
      <c r="LH122" s="38"/>
      <c r="LI122" s="38"/>
      <c r="LJ122" s="38"/>
      <c r="LK122" s="38"/>
      <c r="LL122" s="38"/>
      <c r="LM122" s="38"/>
      <c r="LN122" s="38"/>
      <c r="LO122" s="38"/>
      <c r="LP122" s="38"/>
      <c r="LQ122" s="38"/>
      <c r="LR122" s="38"/>
      <c r="LS122" s="38"/>
      <c r="LT122" s="38"/>
      <c r="LU122" s="38"/>
      <c r="LV122" s="38"/>
      <c r="LW122" s="38"/>
      <c r="LX122" s="38"/>
      <c r="LY122" s="38"/>
      <c r="LZ122" s="38"/>
      <c r="MA122" s="38"/>
      <c r="MB122" s="38"/>
      <c r="MC122" s="38"/>
      <c r="MD122" s="38"/>
      <c r="ME122" s="38"/>
      <c r="MF122" s="38"/>
      <c r="MG122" s="38"/>
      <c r="MH122" s="38"/>
      <c r="MI122" s="38"/>
      <c r="MJ122" s="38"/>
      <c r="MK122" s="38"/>
      <c r="ML122" s="38"/>
      <c r="MM122" s="38"/>
      <c r="MN122" s="38"/>
      <c r="MO122" s="38"/>
      <c r="MP122" s="38"/>
      <c r="MQ122" s="38"/>
      <c r="MR122" s="38"/>
      <c r="MS122" s="38"/>
      <c r="MT122" s="38"/>
      <c r="MU122" s="38"/>
      <c r="MV122" s="38"/>
      <c r="MW122" s="38"/>
      <c r="MX122" s="38"/>
      <c r="MY122" s="38"/>
      <c r="MZ122" s="38"/>
      <c r="NA122" s="38"/>
      <c r="NB122" s="38"/>
      <c r="NC122" s="38"/>
      <c r="ND122" s="38"/>
      <c r="NE122" s="38"/>
      <c r="NF122" s="38"/>
      <c r="NG122" s="38"/>
      <c r="NH122" s="38"/>
      <c r="NI122" s="38"/>
      <c r="NJ122" s="38"/>
      <c r="NK122" s="38"/>
      <c r="NL122" s="38"/>
      <c r="NM122" s="38"/>
      <c r="NN122" s="38"/>
      <c r="NO122" s="38"/>
      <c r="NP122" s="38"/>
      <c r="NQ122" s="38"/>
      <c r="NR122" s="38"/>
      <c r="NS122" s="38"/>
      <c r="NT122" s="38"/>
      <c r="NU122" s="38"/>
      <c r="NV122" s="38"/>
      <c r="NW122" s="38"/>
      <c r="NX122" s="38"/>
      <c r="NY122" s="38"/>
      <c r="NZ122" s="38"/>
      <c r="OA122" s="38"/>
      <c r="OB122" s="38"/>
      <c r="OC122" s="38"/>
      <c r="OD122" s="38"/>
      <c r="OE122" s="38"/>
      <c r="OF122" s="38"/>
      <c r="OG122" s="38"/>
      <c r="OH122" s="38"/>
      <c r="OI122" s="38"/>
      <c r="OJ122" s="38"/>
      <c r="OK122" s="38"/>
      <c r="OL122" s="38"/>
      <c r="OM122" s="38"/>
      <c r="ON122" s="38"/>
      <c r="OO122" s="38"/>
      <c r="OP122" s="38"/>
      <c r="OQ122" s="38"/>
      <c r="OR122" s="38"/>
      <c r="OS122" s="38"/>
      <c r="OT122" s="38"/>
      <c r="OU122" s="38"/>
      <c r="OV122" s="38"/>
      <c r="OW122" s="38"/>
      <c r="OX122" s="38"/>
      <c r="OY122" s="38"/>
      <c r="OZ122" s="38"/>
      <c r="PA122" s="38"/>
      <c r="PB122" s="38"/>
      <c r="PC122" s="38"/>
      <c r="PD122" s="38"/>
      <c r="PE122" s="38"/>
      <c r="PF122" s="38"/>
      <c r="PG122" s="38"/>
      <c r="PH122" s="38"/>
      <c r="PI122" s="38"/>
      <c r="PJ122" s="38"/>
      <c r="PK122" s="38"/>
      <c r="PL122" s="38"/>
      <c r="PM122" s="38"/>
      <c r="PN122" s="38"/>
      <c r="PO122" s="38"/>
      <c r="PP122" s="38"/>
      <c r="PQ122" s="38"/>
      <c r="PR122" s="38"/>
      <c r="PS122" s="38"/>
      <c r="PT122" s="38"/>
      <c r="PU122" s="38"/>
      <c r="PV122" s="38"/>
      <c r="PW122" s="38"/>
      <c r="PX122" s="38"/>
      <c r="PY122" s="38"/>
      <c r="PZ122" s="38"/>
      <c r="QA122" s="38"/>
      <c r="QB122" s="38"/>
      <c r="QC122" s="38"/>
      <c r="QD122" s="38"/>
      <c r="QE122" s="38"/>
      <c r="QF122" s="38"/>
      <c r="QG122" s="38"/>
      <c r="QH122" s="38"/>
      <c r="QI122" s="38"/>
      <c r="QJ122" s="38"/>
      <c r="QK122" s="38"/>
      <c r="QL122" s="38"/>
      <c r="QM122" s="38"/>
      <c r="QN122" s="38"/>
      <c r="QO122" s="38"/>
      <c r="QP122" s="38"/>
      <c r="QQ122" s="38"/>
      <c r="QR122" s="38"/>
      <c r="QS122" s="38"/>
      <c r="QT122" s="38"/>
      <c r="QU122" s="38"/>
      <c r="QV122" s="38"/>
      <c r="QW122" s="38"/>
      <c r="QX122" s="38"/>
      <c r="QY122" s="38"/>
      <c r="QZ122" s="38"/>
      <c r="RA122" s="38"/>
      <c r="RB122" s="38"/>
      <c r="RC122" s="38"/>
      <c r="RD122" s="38"/>
      <c r="RE122" s="38"/>
      <c r="RF122" s="38"/>
      <c r="RG122" s="38"/>
      <c r="RH122" s="38"/>
      <c r="RI122" s="38"/>
      <c r="RJ122" s="38"/>
      <c r="RK122" s="38"/>
      <c r="RL122" s="38"/>
      <c r="RM122" s="38"/>
      <c r="RN122" s="38"/>
      <c r="RO122" s="38"/>
      <c r="RP122" s="38"/>
      <c r="RQ122" s="38"/>
      <c r="RR122" s="38"/>
      <c r="RS122" s="38"/>
      <c r="RT122" s="38"/>
      <c r="RU122" s="38"/>
      <c r="RV122" s="38"/>
      <c r="RW122" s="38"/>
      <c r="RX122" s="38"/>
      <c r="RY122" s="38"/>
      <c r="RZ122" s="38"/>
      <c r="SA122" s="38"/>
      <c r="SB122" s="38"/>
      <c r="SC122" s="38"/>
      <c r="SD122" s="38"/>
      <c r="SE122" s="38"/>
      <c r="SF122" s="38"/>
      <c r="SG122" s="38"/>
      <c r="SH122" s="38"/>
      <c r="SI122" s="38"/>
      <c r="SJ122" s="38"/>
      <c r="SK122" s="38"/>
      <c r="SL122" s="38"/>
      <c r="SM122" s="38"/>
      <c r="SN122" s="38"/>
      <c r="SO122" s="38"/>
      <c r="SP122" s="38"/>
      <c r="SQ122" s="38"/>
      <c r="SR122" s="38"/>
      <c r="SS122" s="38"/>
      <c r="ST122" s="38"/>
      <c r="SU122" s="38"/>
      <c r="SV122" s="38"/>
      <c r="SW122" s="38"/>
      <c r="SX122" s="38"/>
      <c r="SY122" s="38"/>
      <c r="SZ122" s="38"/>
      <c r="TA122" s="38"/>
      <c r="TB122" s="38"/>
      <c r="TC122" s="38"/>
      <c r="TD122" s="38"/>
      <c r="TE122" s="38"/>
      <c r="TF122" s="38"/>
      <c r="TG122" s="38"/>
      <c r="TH122" s="38"/>
      <c r="TI122" s="38"/>
      <c r="TJ122" s="38"/>
      <c r="TK122" s="38"/>
      <c r="TL122" s="38"/>
      <c r="TM122" s="38"/>
    </row>
    <row r="123" spans="1:533" s="39" customFormat="1" ht="37.5" x14ac:dyDescent="0.25">
      <c r="B123" s="50" t="s">
        <v>230</v>
      </c>
      <c r="C123" s="41" t="s">
        <v>242</v>
      </c>
      <c r="D123" s="56" t="s">
        <v>243</v>
      </c>
      <c r="E123" s="43" t="s">
        <v>75</v>
      </c>
      <c r="F123" s="53">
        <v>66</v>
      </c>
      <c r="G123" s="58"/>
      <c r="H123" s="46"/>
      <c r="I123" s="47">
        <f t="shared" si="21"/>
        <v>0</v>
      </c>
      <c r="J123" s="48">
        <v>2048</v>
      </c>
      <c r="K123" s="47" t="s">
        <v>30</v>
      </c>
      <c r="L123" s="49"/>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c r="CS123" s="38"/>
      <c r="CT123" s="38"/>
      <c r="CU123" s="38"/>
      <c r="CV123" s="38"/>
      <c r="CW123" s="38"/>
      <c r="CX123" s="38"/>
      <c r="CY123" s="38"/>
      <c r="CZ123" s="38"/>
      <c r="DA123" s="38"/>
      <c r="DB123" s="38"/>
      <c r="DC123" s="38"/>
      <c r="DD123" s="38"/>
      <c r="DE123" s="38"/>
      <c r="DF123" s="38"/>
      <c r="DG123" s="38"/>
      <c r="DH123" s="38"/>
      <c r="DI123" s="38"/>
      <c r="DJ123" s="38"/>
      <c r="DK123" s="38"/>
      <c r="DL123" s="38"/>
      <c r="DM123" s="38"/>
      <c r="DN123" s="38"/>
      <c r="DO123" s="38"/>
      <c r="DP123" s="38"/>
      <c r="DQ123" s="38"/>
      <c r="DR123" s="38"/>
      <c r="DS123" s="38"/>
      <c r="DT123" s="38"/>
      <c r="DU123" s="38"/>
      <c r="DV123" s="38"/>
      <c r="DW123" s="38"/>
      <c r="DX123" s="38"/>
      <c r="DY123" s="38"/>
      <c r="DZ123" s="38"/>
      <c r="EA123" s="38"/>
      <c r="EB123" s="38"/>
      <c r="EC123" s="38"/>
      <c r="ED123" s="38"/>
      <c r="EE123" s="38"/>
      <c r="EF123" s="38"/>
      <c r="EG123" s="38"/>
      <c r="EH123" s="38"/>
      <c r="EI123" s="38"/>
      <c r="EJ123" s="38"/>
      <c r="EK123" s="38"/>
      <c r="EL123" s="38"/>
      <c r="EM123" s="38"/>
      <c r="EN123" s="38"/>
      <c r="EO123" s="38"/>
      <c r="EP123" s="38"/>
      <c r="EQ123" s="38"/>
      <c r="ER123" s="38"/>
      <c r="ES123" s="38"/>
      <c r="ET123" s="38"/>
      <c r="EU123" s="38"/>
      <c r="EV123" s="38"/>
      <c r="EW123" s="38"/>
      <c r="EX123" s="38"/>
      <c r="EY123" s="38"/>
      <c r="EZ123" s="38"/>
      <c r="FA123" s="38"/>
      <c r="FB123" s="38"/>
      <c r="FC123" s="38"/>
      <c r="FD123" s="38"/>
      <c r="FE123" s="38"/>
      <c r="FF123" s="38"/>
      <c r="FG123" s="38"/>
      <c r="FH123" s="38"/>
      <c r="FI123" s="38"/>
      <c r="FJ123" s="38"/>
      <c r="FK123" s="38"/>
      <c r="FL123" s="38"/>
      <c r="FM123" s="38"/>
      <c r="FN123" s="38"/>
      <c r="FO123" s="38"/>
      <c r="FP123" s="38"/>
      <c r="FQ123" s="38"/>
      <c r="FR123" s="38"/>
      <c r="FS123" s="38"/>
      <c r="FT123" s="38"/>
      <c r="FU123" s="38"/>
      <c r="FV123" s="38"/>
      <c r="FW123" s="38"/>
      <c r="FX123" s="38"/>
      <c r="FY123" s="38"/>
      <c r="FZ123" s="38"/>
      <c r="GA123" s="38"/>
      <c r="GB123" s="38"/>
      <c r="GC123" s="38"/>
      <c r="GD123" s="38"/>
      <c r="GE123" s="38"/>
      <c r="GF123" s="38"/>
      <c r="GG123" s="38"/>
      <c r="GH123" s="38"/>
      <c r="GI123" s="38"/>
      <c r="GJ123" s="38"/>
      <c r="GK123" s="38"/>
      <c r="GL123" s="38"/>
      <c r="GM123" s="38"/>
      <c r="GN123" s="38"/>
      <c r="GO123" s="38"/>
      <c r="GP123" s="38"/>
      <c r="GQ123" s="38"/>
      <c r="GR123" s="38"/>
      <c r="GS123" s="38"/>
      <c r="GT123" s="38"/>
      <c r="GU123" s="38"/>
      <c r="GV123" s="38"/>
      <c r="GW123" s="38"/>
      <c r="GX123" s="38"/>
      <c r="GY123" s="38"/>
      <c r="GZ123" s="38"/>
      <c r="HA123" s="38"/>
      <c r="HB123" s="38"/>
      <c r="HC123" s="38"/>
      <c r="HD123" s="38"/>
      <c r="HE123" s="38"/>
      <c r="HF123" s="38"/>
      <c r="HG123" s="38"/>
      <c r="HH123" s="38"/>
      <c r="HI123" s="38"/>
      <c r="HJ123" s="38"/>
      <c r="HK123" s="38"/>
      <c r="HL123" s="38"/>
      <c r="HM123" s="38"/>
      <c r="HN123" s="38"/>
      <c r="HO123" s="38"/>
      <c r="HP123" s="38"/>
      <c r="HQ123" s="38"/>
      <c r="HR123" s="38"/>
      <c r="HS123" s="38"/>
      <c r="HT123" s="38"/>
      <c r="HU123" s="38"/>
      <c r="HV123" s="38"/>
      <c r="HW123" s="38"/>
      <c r="HX123" s="38"/>
      <c r="HY123" s="38"/>
      <c r="HZ123" s="38"/>
      <c r="IA123" s="38"/>
      <c r="IB123" s="38"/>
      <c r="IC123" s="38"/>
      <c r="ID123" s="38"/>
      <c r="IE123" s="38"/>
      <c r="IF123" s="38"/>
      <c r="IG123" s="38"/>
      <c r="IH123" s="38"/>
      <c r="II123" s="38"/>
      <c r="IJ123" s="38"/>
      <c r="IK123" s="38"/>
      <c r="IL123" s="38"/>
      <c r="IM123" s="38"/>
      <c r="IN123" s="38"/>
      <c r="IO123" s="38"/>
      <c r="IP123" s="38"/>
      <c r="IQ123" s="38"/>
      <c r="IR123" s="38"/>
      <c r="IS123" s="38"/>
      <c r="IT123" s="38"/>
      <c r="IU123" s="38"/>
      <c r="IV123" s="38"/>
      <c r="IW123" s="38"/>
      <c r="IX123" s="38"/>
      <c r="IY123" s="38"/>
      <c r="IZ123" s="38"/>
      <c r="JA123" s="38"/>
      <c r="JB123" s="38"/>
      <c r="JC123" s="38"/>
      <c r="JD123" s="38"/>
      <c r="JE123" s="38"/>
      <c r="JF123" s="38"/>
      <c r="JG123" s="38"/>
      <c r="JH123" s="38"/>
      <c r="JI123" s="38"/>
      <c r="JJ123" s="38"/>
      <c r="JK123" s="38"/>
      <c r="JL123" s="38"/>
      <c r="JM123" s="38"/>
      <c r="JN123" s="38"/>
      <c r="JO123" s="38"/>
      <c r="JP123" s="38"/>
      <c r="JQ123" s="38"/>
      <c r="JR123" s="38"/>
      <c r="JS123" s="38"/>
      <c r="JT123" s="38"/>
      <c r="JU123" s="38"/>
      <c r="JV123" s="38"/>
      <c r="JW123" s="38"/>
      <c r="JX123" s="38"/>
      <c r="JY123" s="38"/>
      <c r="JZ123" s="38"/>
      <c r="KA123" s="38"/>
      <c r="KB123" s="38"/>
      <c r="KC123" s="38"/>
      <c r="KD123" s="38"/>
      <c r="KE123" s="38"/>
      <c r="KF123" s="38"/>
      <c r="KG123" s="38"/>
      <c r="KH123" s="38"/>
      <c r="KI123" s="38"/>
      <c r="KJ123" s="38"/>
      <c r="KK123" s="38"/>
      <c r="KL123" s="38"/>
      <c r="KM123" s="38"/>
      <c r="KN123" s="38"/>
      <c r="KO123" s="38"/>
      <c r="KP123" s="38"/>
      <c r="KQ123" s="38"/>
      <c r="KR123" s="38"/>
      <c r="KS123" s="38"/>
      <c r="KT123" s="38"/>
      <c r="KU123" s="38"/>
      <c r="KV123" s="38"/>
      <c r="KW123" s="38"/>
      <c r="KX123" s="38"/>
      <c r="KY123" s="38"/>
      <c r="KZ123" s="38"/>
      <c r="LA123" s="38"/>
      <c r="LB123" s="38"/>
      <c r="LC123" s="38"/>
      <c r="LD123" s="38"/>
      <c r="LE123" s="38"/>
      <c r="LF123" s="38"/>
      <c r="LG123" s="38"/>
      <c r="LH123" s="38"/>
      <c r="LI123" s="38"/>
      <c r="LJ123" s="38"/>
      <c r="LK123" s="38"/>
      <c r="LL123" s="38"/>
      <c r="LM123" s="38"/>
      <c r="LN123" s="38"/>
      <c r="LO123" s="38"/>
      <c r="LP123" s="38"/>
      <c r="LQ123" s="38"/>
      <c r="LR123" s="38"/>
      <c r="LS123" s="38"/>
      <c r="LT123" s="38"/>
      <c r="LU123" s="38"/>
      <c r="LV123" s="38"/>
      <c r="LW123" s="38"/>
      <c r="LX123" s="38"/>
      <c r="LY123" s="38"/>
      <c r="LZ123" s="38"/>
      <c r="MA123" s="38"/>
      <c r="MB123" s="38"/>
      <c r="MC123" s="38"/>
      <c r="MD123" s="38"/>
      <c r="ME123" s="38"/>
      <c r="MF123" s="38"/>
      <c r="MG123" s="38"/>
      <c r="MH123" s="38"/>
      <c r="MI123" s="38"/>
      <c r="MJ123" s="38"/>
      <c r="MK123" s="38"/>
      <c r="ML123" s="38"/>
      <c r="MM123" s="38"/>
      <c r="MN123" s="38"/>
      <c r="MO123" s="38"/>
      <c r="MP123" s="38"/>
      <c r="MQ123" s="38"/>
      <c r="MR123" s="38"/>
      <c r="MS123" s="38"/>
      <c r="MT123" s="38"/>
      <c r="MU123" s="38"/>
      <c r="MV123" s="38"/>
      <c r="MW123" s="38"/>
      <c r="MX123" s="38"/>
      <c r="MY123" s="38"/>
      <c r="MZ123" s="38"/>
      <c r="NA123" s="38"/>
      <c r="NB123" s="38"/>
      <c r="NC123" s="38"/>
      <c r="ND123" s="38"/>
      <c r="NE123" s="38"/>
      <c r="NF123" s="38"/>
      <c r="NG123" s="38"/>
      <c r="NH123" s="38"/>
      <c r="NI123" s="38"/>
      <c r="NJ123" s="38"/>
      <c r="NK123" s="38"/>
      <c r="NL123" s="38"/>
      <c r="NM123" s="38"/>
      <c r="NN123" s="38"/>
      <c r="NO123" s="38"/>
      <c r="NP123" s="38"/>
      <c r="NQ123" s="38"/>
      <c r="NR123" s="38"/>
      <c r="NS123" s="38"/>
      <c r="NT123" s="38"/>
      <c r="NU123" s="38"/>
      <c r="NV123" s="38"/>
      <c r="NW123" s="38"/>
      <c r="NX123" s="38"/>
      <c r="NY123" s="38"/>
      <c r="NZ123" s="38"/>
      <c r="OA123" s="38"/>
      <c r="OB123" s="38"/>
      <c r="OC123" s="38"/>
      <c r="OD123" s="38"/>
      <c r="OE123" s="38"/>
      <c r="OF123" s="38"/>
      <c r="OG123" s="38"/>
      <c r="OH123" s="38"/>
      <c r="OI123" s="38"/>
      <c r="OJ123" s="38"/>
      <c r="OK123" s="38"/>
      <c r="OL123" s="38"/>
      <c r="OM123" s="38"/>
      <c r="ON123" s="38"/>
      <c r="OO123" s="38"/>
      <c r="OP123" s="38"/>
      <c r="OQ123" s="38"/>
      <c r="OR123" s="38"/>
      <c r="OS123" s="38"/>
      <c r="OT123" s="38"/>
      <c r="OU123" s="38"/>
      <c r="OV123" s="38"/>
      <c r="OW123" s="38"/>
      <c r="OX123" s="38"/>
      <c r="OY123" s="38"/>
      <c r="OZ123" s="38"/>
      <c r="PA123" s="38"/>
      <c r="PB123" s="38"/>
      <c r="PC123" s="38"/>
      <c r="PD123" s="38"/>
      <c r="PE123" s="38"/>
      <c r="PF123" s="38"/>
      <c r="PG123" s="38"/>
      <c r="PH123" s="38"/>
      <c r="PI123" s="38"/>
      <c r="PJ123" s="38"/>
      <c r="PK123" s="38"/>
      <c r="PL123" s="38"/>
      <c r="PM123" s="38"/>
      <c r="PN123" s="38"/>
      <c r="PO123" s="38"/>
      <c r="PP123" s="38"/>
      <c r="PQ123" s="38"/>
      <c r="PR123" s="38"/>
      <c r="PS123" s="38"/>
      <c r="PT123" s="38"/>
      <c r="PU123" s="38"/>
      <c r="PV123" s="38"/>
      <c r="PW123" s="38"/>
      <c r="PX123" s="38"/>
      <c r="PY123" s="38"/>
      <c r="PZ123" s="38"/>
      <c r="QA123" s="38"/>
      <c r="QB123" s="38"/>
      <c r="QC123" s="38"/>
      <c r="QD123" s="38"/>
      <c r="QE123" s="38"/>
      <c r="QF123" s="38"/>
      <c r="QG123" s="38"/>
      <c r="QH123" s="38"/>
      <c r="QI123" s="38"/>
      <c r="QJ123" s="38"/>
      <c r="QK123" s="38"/>
      <c r="QL123" s="38"/>
      <c r="QM123" s="38"/>
      <c r="QN123" s="38"/>
      <c r="QO123" s="38"/>
      <c r="QP123" s="38"/>
      <c r="QQ123" s="38"/>
      <c r="QR123" s="38"/>
      <c r="QS123" s="38"/>
      <c r="QT123" s="38"/>
      <c r="QU123" s="38"/>
      <c r="QV123" s="38"/>
      <c r="QW123" s="38"/>
      <c r="QX123" s="38"/>
      <c r="QY123" s="38"/>
      <c r="QZ123" s="38"/>
      <c r="RA123" s="38"/>
      <c r="RB123" s="38"/>
      <c r="RC123" s="38"/>
      <c r="RD123" s="38"/>
      <c r="RE123" s="38"/>
      <c r="RF123" s="38"/>
      <c r="RG123" s="38"/>
      <c r="RH123" s="38"/>
      <c r="RI123" s="38"/>
      <c r="RJ123" s="38"/>
      <c r="RK123" s="38"/>
      <c r="RL123" s="38"/>
      <c r="RM123" s="38"/>
      <c r="RN123" s="38"/>
      <c r="RO123" s="38"/>
      <c r="RP123" s="38"/>
      <c r="RQ123" s="38"/>
      <c r="RR123" s="38"/>
      <c r="RS123" s="38"/>
      <c r="RT123" s="38"/>
      <c r="RU123" s="38"/>
      <c r="RV123" s="38"/>
      <c r="RW123" s="38"/>
      <c r="RX123" s="38"/>
      <c r="RY123" s="38"/>
      <c r="RZ123" s="38"/>
      <c r="SA123" s="38"/>
      <c r="SB123" s="38"/>
      <c r="SC123" s="38"/>
      <c r="SD123" s="38"/>
      <c r="SE123" s="38"/>
      <c r="SF123" s="38"/>
      <c r="SG123" s="38"/>
      <c r="SH123" s="38"/>
      <c r="SI123" s="38"/>
      <c r="SJ123" s="38"/>
      <c r="SK123" s="38"/>
      <c r="SL123" s="38"/>
      <c r="SM123" s="38"/>
      <c r="SN123" s="38"/>
      <c r="SO123" s="38"/>
      <c r="SP123" s="38"/>
      <c r="SQ123" s="38"/>
      <c r="SR123" s="38"/>
      <c r="SS123" s="38"/>
      <c r="ST123" s="38"/>
      <c r="SU123" s="38"/>
      <c r="SV123" s="38"/>
      <c r="SW123" s="38"/>
      <c r="SX123" s="38"/>
      <c r="SY123" s="38"/>
      <c r="SZ123" s="38"/>
      <c r="TA123" s="38"/>
      <c r="TB123" s="38"/>
      <c r="TC123" s="38"/>
      <c r="TD123" s="38"/>
      <c r="TE123" s="38"/>
      <c r="TF123" s="38"/>
      <c r="TG123" s="38"/>
      <c r="TH123" s="38"/>
      <c r="TI123" s="38"/>
      <c r="TJ123" s="38"/>
      <c r="TK123" s="38"/>
      <c r="TL123" s="38"/>
      <c r="TM123" s="38"/>
    </row>
    <row r="124" spans="1:533" s="39" customFormat="1" ht="150" x14ac:dyDescent="0.25">
      <c r="B124" s="50" t="s">
        <v>244</v>
      </c>
      <c r="C124" s="41"/>
      <c r="D124" s="57" t="s">
        <v>245</v>
      </c>
      <c r="E124" s="86"/>
      <c r="F124" s="53"/>
      <c r="G124" s="54"/>
      <c r="H124" s="46"/>
      <c r="I124" s="92"/>
      <c r="J124" s="48"/>
      <c r="K124" s="92"/>
      <c r="L124" s="49"/>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c r="CV124" s="38"/>
      <c r="CW124" s="38"/>
      <c r="CX124" s="38"/>
      <c r="CY124" s="38"/>
      <c r="CZ124" s="38"/>
      <c r="DA124" s="38"/>
      <c r="DB124" s="38"/>
      <c r="DC124" s="38"/>
      <c r="DD124" s="38"/>
      <c r="DE124" s="38"/>
      <c r="DF124" s="38"/>
      <c r="DG124" s="38"/>
      <c r="DH124" s="38"/>
      <c r="DI124" s="38"/>
      <c r="DJ124" s="38"/>
      <c r="DK124" s="38"/>
      <c r="DL124" s="38"/>
      <c r="DM124" s="38"/>
      <c r="DN124" s="38"/>
      <c r="DO124" s="38"/>
      <c r="DP124" s="38"/>
      <c r="DQ124" s="38"/>
      <c r="DR124" s="38"/>
      <c r="DS124" s="38"/>
      <c r="DT124" s="38"/>
      <c r="DU124" s="38"/>
      <c r="DV124" s="38"/>
      <c r="DW124" s="38"/>
      <c r="DX124" s="38"/>
      <c r="DY124" s="38"/>
      <c r="DZ124" s="38"/>
      <c r="EA124" s="38"/>
      <c r="EB124" s="38"/>
      <c r="EC124" s="38"/>
      <c r="ED124" s="38"/>
      <c r="EE124" s="38"/>
      <c r="EF124" s="38"/>
      <c r="EG124" s="38"/>
      <c r="EH124" s="38"/>
      <c r="EI124" s="38"/>
      <c r="EJ124" s="38"/>
      <c r="EK124" s="38"/>
      <c r="EL124" s="38"/>
      <c r="EM124" s="38"/>
      <c r="EN124" s="38"/>
      <c r="EO124" s="38"/>
      <c r="EP124" s="38"/>
      <c r="EQ124" s="38"/>
      <c r="ER124" s="38"/>
      <c r="ES124" s="38"/>
      <c r="ET124" s="38"/>
      <c r="EU124" s="38"/>
      <c r="EV124" s="38"/>
      <c r="EW124" s="38"/>
      <c r="EX124" s="38"/>
      <c r="EY124" s="38"/>
      <c r="EZ124" s="38"/>
      <c r="FA124" s="38"/>
      <c r="FB124" s="38"/>
      <c r="FC124" s="38"/>
      <c r="FD124" s="38"/>
      <c r="FE124" s="38"/>
      <c r="FF124" s="38"/>
      <c r="FG124" s="38"/>
      <c r="FH124" s="38"/>
      <c r="FI124" s="38"/>
      <c r="FJ124" s="38"/>
      <c r="FK124" s="38"/>
      <c r="FL124" s="38"/>
      <c r="FM124" s="38"/>
      <c r="FN124" s="38"/>
      <c r="FO124" s="38"/>
      <c r="FP124" s="38"/>
      <c r="FQ124" s="38"/>
      <c r="FR124" s="38"/>
      <c r="FS124" s="38"/>
      <c r="FT124" s="38"/>
      <c r="FU124" s="38"/>
      <c r="FV124" s="38"/>
      <c r="FW124" s="38"/>
      <c r="FX124" s="38"/>
      <c r="FY124" s="38"/>
      <c r="FZ124" s="38"/>
      <c r="GA124" s="38"/>
      <c r="GB124" s="38"/>
      <c r="GC124" s="38"/>
      <c r="GD124" s="38"/>
      <c r="GE124" s="38"/>
      <c r="GF124" s="38"/>
      <c r="GG124" s="38"/>
      <c r="GH124" s="38"/>
      <c r="GI124" s="38"/>
      <c r="GJ124" s="38"/>
      <c r="GK124" s="38"/>
      <c r="GL124" s="38"/>
      <c r="GM124" s="38"/>
      <c r="GN124" s="38"/>
      <c r="GO124" s="38"/>
      <c r="GP124" s="38"/>
      <c r="GQ124" s="38"/>
      <c r="GR124" s="38"/>
      <c r="GS124" s="38"/>
      <c r="GT124" s="38"/>
      <c r="GU124" s="38"/>
      <c r="GV124" s="38"/>
      <c r="GW124" s="38"/>
      <c r="GX124" s="38"/>
      <c r="GY124" s="38"/>
      <c r="GZ124" s="38"/>
      <c r="HA124" s="38"/>
      <c r="HB124" s="38"/>
      <c r="HC124" s="38"/>
      <c r="HD124" s="38"/>
      <c r="HE124" s="38"/>
      <c r="HF124" s="38"/>
      <c r="HG124" s="38"/>
      <c r="HH124" s="38"/>
      <c r="HI124" s="38"/>
      <c r="HJ124" s="38"/>
      <c r="HK124" s="38"/>
      <c r="HL124" s="38"/>
      <c r="HM124" s="38"/>
      <c r="HN124" s="38"/>
      <c r="HO124" s="38"/>
      <c r="HP124" s="38"/>
      <c r="HQ124" s="38"/>
      <c r="HR124" s="38"/>
      <c r="HS124" s="38"/>
      <c r="HT124" s="38"/>
      <c r="HU124" s="38"/>
      <c r="HV124" s="38"/>
      <c r="HW124" s="38"/>
      <c r="HX124" s="38"/>
      <c r="HY124" s="38"/>
      <c r="HZ124" s="38"/>
      <c r="IA124" s="38"/>
      <c r="IB124" s="38"/>
      <c r="IC124" s="38"/>
      <c r="ID124" s="38"/>
      <c r="IE124" s="38"/>
      <c r="IF124" s="38"/>
      <c r="IG124" s="38"/>
      <c r="IH124" s="38"/>
      <c r="II124" s="38"/>
      <c r="IJ124" s="38"/>
      <c r="IK124" s="38"/>
      <c r="IL124" s="38"/>
      <c r="IM124" s="38"/>
      <c r="IN124" s="38"/>
      <c r="IO124" s="38"/>
      <c r="IP124" s="38"/>
      <c r="IQ124" s="38"/>
      <c r="IR124" s="38"/>
      <c r="IS124" s="38"/>
      <c r="IT124" s="38"/>
      <c r="IU124" s="38"/>
      <c r="IV124" s="38"/>
      <c r="IW124" s="38"/>
      <c r="IX124" s="38"/>
      <c r="IY124" s="38"/>
      <c r="IZ124" s="38"/>
      <c r="JA124" s="38"/>
      <c r="JB124" s="38"/>
      <c r="JC124" s="38"/>
      <c r="JD124" s="38"/>
      <c r="JE124" s="38"/>
      <c r="JF124" s="38"/>
      <c r="JG124" s="38"/>
      <c r="JH124" s="38"/>
      <c r="JI124" s="38"/>
      <c r="JJ124" s="38"/>
      <c r="JK124" s="38"/>
      <c r="JL124" s="38"/>
      <c r="JM124" s="38"/>
      <c r="JN124" s="38"/>
      <c r="JO124" s="38"/>
      <c r="JP124" s="38"/>
      <c r="JQ124" s="38"/>
      <c r="JR124" s="38"/>
      <c r="JS124" s="38"/>
      <c r="JT124" s="38"/>
      <c r="JU124" s="38"/>
      <c r="JV124" s="38"/>
      <c r="JW124" s="38"/>
      <c r="JX124" s="38"/>
      <c r="JY124" s="38"/>
      <c r="JZ124" s="38"/>
      <c r="KA124" s="38"/>
      <c r="KB124" s="38"/>
      <c r="KC124" s="38"/>
      <c r="KD124" s="38"/>
      <c r="KE124" s="38"/>
      <c r="KF124" s="38"/>
      <c r="KG124" s="38"/>
      <c r="KH124" s="38"/>
      <c r="KI124" s="38"/>
      <c r="KJ124" s="38"/>
      <c r="KK124" s="38"/>
      <c r="KL124" s="38"/>
      <c r="KM124" s="38"/>
      <c r="KN124" s="38"/>
      <c r="KO124" s="38"/>
      <c r="KP124" s="38"/>
      <c r="KQ124" s="38"/>
      <c r="KR124" s="38"/>
      <c r="KS124" s="38"/>
      <c r="KT124" s="38"/>
      <c r="KU124" s="38"/>
      <c r="KV124" s="38"/>
      <c r="KW124" s="38"/>
      <c r="KX124" s="38"/>
      <c r="KY124" s="38"/>
      <c r="KZ124" s="38"/>
      <c r="LA124" s="38"/>
      <c r="LB124" s="38"/>
      <c r="LC124" s="38"/>
      <c r="LD124" s="38"/>
      <c r="LE124" s="38"/>
      <c r="LF124" s="38"/>
      <c r="LG124" s="38"/>
      <c r="LH124" s="38"/>
      <c r="LI124" s="38"/>
      <c r="LJ124" s="38"/>
      <c r="LK124" s="38"/>
      <c r="LL124" s="38"/>
      <c r="LM124" s="38"/>
      <c r="LN124" s="38"/>
      <c r="LO124" s="38"/>
      <c r="LP124" s="38"/>
      <c r="LQ124" s="38"/>
      <c r="LR124" s="38"/>
      <c r="LS124" s="38"/>
      <c r="LT124" s="38"/>
      <c r="LU124" s="38"/>
      <c r="LV124" s="38"/>
      <c r="LW124" s="38"/>
      <c r="LX124" s="38"/>
      <c r="LY124" s="38"/>
      <c r="LZ124" s="38"/>
      <c r="MA124" s="38"/>
      <c r="MB124" s="38"/>
      <c r="MC124" s="38"/>
      <c r="MD124" s="38"/>
      <c r="ME124" s="38"/>
      <c r="MF124" s="38"/>
      <c r="MG124" s="38"/>
      <c r="MH124" s="38"/>
      <c r="MI124" s="38"/>
      <c r="MJ124" s="38"/>
      <c r="MK124" s="38"/>
      <c r="ML124" s="38"/>
      <c r="MM124" s="38"/>
      <c r="MN124" s="38"/>
      <c r="MO124" s="38"/>
      <c r="MP124" s="38"/>
      <c r="MQ124" s="38"/>
      <c r="MR124" s="38"/>
      <c r="MS124" s="38"/>
      <c r="MT124" s="38"/>
      <c r="MU124" s="38"/>
      <c r="MV124" s="38"/>
      <c r="MW124" s="38"/>
      <c r="MX124" s="38"/>
      <c r="MY124" s="38"/>
      <c r="MZ124" s="38"/>
      <c r="NA124" s="38"/>
      <c r="NB124" s="38"/>
      <c r="NC124" s="38"/>
      <c r="ND124" s="38"/>
      <c r="NE124" s="38"/>
      <c r="NF124" s="38"/>
      <c r="NG124" s="38"/>
      <c r="NH124" s="38"/>
      <c r="NI124" s="38"/>
      <c r="NJ124" s="38"/>
      <c r="NK124" s="38"/>
      <c r="NL124" s="38"/>
      <c r="NM124" s="38"/>
      <c r="NN124" s="38"/>
      <c r="NO124" s="38"/>
      <c r="NP124" s="38"/>
      <c r="NQ124" s="38"/>
      <c r="NR124" s="38"/>
      <c r="NS124" s="38"/>
      <c r="NT124" s="38"/>
      <c r="NU124" s="38"/>
      <c r="NV124" s="38"/>
      <c r="NW124" s="38"/>
      <c r="NX124" s="38"/>
      <c r="NY124" s="38"/>
      <c r="NZ124" s="38"/>
      <c r="OA124" s="38"/>
      <c r="OB124" s="38"/>
      <c r="OC124" s="38"/>
      <c r="OD124" s="38"/>
      <c r="OE124" s="38"/>
      <c r="OF124" s="38"/>
      <c r="OG124" s="38"/>
      <c r="OH124" s="38"/>
      <c r="OI124" s="38"/>
      <c r="OJ124" s="38"/>
      <c r="OK124" s="38"/>
      <c r="OL124" s="38"/>
      <c r="OM124" s="38"/>
      <c r="ON124" s="38"/>
      <c r="OO124" s="38"/>
      <c r="OP124" s="38"/>
      <c r="OQ124" s="38"/>
      <c r="OR124" s="38"/>
      <c r="OS124" s="38"/>
      <c r="OT124" s="38"/>
      <c r="OU124" s="38"/>
      <c r="OV124" s="38"/>
      <c r="OW124" s="38"/>
      <c r="OX124" s="38"/>
      <c r="OY124" s="38"/>
      <c r="OZ124" s="38"/>
      <c r="PA124" s="38"/>
      <c r="PB124" s="38"/>
      <c r="PC124" s="38"/>
      <c r="PD124" s="38"/>
      <c r="PE124" s="38"/>
      <c r="PF124" s="38"/>
      <c r="PG124" s="38"/>
      <c r="PH124" s="38"/>
      <c r="PI124" s="38"/>
      <c r="PJ124" s="38"/>
      <c r="PK124" s="38"/>
      <c r="PL124" s="38"/>
      <c r="PM124" s="38"/>
      <c r="PN124" s="38"/>
      <c r="PO124" s="38"/>
      <c r="PP124" s="38"/>
      <c r="PQ124" s="38"/>
      <c r="PR124" s="38"/>
      <c r="PS124" s="38"/>
      <c r="PT124" s="38"/>
      <c r="PU124" s="38"/>
      <c r="PV124" s="38"/>
      <c r="PW124" s="38"/>
      <c r="PX124" s="38"/>
      <c r="PY124" s="38"/>
      <c r="PZ124" s="38"/>
      <c r="QA124" s="38"/>
      <c r="QB124" s="38"/>
      <c r="QC124" s="38"/>
      <c r="QD124" s="38"/>
      <c r="QE124" s="38"/>
      <c r="QF124" s="38"/>
      <c r="QG124" s="38"/>
      <c r="QH124" s="38"/>
      <c r="QI124" s="38"/>
      <c r="QJ124" s="38"/>
      <c r="QK124" s="38"/>
      <c r="QL124" s="38"/>
      <c r="QM124" s="38"/>
      <c r="QN124" s="38"/>
      <c r="QO124" s="38"/>
      <c r="QP124" s="38"/>
      <c r="QQ124" s="38"/>
      <c r="QR124" s="38"/>
      <c r="QS124" s="38"/>
      <c r="QT124" s="38"/>
      <c r="QU124" s="38"/>
      <c r="QV124" s="38"/>
      <c r="QW124" s="38"/>
      <c r="QX124" s="38"/>
      <c r="QY124" s="38"/>
      <c r="QZ124" s="38"/>
      <c r="RA124" s="38"/>
      <c r="RB124" s="38"/>
      <c r="RC124" s="38"/>
      <c r="RD124" s="38"/>
      <c r="RE124" s="38"/>
      <c r="RF124" s="38"/>
      <c r="RG124" s="38"/>
      <c r="RH124" s="38"/>
      <c r="RI124" s="38"/>
      <c r="RJ124" s="38"/>
      <c r="RK124" s="38"/>
      <c r="RL124" s="38"/>
      <c r="RM124" s="38"/>
      <c r="RN124" s="38"/>
      <c r="RO124" s="38"/>
      <c r="RP124" s="38"/>
      <c r="RQ124" s="38"/>
      <c r="RR124" s="38"/>
      <c r="RS124" s="38"/>
      <c r="RT124" s="38"/>
      <c r="RU124" s="38"/>
      <c r="RV124" s="38"/>
      <c r="RW124" s="38"/>
      <c r="RX124" s="38"/>
      <c r="RY124" s="38"/>
      <c r="RZ124" s="38"/>
      <c r="SA124" s="38"/>
      <c r="SB124" s="38"/>
      <c r="SC124" s="38"/>
      <c r="SD124" s="38"/>
      <c r="SE124" s="38"/>
      <c r="SF124" s="38"/>
      <c r="SG124" s="38"/>
      <c r="SH124" s="38"/>
      <c r="SI124" s="38"/>
      <c r="SJ124" s="38"/>
      <c r="SK124" s="38"/>
      <c r="SL124" s="38"/>
      <c r="SM124" s="38"/>
      <c r="SN124" s="38"/>
      <c r="SO124" s="38"/>
      <c r="SP124" s="38"/>
      <c r="SQ124" s="38"/>
      <c r="SR124" s="38"/>
      <c r="SS124" s="38"/>
      <c r="ST124" s="38"/>
      <c r="SU124" s="38"/>
      <c r="SV124" s="38"/>
      <c r="SW124" s="38"/>
      <c r="SX124" s="38"/>
      <c r="SY124" s="38"/>
      <c r="SZ124" s="38"/>
      <c r="TA124" s="38"/>
      <c r="TB124" s="38"/>
      <c r="TC124" s="38"/>
      <c r="TD124" s="38"/>
      <c r="TE124" s="38"/>
      <c r="TF124" s="38"/>
      <c r="TG124" s="38"/>
      <c r="TH124" s="38"/>
      <c r="TI124" s="38"/>
      <c r="TJ124" s="38"/>
      <c r="TK124" s="38"/>
      <c r="TL124" s="38"/>
      <c r="TM124" s="38"/>
    </row>
    <row r="125" spans="1:533" s="39" customFormat="1" ht="18.75" x14ac:dyDescent="0.25">
      <c r="B125" s="50" t="s">
        <v>244</v>
      </c>
      <c r="C125" s="41" t="s">
        <v>246</v>
      </c>
      <c r="D125" s="56" t="s">
        <v>247</v>
      </c>
      <c r="E125" s="43" t="s">
        <v>131</v>
      </c>
      <c r="F125" s="53">
        <v>6</v>
      </c>
      <c r="G125" s="58"/>
      <c r="H125" s="46"/>
      <c r="I125" s="47">
        <f t="shared" ref="I125:I131" si="22">F125*G125</f>
        <v>0</v>
      </c>
      <c r="J125" s="48" t="s">
        <v>167</v>
      </c>
      <c r="K125" s="47" t="s">
        <v>168</v>
      </c>
      <c r="L125" s="49"/>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8"/>
      <c r="CM125" s="38"/>
      <c r="CN125" s="38"/>
      <c r="CO125" s="38"/>
      <c r="CP125" s="38"/>
      <c r="CQ125" s="38"/>
      <c r="CR125" s="38"/>
      <c r="CS125" s="38"/>
      <c r="CT125" s="38"/>
      <c r="CU125" s="38"/>
      <c r="CV125" s="38"/>
      <c r="CW125" s="38"/>
      <c r="CX125" s="38"/>
      <c r="CY125" s="38"/>
      <c r="CZ125" s="38"/>
      <c r="DA125" s="38"/>
      <c r="DB125" s="38"/>
      <c r="DC125" s="38"/>
      <c r="DD125" s="38"/>
      <c r="DE125" s="38"/>
      <c r="DF125" s="38"/>
      <c r="DG125" s="38"/>
      <c r="DH125" s="38"/>
      <c r="DI125" s="38"/>
      <c r="DJ125" s="38"/>
      <c r="DK125" s="38"/>
      <c r="DL125" s="38"/>
      <c r="DM125" s="38"/>
      <c r="DN125" s="38"/>
      <c r="DO125" s="38"/>
      <c r="DP125" s="38"/>
      <c r="DQ125" s="38"/>
      <c r="DR125" s="38"/>
      <c r="DS125" s="38"/>
      <c r="DT125" s="38"/>
      <c r="DU125" s="38"/>
      <c r="DV125" s="38"/>
      <c r="DW125" s="38"/>
      <c r="DX125" s="38"/>
      <c r="DY125" s="38"/>
      <c r="DZ125" s="38"/>
      <c r="EA125" s="38"/>
      <c r="EB125" s="38"/>
      <c r="EC125" s="38"/>
      <c r="ED125" s="38"/>
      <c r="EE125" s="38"/>
      <c r="EF125" s="38"/>
      <c r="EG125" s="38"/>
      <c r="EH125" s="38"/>
      <c r="EI125" s="38"/>
      <c r="EJ125" s="38"/>
      <c r="EK125" s="38"/>
      <c r="EL125" s="38"/>
      <c r="EM125" s="38"/>
      <c r="EN125" s="38"/>
      <c r="EO125" s="38"/>
      <c r="EP125" s="38"/>
      <c r="EQ125" s="38"/>
      <c r="ER125" s="38"/>
      <c r="ES125" s="38"/>
      <c r="ET125" s="38"/>
      <c r="EU125" s="38"/>
      <c r="EV125" s="38"/>
      <c r="EW125" s="38"/>
      <c r="EX125" s="38"/>
      <c r="EY125" s="38"/>
      <c r="EZ125" s="38"/>
      <c r="FA125" s="38"/>
      <c r="FB125" s="38"/>
      <c r="FC125" s="38"/>
      <c r="FD125" s="38"/>
      <c r="FE125" s="38"/>
      <c r="FF125" s="38"/>
      <c r="FG125" s="38"/>
      <c r="FH125" s="38"/>
      <c r="FI125" s="38"/>
      <c r="FJ125" s="38"/>
      <c r="FK125" s="38"/>
      <c r="FL125" s="38"/>
      <c r="FM125" s="38"/>
      <c r="FN125" s="38"/>
      <c r="FO125" s="38"/>
      <c r="FP125" s="38"/>
      <c r="FQ125" s="38"/>
      <c r="FR125" s="38"/>
      <c r="FS125" s="38"/>
      <c r="FT125" s="38"/>
      <c r="FU125" s="38"/>
      <c r="FV125" s="38"/>
      <c r="FW125" s="38"/>
      <c r="FX125" s="38"/>
      <c r="FY125" s="38"/>
      <c r="FZ125" s="38"/>
      <c r="GA125" s="38"/>
      <c r="GB125" s="38"/>
      <c r="GC125" s="38"/>
      <c r="GD125" s="38"/>
      <c r="GE125" s="38"/>
      <c r="GF125" s="38"/>
      <c r="GG125" s="38"/>
      <c r="GH125" s="38"/>
      <c r="GI125" s="38"/>
      <c r="GJ125" s="38"/>
      <c r="GK125" s="38"/>
      <c r="GL125" s="38"/>
      <c r="GM125" s="38"/>
      <c r="GN125" s="38"/>
      <c r="GO125" s="38"/>
      <c r="GP125" s="38"/>
      <c r="GQ125" s="38"/>
      <c r="GR125" s="38"/>
      <c r="GS125" s="38"/>
      <c r="GT125" s="38"/>
      <c r="GU125" s="38"/>
      <c r="GV125" s="38"/>
      <c r="GW125" s="38"/>
      <c r="GX125" s="38"/>
      <c r="GY125" s="38"/>
      <c r="GZ125" s="38"/>
      <c r="HA125" s="38"/>
      <c r="HB125" s="38"/>
      <c r="HC125" s="38"/>
      <c r="HD125" s="38"/>
      <c r="HE125" s="38"/>
      <c r="HF125" s="38"/>
      <c r="HG125" s="38"/>
      <c r="HH125" s="38"/>
      <c r="HI125" s="38"/>
      <c r="HJ125" s="38"/>
      <c r="HK125" s="38"/>
      <c r="HL125" s="38"/>
      <c r="HM125" s="38"/>
      <c r="HN125" s="38"/>
      <c r="HO125" s="38"/>
      <c r="HP125" s="38"/>
      <c r="HQ125" s="38"/>
      <c r="HR125" s="38"/>
      <c r="HS125" s="38"/>
      <c r="HT125" s="38"/>
      <c r="HU125" s="38"/>
      <c r="HV125" s="38"/>
      <c r="HW125" s="38"/>
      <c r="HX125" s="38"/>
      <c r="HY125" s="38"/>
      <c r="HZ125" s="38"/>
      <c r="IA125" s="38"/>
      <c r="IB125" s="38"/>
      <c r="IC125" s="38"/>
      <c r="ID125" s="38"/>
      <c r="IE125" s="38"/>
      <c r="IF125" s="38"/>
      <c r="IG125" s="38"/>
      <c r="IH125" s="38"/>
      <c r="II125" s="38"/>
      <c r="IJ125" s="38"/>
      <c r="IK125" s="38"/>
      <c r="IL125" s="38"/>
      <c r="IM125" s="38"/>
      <c r="IN125" s="38"/>
      <c r="IO125" s="38"/>
      <c r="IP125" s="38"/>
      <c r="IQ125" s="38"/>
      <c r="IR125" s="38"/>
      <c r="IS125" s="38"/>
      <c r="IT125" s="38"/>
      <c r="IU125" s="38"/>
      <c r="IV125" s="38"/>
      <c r="IW125" s="38"/>
      <c r="IX125" s="38"/>
      <c r="IY125" s="38"/>
      <c r="IZ125" s="38"/>
      <c r="JA125" s="38"/>
      <c r="JB125" s="38"/>
      <c r="JC125" s="38"/>
      <c r="JD125" s="38"/>
      <c r="JE125" s="38"/>
      <c r="JF125" s="38"/>
      <c r="JG125" s="38"/>
      <c r="JH125" s="38"/>
      <c r="JI125" s="38"/>
      <c r="JJ125" s="38"/>
      <c r="JK125" s="38"/>
      <c r="JL125" s="38"/>
      <c r="JM125" s="38"/>
      <c r="JN125" s="38"/>
      <c r="JO125" s="38"/>
      <c r="JP125" s="38"/>
      <c r="JQ125" s="38"/>
      <c r="JR125" s="38"/>
      <c r="JS125" s="38"/>
      <c r="JT125" s="38"/>
      <c r="JU125" s="38"/>
      <c r="JV125" s="38"/>
      <c r="JW125" s="38"/>
      <c r="JX125" s="38"/>
      <c r="JY125" s="38"/>
      <c r="JZ125" s="38"/>
      <c r="KA125" s="38"/>
      <c r="KB125" s="38"/>
      <c r="KC125" s="38"/>
      <c r="KD125" s="38"/>
      <c r="KE125" s="38"/>
      <c r="KF125" s="38"/>
      <c r="KG125" s="38"/>
      <c r="KH125" s="38"/>
      <c r="KI125" s="38"/>
      <c r="KJ125" s="38"/>
      <c r="KK125" s="38"/>
      <c r="KL125" s="38"/>
      <c r="KM125" s="38"/>
      <c r="KN125" s="38"/>
      <c r="KO125" s="38"/>
      <c r="KP125" s="38"/>
      <c r="KQ125" s="38"/>
      <c r="KR125" s="38"/>
      <c r="KS125" s="38"/>
      <c r="KT125" s="38"/>
      <c r="KU125" s="38"/>
      <c r="KV125" s="38"/>
      <c r="KW125" s="38"/>
      <c r="KX125" s="38"/>
      <c r="KY125" s="38"/>
      <c r="KZ125" s="38"/>
      <c r="LA125" s="38"/>
      <c r="LB125" s="38"/>
      <c r="LC125" s="38"/>
      <c r="LD125" s="38"/>
      <c r="LE125" s="38"/>
      <c r="LF125" s="38"/>
      <c r="LG125" s="38"/>
      <c r="LH125" s="38"/>
      <c r="LI125" s="38"/>
      <c r="LJ125" s="38"/>
      <c r="LK125" s="38"/>
      <c r="LL125" s="38"/>
      <c r="LM125" s="38"/>
      <c r="LN125" s="38"/>
      <c r="LO125" s="38"/>
      <c r="LP125" s="38"/>
      <c r="LQ125" s="38"/>
      <c r="LR125" s="38"/>
      <c r="LS125" s="38"/>
      <c r="LT125" s="38"/>
      <c r="LU125" s="38"/>
      <c r="LV125" s="38"/>
      <c r="LW125" s="38"/>
      <c r="LX125" s="38"/>
      <c r="LY125" s="38"/>
      <c r="LZ125" s="38"/>
      <c r="MA125" s="38"/>
      <c r="MB125" s="38"/>
      <c r="MC125" s="38"/>
      <c r="MD125" s="38"/>
      <c r="ME125" s="38"/>
      <c r="MF125" s="38"/>
      <c r="MG125" s="38"/>
      <c r="MH125" s="38"/>
      <c r="MI125" s="38"/>
      <c r="MJ125" s="38"/>
      <c r="MK125" s="38"/>
      <c r="ML125" s="38"/>
      <c r="MM125" s="38"/>
      <c r="MN125" s="38"/>
      <c r="MO125" s="38"/>
      <c r="MP125" s="38"/>
      <c r="MQ125" s="38"/>
      <c r="MR125" s="38"/>
      <c r="MS125" s="38"/>
      <c r="MT125" s="38"/>
      <c r="MU125" s="38"/>
      <c r="MV125" s="38"/>
      <c r="MW125" s="38"/>
      <c r="MX125" s="38"/>
      <c r="MY125" s="38"/>
      <c r="MZ125" s="38"/>
      <c r="NA125" s="38"/>
      <c r="NB125" s="38"/>
      <c r="NC125" s="38"/>
      <c r="ND125" s="38"/>
      <c r="NE125" s="38"/>
      <c r="NF125" s="38"/>
      <c r="NG125" s="38"/>
      <c r="NH125" s="38"/>
      <c r="NI125" s="38"/>
      <c r="NJ125" s="38"/>
      <c r="NK125" s="38"/>
      <c r="NL125" s="38"/>
      <c r="NM125" s="38"/>
      <c r="NN125" s="38"/>
      <c r="NO125" s="38"/>
      <c r="NP125" s="38"/>
      <c r="NQ125" s="38"/>
      <c r="NR125" s="38"/>
      <c r="NS125" s="38"/>
      <c r="NT125" s="38"/>
      <c r="NU125" s="38"/>
      <c r="NV125" s="38"/>
      <c r="NW125" s="38"/>
      <c r="NX125" s="38"/>
      <c r="NY125" s="38"/>
      <c r="NZ125" s="38"/>
      <c r="OA125" s="38"/>
      <c r="OB125" s="38"/>
      <c r="OC125" s="38"/>
      <c r="OD125" s="38"/>
      <c r="OE125" s="38"/>
      <c r="OF125" s="38"/>
      <c r="OG125" s="38"/>
      <c r="OH125" s="38"/>
      <c r="OI125" s="38"/>
      <c r="OJ125" s="38"/>
      <c r="OK125" s="38"/>
      <c r="OL125" s="38"/>
      <c r="OM125" s="38"/>
      <c r="ON125" s="38"/>
      <c r="OO125" s="38"/>
      <c r="OP125" s="38"/>
      <c r="OQ125" s="38"/>
      <c r="OR125" s="38"/>
      <c r="OS125" s="38"/>
      <c r="OT125" s="38"/>
      <c r="OU125" s="38"/>
      <c r="OV125" s="38"/>
      <c r="OW125" s="38"/>
      <c r="OX125" s="38"/>
      <c r="OY125" s="38"/>
      <c r="OZ125" s="38"/>
      <c r="PA125" s="38"/>
      <c r="PB125" s="38"/>
      <c r="PC125" s="38"/>
      <c r="PD125" s="38"/>
      <c r="PE125" s="38"/>
      <c r="PF125" s="38"/>
      <c r="PG125" s="38"/>
      <c r="PH125" s="38"/>
      <c r="PI125" s="38"/>
      <c r="PJ125" s="38"/>
      <c r="PK125" s="38"/>
      <c r="PL125" s="38"/>
      <c r="PM125" s="38"/>
      <c r="PN125" s="38"/>
      <c r="PO125" s="38"/>
      <c r="PP125" s="38"/>
      <c r="PQ125" s="38"/>
      <c r="PR125" s="38"/>
      <c r="PS125" s="38"/>
      <c r="PT125" s="38"/>
      <c r="PU125" s="38"/>
      <c r="PV125" s="38"/>
      <c r="PW125" s="38"/>
      <c r="PX125" s="38"/>
      <c r="PY125" s="38"/>
      <c r="PZ125" s="38"/>
      <c r="QA125" s="38"/>
      <c r="QB125" s="38"/>
      <c r="QC125" s="38"/>
      <c r="QD125" s="38"/>
      <c r="QE125" s="38"/>
      <c r="QF125" s="38"/>
      <c r="QG125" s="38"/>
      <c r="QH125" s="38"/>
      <c r="QI125" s="38"/>
      <c r="QJ125" s="38"/>
      <c r="QK125" s="38"/>
      <c r="QL125" s="38"/>
      <c r="QM125" s="38"/>
      <c r="QN125" s="38"/>
      <c r="QO125" s="38"/>
      <c r="QP125" s="38"/>
      <c r="QQ125" s="38"/>
      <c r="QR125" s="38"/>
      <c r="QS125" s="38"/>
      <c r="QT125" s="38"/>
      <c r="QU125" s="38"/>
      <c r="QV125" s="38"/>
      <c r="QW125" s="38"/>
      <c r="QX125" s="38"/>
      <c r="QY125" s="38"/>
      <c r="QZ125" s="38"/>
      <c r="RA125" s="38"/>
      <c r="RB125" s="38"/>
      <c r="RC125" s="38"/>
      <c r="RD125" s="38"/>
      <c r="RE125" s="38"/>
      <c r="RF125" s="38"/>
      <c r="RG125" s="38"/>
      <c r="RH125" s="38"/>
      <c r="RI125" s="38"/>
      <c r="RJ125" s="38"/>
      <c r="RK125" s="38"/>
      <c r="RL125" s="38"/>
      <c r="RM125" s="38"/>
      <c r="RN125" s="38"/>
      <c r="RO125" s="38"/>
      <c r="RP125" s="38"/>
      <c r="RQ125" s="38"/>
      <c r="RR125" s="38"/>
      <c r="RS125" s="38"/>
      <c r="RT125" s="38"/>
      <c r="RU125" s="38"/>
      <c r="RV125" s="38"/>
      <c r="RW125" s="38"/>
      <c r="RX125" s="38"/>
      <c r="RY125" s="38"/>
      <c r="RZ125" s="38"/>
      <c r="SA125" s="38"/>
      <c r="SB125" s="38"/>
      <c r="SC125" s="38"/>
      <c r="SD125" s="38"/>
      <c r="SE125" s="38"/>
      <c r="SF125" s="38"/>
      <c r="SG125" s="38"/>
      <c r="SH125" s="38"/>
      <c r="SI125" s="38"/>
      <c r="SJ125" s="38"/>
      <c r="SK125" s="38"/>
      <c r="SL125" s="38"/>
      <c r="SM125" s="38"/>
      <c r="SN125" s="38"/>
      <c r="SO125" s="38"/>
      <c r="SP125" s="38"/>
      <c r="SQ125" s="38"/>
      <c r="SR125" s="38"/>
      <c r="SS125" s="38"/>
      <c r="ST125" s="38"/>
      <c r="SU125" s="38"/>
      <c r="SV125" s="38"/>
      <c r="SW125" s="38"/>
      <c r="SX125" s="38"/>
      <c r="SY125" s="38"/>
      <c r="SZ125" s="38"/>
      <c r="TA125" s="38"/>
      <c r="TB125" s="38"/>
      <c r="TC125" s="38"/>
      <c r="TD125" s="38"/>
      <c r="TE125" s="38"/>
      <c r="TF125" s="38"/>
      <c r="TG125" s="38"/>
      <c r="TH125" s="38"/>
      <c r="TI125" s="38"/>
      <c r="TJ125" s="38"/>
      <c r="TK125" s="38"/>
      <c r="TL125" s="38"/>
      <c r="TM125" s="38"/>
    </row>
    <row r="126" spans="1:533" s="91" customFormat="1" ht="18.75" x14ac:dyDescent="0.25">
      <c r="A126" s="74"/>
      <c r="B126" s="93" t="s">
        <v>244</v>
      </c>
      <c r="C126" s="41" t="s">
        <v>248</v>
      </c>
      <c r="D126" s="56" t="s">
        <v>249</v>
      </c>
      <c r="E126" s="43" t="s">
        <v>131</v>
      </c>
      <c r="F126" s="53">
        <v>5</v>
      </c>
      <c r="G126" s="58"/>
      <c r="H126" s="46"/>
      <c r="I126" s="47">
        <f t="shared" si="22"/>
        <v>0</v>
      </c>
      <c r="J126" s="48" t="s">
        <v>167</v>
      </c>
      <c r="K126" s="47" t="s">
        <v>168</v>
      </c>
      <c r="L126" s="49"/>
    </row>
    <row r="127" spans="1:533" s="83" customFormat="1" ht="18.75" x14ac:dyDescent="0.25">
      <c r="A127" s="39"/>
      <c r="B127" s="50" t="s">
        <v>244</v>
      </c>
      <c r="C127" s="41" t="s">
        <v>250</v>
      </c>
      <c r="D127" s="56" t="s">
        <v>251</v>
      </c>
      <c r="E127" s="43" t="s">
        <v>131</v>
      </c>
      <c r="F127" s="53">
        <v>1</v>
      </c>
      <c r="G127" s="58"/>
      <c r="H127" s="46"/>
      <c r="I127" s="47">
        <f t="shared" si="22"/>
        <v>0</v>
      </c>
      <c r="J127" s="48" t="s">
        <v>167</v>
      </c>
      <c r="K127" s="47" t="s">
        <v>168</v>
      </c>
      <c r="L127" s="49"/>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c r="BA127" s="82"/>
      <c r="BB127" s="82"/>
      <c r="BC127" s="82"/>
      <c r="BD127" s="82"/>
      <c r="BE127" s="82"/>
      <c r="BF127" s="82"/>
      <c r="BG127" s="82"/>
      <c r="BH127" s="82"/>
      <c r="BI127" s="82"/>
      <c r="BJ127" s="82"/>
      <c r="BK127" s="82"/>
      <c r="BL127" s="82"/>
      <c r="BM127" s="82"/>
      <c r="BN127" s="82"/>
      <c r="BO127" s="82"/>
      <c r="BP127" s="82"/>
      <c r="BQ127" s="82"/>
      <c r="BR127" s="82"/>
      <c r="BS127" s="82"/>
      <c r="BT127" s="82"/>
      <c r="BU127" s="82"/>
      <c r="BV127" s="82"/>
      <c r="BW127" s="82"/>
      <c r="BX127" s="82"/>
      <c r="BY127" s="82"/>
      <c r="BZ127" s="82"/>
      <c r="CA127" s="82"/>
      <c r="CB127" s="82"/>
      <c r="CC127" s="82"/>
      <c r="CD127" s="82"/>
      <c r="CE127" s="82"/>
      <c r="CF127" s="82"/>
      <c r="CG127" s="82"/>
      <c r="CH127" s="82"/>
      <c r="CI127" s="82"/>
      <c r="CJ127" s="82"/>
      <c r="CK127" s="82"/>
      <c r="CL127" s="82"/>
      <c r="CM127" s="82"/>
      <c r="CN127" s="82"/>
      <c r="CO127" s="82"/>
      <c r="CP127" s="82"/>
      <c r="CQ127" s="82"/>
      <c r="CR127" s="82"/>
      <c r="CS127" s="82"/>
      <c r="CT127" s="82"/>
      <c r="CU127" s="82"/>
      <c r="CV127" s="82"/>
      <c r="CW127" s="82"/>
      <c r="CX127" s="82"/>
      <c r="CY127" s="82"/>
      <c r="CZ127" s="82"/>
      <c r="DA127" s="82"/>
      <c r="DB127" s="82"/>
      <c r="DC127" s="82"/>
      <c r="DD127" s="82"/>
      <c r="DE127" s="82"/>
      <c r="DF127" s="82"/>
      <c r="DG127" s="82"/>
      <c r="DH127" s="82"/>
      <c r="DI127" s="82"/>
      <c r="DJ127" s="82"/>
      <c r="DK127" s="82"/>
      <c r="DL127" s="82"/>
      <c r="DM127" s="82"/>
      <c r="DN127" s="82"/>
      <c r="DO127" s="82"/>
      <c r="DP127" s="82"/>
      <c r="DQ127" s="82"/>
      <c r="DR127" s="82"/>
      <c r="DS127" s="82"/>
      <c r="DT127" s="82"/>
      <c r="DU127" s="82"/>
      <c r="DV127" s="82"/>
      <c r="DW127" s="82"/>
      <c r="DX127" s="82"/>
      <c r="DY127" s="82"/>
      <c r="DZ127" s="82"/>
      <c r="EA127" s="82"/>
      <c r="EB127" s="82"/>
      <c r="EC127" s="82"/>
      <c r="ED127" s="82"/>
      <c r="EE127" s="82"/>
      <c r="EF127" s="82"/>
      <c r="EG127" s="82"/>
      <c r="EH127" s="82"/>
      <c r="EI127" s="82"/>
      <c r="EJ127" s="82"/>
      <c r="EK127" s="82"/>
      <c r="EL127" s="82"/>
      <c r="EM127" s="82"/>
      <c r="EN127" s="82"/>
      <c r="EO127" s="82"/>
      <c r="EP127" s="82"/>
      <c r="EQ127" s="82"/>
      <c r="ER127" s="82"/>
      <c r="ES127" s="82"/>
      <c r="ET127" s="82"/>
      <c r="EU127" s="82"/>
      <c r="EV127" s="82"/>
      <c r="EW127" s="82"/>
      <c r="EX127" s="82"/>
      <c r="EY127" s="82"/>
      <c r="EZ127" s="82"/>
      <c r="FA127" s="82"/>
      <c r="FB127" s="82"/>
      <c r="FC127" s="82"/>
      <c r="FD127" s="82"/>
      <c r="FE127" s="82"/>
      <c r="FF127" s="82"/>
      <c r="FG127" s="82"/>
      <c r="FH127" s="82"/>
      <c r="FI127" s="82"/>
      <c r="FJ127" s="82"/>
      <c r="FK127" s="82"/>
      <c r="FL127" s="82"/>
      <c r="FM127" s="82"/>
      <c r="FN127" s="82"/>
      <c r="FO127" s="82"/>
      <c r="FP127" s="82"/>
      <c r="FQ127" s="82"/>
      <c r="FR127" s="82"/>
      <c r="FS127" s="82"/>
      <c r="FT127" s="82"/>
      <c r="FU127" s="82"/>
      <c r="FV127" s="82"/>
      <c r="FW127" s="82"/>
      <c r="FX127" s="82"/>
      <c r="FY127" s="82"/>
      <c r="FZ127" s="82"/>
      <c r="GA127" s="82"/>
      <c r="GB127" s="82"/>
      <c r="GC127" s="82"/>
      <c r="GD127" s="82"/>
      <c r="GE127" s="82"/>
      <c r="GF127" s="82"/>
      <c r="GG127" s="82"/>
      <c r="GH127" s="82"/>
      <c r="GI127" s="82"/>
      <c r="GJ127" s="82"/>
      <c r="GK127" s="82"/>
      <c r="GL127" s="82"/>
      <c r="GM127" s="82"/>
      <c r="GN127" s="82"/>
      <c r="GO127" s="82"/>
      <c r="GP127" s="82"/>
      <c r="GQ127" s="82"/>
      <c r="GR127" s="82"/>
      <c r="GS127" s="82"/>
      <c r="GT127" s="82"/>
      <c r="GU127" s="82"/>
      <c r="GV127" s="82"/>
      <c r="GW127" s="82"/>
      <c r="GX127" s="82"/>
      <c r="GY127" s="82"/>
      <c r="GZ127" s="82"/>
      <c r="HA127" s="82"/>
      <c r="HB127" s="82"/>
      <c r="HC127" s="82"/>
      <c r="HD127" s="82"/>
      <c r="HE127" s="82"/>
      <c r="HF127" s="82"/>
      <c r="HG127" s="82"/>
      <c r="HH127" s="82"/>
      <c r="HI127" s="82"/>
      <c r="HJ127" s="82"/>
      <c r="HK127" s="82"/>
      <c r="HL127" s="82"/>
      <c r="HM127" s="82"/>
      <c r="HN127" s="82"/>
      <c r="HO127" s="82"/>
      <c r="HP127" s="82"/>
      <c r="HQ127" s="82"/>
      <c r="HR127" s="82"/>
      <c r="HS127" s="82"/>
      <c r="HT127" s="82"/>
      <c r="HU127" s="82"/>
      <c r="HV127" s="82"/>
      <c r="HW127" s="82"/>
      <c r="HX127" s="82"/>
      <c r="HY127" s="82"/>
      <c r="HZ127" s="82"/>
      <c r="IA127" s="82"/>
      <c r="IB127" s="82"/>
      <c r="IC127" s="82"/>
      <c r="ID127" s="82"/>
      <c r="IE127" s="82"/>
      <c r="IF127" s="82"/>
      <c r="IG127" s="82"/>
      <c r="IH127" s="82"/>
      <c r="II127" s="82"/>
      <c r="IJ127" s="82"/>
      <c r="IK127" s="82"/>
      <c r="IL127" s="82"/>
      <c r="IM127" s="82"/>
      <c r="IN127" s="82"/>
      <c r="IO127" s="82"/>
      <c r="IP127" s="82"/>
      <c r="IQ127" s="82"/>
      <c r="IR127" s="82"/>
      <c r="IS127" s="82"/>
      <c r="IT127" s="82"/>
      <c r="IU127" s="82"/>
      <c r="IV127" s="82"/>
      <c r="IW127" s="82"/>
      <c r="IX127" s="82"/>
      <c r="IY127" s="82"/>
      <c r="IZ127" s="82"/>
      <c r="JA127" s="82"/>
      <c r="JB127" s="82"/>
      <c r="JC127" s="82"/>
      <c r="JD127" s="82"/>
      <c r="JE127" s="82"/>
      <c r="JF127" s="82"/>
      <c r="JG127" s="82"/>
      <c r="JH127" s="82"/>
      <c r="JI127" s="82"/>
      <c r="JJ127" s="82"/>
      <c r="JK127" s="82"/>
      <c r="JL127" s="82"/>
      <c r="JM127" s="82"/>
      <c r="JN127" s="82"/>
      <c r="JO127" s="82"/>
      <c r="JP127" s="82"/>
      <c r="JQ127" s="82"/>
      <c r="JR127" s="82"/>
      <c r="JS127" s="82"/>
      <c r="JT127" s="82"/>
      <c r="JU127" s="82"/>
      <c r="JV127" s="82"/>
      <c r="JW127" s="82"/>
      <c r="JX127" s="82"/>
      <c r="JY127" s="82"/>
      <c r="JZ127" s="82"/>
      <c r="KA127" s="82"/>
      <c r="KB127" s="82"/>
      <c r="KC127" s="82"/>
      <c r="KD127" s="82"/>
      <c r="KE127" s="82"/>
      <c r="KF127" s="82"/>
      <c r="KG127" s="82"/>
      <c r="KH127" s="82"/>
      <c r="KI127" s="82"/>
      <c r="KJ127" s="82"/>
      <c r="KK127" s="82"/>
      <c r="KL127" s="82"/>
      <c r="KM127" s="82"/>
      <c r="KN127" s="82"/>
      <c r="KO127" s="82"/>
      <c r="KP127" s="82"/>
      <c r="KQ127" s="82"/>
      <c r="KR127" s="82"/>
      <c r="KS127" s="82"/>
      <c r="KT127" s="82"/>
      <c r="KU127" s="82"/>
      <c r="KV127" s="82"/>
      <c r="KW127" s="82"/>
      <c r="KX127" s="82"/>
      <c r="KY127" s="82"/>
      <c r="KZ127" s="82"/>
      <c r="LA127" s="82"/>
      <c r="LB127" s="82"/>
      <c r="LC127" s="82"/>
      <c r="LD127" s="82"/>
      <c r="LE127" s="82"/>
      <c r="LF127" s="82"/>
      <c r="LG127" s="82"/>
      <c r="LH127" s="82"/>
      <c r="LI127" s="82"/>
      <c r="LJ127" s="82"/>
      <c r="LK127" s="82"/>
      <c r="LL127" s="82"/>
      <c r="LM127" s="82"/>
      <c r="LN127" s="82"/>
      <c r="LO127" s="82"/>
      <c r="LP127" s="82"/>
      <c r="LQ127" s="82"/>
      <c r="LR127" s="82"/>
      <c r="LS127" s="82"/>
      <c r="LT127" s="82"/>
      <c r="LU127" s="82"/>
      <c r="LV127" s="82"/>
      <c r="LW127" s="82"/>
      <c r="LX127" s="82"/>
      <c r="LY127" s="82"/>
      <c r="LZ127" s="82"/>
      <c r="MA127" s="82"/>
      <c r="MB127" s="82"/>
      <c r="MC127" s="82"/>
      <c r="MD127" s="82"/>
      <c r="ME127" s="82"/>
      <c r="MF127" s="82"/>
      <c r="MG127" s="82"/>
      <c r="MH127" s="82"/>
      <c r="MI127" s="82"/>
      <c r="MJ127" s="82"/>
      <c r="MK127" s="82"/>
      <c r="ML127" s="82"/>
      <c r="MM127" s="82"/>
      <c r="MN127" s="82"/>
      <c r="MO127" s="82"/>
      <c r="MP127" s="82"/>
      <c r="MQ127" s="82"/>
      <c r="MR127" s="82"/>
      <c r="MS127" s="82"/>
      <c r="MT127" s="82"/>
      <c r="MU127" s="82"/>
      <c r="MV127" s="82"/>
      <c r="MW127" s="82"/>
      <c r="MX127" s="82"/>
      <c r="MY127" s="82"/>
      <c r="MZ127" s="82"/>
      <c r="NA127" s="82"/>
      <c r="NB127" s="82"/>
      <c r="NC127" s="82"/>
      <c r="ND127" s="82"/>
      <c r="NE127" s="82"/>
      <c r="NF127" s="82"/>
      <c r="NG127" s="82"/>
      <c r="NH127" s="82"/>
      <c r="NI127" s="82"/>
      <c r="NJ127" s="82"/>
      <c r="NK127" s="82"/>
      <c r="NL127" s="82"/>
      <c r="NM127" s="82"/>
      <c r="NN127" s="82"/>
      <c r="NO127" s="82"/>
      <c r="NP127" s="82"/>
      <c r="NQ127" s="82"/>
      <c r="NR127" s="82"/>
      <c r="NS127" s="82"/>
      <c r="NT127" s="82"/>
      <c r="NU127" s="82"/>
      <c r="NV127" s="82"/>
      <c r="NW127" s="82"/>
      <c r="NX127" s="82"/>
      <c r="NY127" s="82"/>
      <c r="NZ127" s="82"/>
      <c r="OA127" s="82"/>
      <c r="OB127" s="82"/>
      <c r="OC127" s="82"/>
      <c r="OD127" s="82"/>
      <c r="OE127" s="82"/>
      <c r="OF127" s="82"/>
      <c r="OG127" s="82"/>
      <c r="OH127" s="82"/>
      <c r="OI127" s="82"/>
      <c r="OJ127" s="82"/>
      <c r="OK127" s="82"/>
      <c r="OL127" s="82"/>
      <c r="OM127" s="82"/>
      <c r="ON127" s="82"/>
      <c r="OO127" s="82"/>
      <c r="OP127" s="82"/>
      <c r="OQ127" s="82"/>
      <c r="OR127" s="82"/>
      <c r="OS127" s="82"/>
      <c r="OT127" s="82"/>
      <c r="OU127" s="82"/>
      <c r="OV127" s="82"/>
      <c r="OW127" s="82"/>
      <c r="OX127" s="82"/>
      <c r="OY127" s="82"/>
      <c r="OZ127" s="82"/>
      <c r="PA127" s="82"/>
      <c r="PB127" s="82"/>
      <c r="PC127" s="82"/>
      <c r="PD127" s="82"/>
      <c r="PE127" s="82"/>
      <c r="PF127" s="82"/>
      <c r="PG127" s="82"/>
      <c r="PH127" s="82"/>
      <c r="PI127" s="82"/>
      <c r="PJ127" s="82"/>
      <c r="PK127" s="82"/>
      <c r="PL127" s="82"/>
      <c r="PM127" s="82"/>
      <c r="PN127" s="82"/>
      <c r="PO127" s="82"/>
      <c r="PP127" s="82"/>
      <c r="PQ127" s="82"/>
      <c r="PR127" s="82"/>
      <c r="PS127" s="82"/>
      <c r="PT127" s="82"/>
      <c r="PU127" s="82"/>
      <c r="PV127" s="82"/>
      <c r="PW127" s="82"/>
      <c r="PX127" s="82"/>
      <c r="PY127" s="82"/>
      <c r="PZ127" s="82"/>
      <c r="QA127" s="82"/>
      <c r="QB127" s="82"/>
      <c r="QC127" s="82"/>
      <c r="QD127" s="82"/>
      <c r="QE127" s="82"/>
      <c r="QF127" s="82"/>
      <c r="QG127" s="82"/>
      <c r="QH127" s="82"/>
      <c r="QI127" s="82"/>
      <c r="QJ127" s="82"/>
      <c r="QK127" s="82"/>
      <c r="QL127" s="82"/>
      <c r="QM127" s="82"/>
      <c r="QN127" s="82"/>
      <c r="QO127" s="82"/>
      <c r="QP127" s="82"/>
      <c r="QQ127" s="82"/>
      <c r="QR127" s="82"/>
      <c r="QS127" s="82"/>
      <c r="QT127" s="82"/>
      <c r="QU127" s="82"/>
      <c r="QV127" s="82"/>
      <c r="QW127" s="82"/>
      <c r="QX127" s="82"/>
      <c r="QY127" s="82"/>
      <c r="QZ127" s="82"/>
      <c r="RA127" s="82"/>
      <c r="RB127" s="82"/>
      <c r="RC127" s="82"/>
      <c r="RD127" s="82"/>
      <c r="RE127" s="82"/>
      <c r="RF127" s="82"/>
      <c r="RG127" s="82"/>
      <c r="RH127" s="82"/>
      <c r="RI127" s="82"/>
      <c r="RJ127" s="82"/>
      <c r="RK127" s="82"/>
      <c r="RL127" s="82"/>
      <c r="RM127" s="82"/>
      <c r="RN127" s="82"/>
      <c r="RO127" s="82"/>
      <c r="RP127" s="82"/>
      <c r="RQ127" s="82"/>
      <c r="RR127" s="82"/>
      <c r="RS127" s="82"/>
      <c r="RT127" s="82"/>
      <c r="RU127" s="82"/>
      <c r="RV127" s="82"/>
      <c r="RW127" s="82"/>
      <c r="RX127" s="82"/>
      <c r="RY127" s="82"/>
      <c r="RZ127" s="82"/>
      <c r="SA127" s="82"/>
      <c r="SB127" s="82"/>
      <c r="SC127" s="82"/>
      <c r="SD127" s="82"/>
      <c r="SE127" s="82"/>
      <c r="SF127" s="82"/>
      <c r="SG127" s="82"/>
      <c r="SH127" s="82"/>
      <c r="SI127" s="82"/>
      <c r="SJ127" s="82"/>
      <c r="SK127" s="82"/>
      <c r="SL127" s="82"/>
      <c r="SM127" s="82"/>
      <c r="SN127" s="82"/>
      <c r="SO127" s="82"/>
      <c r="SP127" s="82"/>
      <c r="SQ127" s="82"/>
      <c r="SR127" s="82"/>
      <c r="SS127" s="82"/>
      <c r="ST127" s="82"/>
      <c r="SU127" s="82"/>
      <c r="SV127" s="82"/>
      <c r="SW127" s="82"/>
      <c r="SX127" s="82"/>
      <c r="SY127" s="82"/>
      <c r="SZ127" s="82"/>
      <c r="TA127" s="82"/>
      <c r="TB127" s="82"/>
      <c r="TC127" s="82"/>
      <c r="TD127" s="82"/>
      <c r="TE127" s="82"/>
      <c r="TF127" s="82"/>
      <c r="TG127" s="82"/>
      <c r="TH127" s="82"/>
      <c r="TI127" s="82"/>
      <c r="TJ127" s="82"/>
      <c r="TK127" s="82"/>
      <c r="TL127" s="82"/>
      <c r="TM127" s="82"/>
    </row>
    <row r="128" spans="1:533" s="83" customFormat="1" ht="18.75" x14ac:dyDescent="0.25">
      <c r="A128" s="39"/>
      <c r="B128" s="40" t="s">
        <v>244</v>
      </c>
      <c r="C128" s="41" t="s">
        <v>252</v>
      </c>
      <c r="D128" s="56" t="s">
        <v>253</v>
      </c>
      <c r="E128" s="43" t="s">
        <v>131</v>
      </c>
      <c r="F128" s="53">
        <v>14</v>
      </c>
      <c r="G128" s="58"/>
      <c r="H128" s="46"/>
      <c r="I128" s="47">
        <f t="shared" si="22"/>
        <v>0</v>
      </c>
      <c r="J128" s="48" t="s">
        <v>167</v>
      </c>
      <c r="K128" s="47" t="s">
        <v>168</v>
      </c>
      <c r="L128" s="49"/>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82"/>
      <c r="BJ128" s="82"/>
      <c r="BK128" s="82"/>
      <c r="BL128" s="82"/>
      <c r="BM128" s="82"/>
      <c r="BN128" s="82"/>
      <c r="BO128" s="82"/>
      <c r="BP128" s="82"/>
      <c r="BQ128" s="82"/>
      <c r="BR128" s="82"/>
      <c r="BS128" s="82"/>
      <c r="BT128" s="82"/>
      <c r="BU128" s="82"/>
      <c r="BV128" s="82"/>
      <c r="BW128" s="82"/>
      <c r="BX128" s="82"/>
      <c r="BY128" s="82"/>
      <c r="BZ128" s="82"/>
      <c r="CA128" s="82"/>
      <c r="CB128" s="82"/>
      <c r="CC128" s="82"/>
      <c r="CD128" s="82"/>
      <c r="CE128" s="82"/>
      <c r="CF128" s="82"/>
      <c r="CG128" s="82"/>
      <c r="CH128" s="82"/>
      <c r="CI128" s="82"/>
      <c r="CJ128" s="82"/>
      <c r="CK128" s="82"/>
      <c r="CL128" s="82"/>
      <c r="CM128" s="82"/>
      <c r="CN128" s="82"/>
      <c r="CO128" s="82"/>
      <c r="CP128" s="82"/>
      <c r="CQ128" s="82"/>
      <c r="CR128" s="82"/>
      <c r="CS128" s="82"/>
      <c r="CT128" s="82"/>
      <c r="CU128" s="82"/>
      <c r="CV128" s="82"/>
      <c r="CW128" s="82"/>
      <c r="CX128" s="82"/>
      <c r="CY128" s="82"/>
      <c r="CZ128" s="82"/>
      <c r="DA128" s="82"/>
      <c r="DB128" s="82"/>
      <c r="DC128" s="82"/>
      <c r="DD128" s="82"/>
      <c r="DE128" s="82"/>
      <c r="DF128" s="82"/>
      <c r="DG128" s="82"/>
      <c r="DH128" s="82"/>
      <c r="DI128" s="82"/>
      <c r="DJ128" s="82"/>
      <c r="DK128" s="82"/>
      <c r="DL128" s="82"/>
      <c r="DM128" s="82"/>
      <c r="DN128" s="82"/>
      <c r="DO128" s="82"/>
      <c r="DP128" s="82"/>
      <c r="DQ128" s="82"/>
      <c r="DR128" s="82"/>
      <c r="DS128" s="82"/>
      <c r="DT128" s="82"/>
      <c r="DU128" s="82"/>
      <c r="DV128" s="82"/>
      <c r="DW128" s="82"/>
      <c r="DX128" s="82"/>
      <c r="DY128" s="82"/>
      <c r="DZ128" s="82"/>
      <c r="EA128" s="82"/>
      <c r="EB128" s="82"/>
      <c r="EC128" s="82"/>
      <c r="ED128" s="82"/>
      <c r="EE128" s="82"/>
      <c r="EF128" s="82"/>
      <c r="EG128" s="82"/>
      <c r="EH128" s="82"/>
      <c r="EI128" s="82"/>
      <c r="EJ128" s="82"/>
      <c r="EK128" s="82"/>
      <c r="EL128" s="82"/>
      <c r="EM128" s="82"/>
      <c r="EN128" s="82"/>
      <c r="EO128" s="82"/>
      <c r="EP128" s="82"/>
      <c r="EQ128" s="82"/>
      <c r="ER128" s="82"/>
      <c r="ES128" s="82"/>
      <c r="ET128" s="82"/>
      <c r="EU128" s="82"/>
      <c r="EV128" s="82"/>
      <c r="EW128" s="82"/>
      <c r="EX128" s="82"/>
      <c r="EY128" s="82"/>
      <c r="EZ128" s="82"/>
      <c r="FA128" s="82"/>
      <c r="FB128" s="82"/>
      <c r="FC128" s="82"/>
      <c r="FD128" s="82"/>
      <c r="FE128" s="82"/>
      <c r="FF128" s="82"/>
      <c r="FG128" s="82"/>
      <c r="FH128" s="82"/>
      <c r="FI128" s="82"/>
      <c r="FJ128" s="82"/>
      <c r="FK128" s="82"/>
      <c r="FL128" s="82"/>
      <c r="FM128" s="82"/>
      <c r="FN128" s="82"/>
      <c r="FO128" s="82"/>
      <c r="FP128" s="82"/>
      <c r="FQ128" s="82"/>
      <c r="FR128" s="82"/>
      <c r="FS128" s="82"/>
      <c r="FT128" s="82"/>
      <c r="FU128" s="82"/>
      <c r="FV128" s="82"/>
      <c r="FW128" s="82"/>
      <c r="FX128" s="82"/>
      <c r="FY128" s="82"/>
      <c r="FZ128" s="82"/>
      <c r="GA128" s="82"/>
      <c r="GB128" s="82"/>
      <c r="GC128" s="82"/>
      <c r="GD128" s="82"/>
      <c r="GE128" s="82"/>
      <c r="GF128" s="82"/>
      <c r="GG128" s="82"/>
      <c r="GH128" s="82"/>
      <c r="GI128" s="82"/>
      <c r="GJ128" s="82"/>
      <c r="GK128" s="82"/>
      <c r="GL128" s="82"/>
      <c r="GM128" s="82"/>
      <c r="GN128" s="82"/>
      <c r="GO128" s="82"/>
      <c r="GP128" s="82"/>
      <c r="GQ128" s="82"/>
      <c r="GR128" s="82"/>
      <c r="GS128" s="82"/>
      <c r="GT128" s="82"/>
      <c r="GU128" s="82"/>
      <c r="GV128" s="82"/>
      <c r="GW128" s="82"/>
      <c r="GX128" s="82"/>
      <c r="GY128" s="82"/>
      <c r="GZ128" s="82"/>
      <c r="HA128" s="82"/>
      <c r="HB128" s="82"/>
      <c r="HC128" s="82"/>
      <c r="HD128" s="82"/>
      <c r="HE128" s="82"/>
      <c r="HF128" s="82"/>
      <c r="HG128" s="82"/>
      <c r="HH128" s="82"/>
      <c r="HI128" s="82"/>
      <c r="HJ128" s="82"/>
      <c r="HK128" s="82"/>
      <c r="HL128" s="82"/>
      <c r="HM128" s="82"/>
      <c r="HN128" s="82"/>
      <c r="HO128" s="82"/>
      <c r="HP128" s="82"/>
      <c r="HQ128" s="82"/>
      <c r="HR128" s="82"/>
      <c r="HS128" s="82"/>
      <c r="HT128" s="82"/>
      <c r="HU128" s="82"/>
      <c r="HV128" s="82"/>
      <c r="HW128" s="82"/>
      <c r="HX128" s="82"/>
      <c r="HY128" s="82"/>
      <c r="HZ128" s="82"/>
      <c r="IA128" s="82"/>
      <c r="IB128" s="82"/>
      <c r="IC128" s="82"/>
      <c r="ID128" s="82"/>
      <c r="IE128" s="82"/>
      <c r="IF128" s="82"/>
      <c r="IG128" s="82"/>
      <c r="IH128" s="82"/>
      <c r="II128" s="82"/>
      <c r="IJ128" s="82"/>
      <c r="IK128" s="82"/>
      <c r="IL128" s="82"/>
      <c r="IM128" s="82"/>
      <c r="IN128" s="82"/>
      <c r="IO128" s="82"/>
      <c r="IP128" s="82"/>
      <c r="IQ128" s="82"/>
      <c r="IR128" s="82"/>
      <c r="IS128" s="82"/>
      <c r="IT128" s="82"/>
      <c r="IU128" s="82"/>
      <c r="IV128" s="82"/>
      <c r="IW128" s="82"/>
      <c r="IX128" s="82"/>
      <c r="IY128" s="82"/>
      <c r="IZ128" s="82"/>
      <c r="JA128" s="82"/>
      <c r="JB128" s="82"/>
      <c r="JC128" s="82"/>
      <c r="JD128" s="82"/>
      <c r="JE128" s="82"/>
      <c r="JF128" s="82"/>
      <c r="JG128" s="82"/>
      <c r="JH128" s="82"/>
      <c r="JI128" s="82"/>
      <c r="JJ128" s="82"/>
      <c r="JK128" s="82"/>
      <c r="JL128" s="82"/>
      <c r="JM128" s="82"/>
      <c r="JN128" s="82"/>
      <c r="JO128" s="82"/>
      <c r="JP128" s="82"/>
      <c r="JQ128" s="82"/>
      <c r="JR128" s="82"/>
      <c r="JS128" s="82"/>
      <c r="JT128" s="82"/>
      <c r="JU128" s="82"/>
      <c r="JV128" s="82"/>
      <c r="JW128" s="82"/>
      <c r="JX128" s="82"/>
      <c r="JY128" s="82"/>
      <c r="JZ128" s="82"/>
      <c r="KA128" s="82"/>
      <c r="KB128" s="82"/>
      <c r="KC128" s="82"/>
      <c r="KD128" s="82"/>
      <c r="KE128" s="82"/>
      <c r="KF128" s="82"/>
      <c r="KG128" s="82"/>
      <c r="KH128" s="82"/>
      <c r="KI128" s="82"/>
      <c r="KJ128" s="82"/>
      <c r="KK128" s="82"/>
      <c r="KL128" s="82"/>
      <c r="KM128" s="82"/>
      <c r="KN128" s="82"/>
      <c r="KO128" s="82"/>
      <c r="KP128" s="82"/>
      <c r="KQ128" s="82"/>
      <c r="KR128" s="82"/>
      <c r="KS128" s="82"/>
      <c r="KT128" s="82"/>
      <c r="KU128" s="82"/>
      <c r="KV128" s="82"/>
      <c r="KW128" s="82"/>
      <c r="KX128" s="82"/>
      <c r="KY128" s="82"/>
      <c r="KZ128" s="82"/>
      <c r="LA128" s="82"/>
      <c r="LB128" s="82"/>
      <c r="LC128" s="82"/>
      <c r="LD128" s="82"/>
      <c r="LE128" s="82"/>
      <c r="LF128" s="82"/>
      <c r="LG128" s="82"/>
      <c r="LH128" s="82"/>
      <c r="LI128" s="82"/>
      <c r="LJ128" s="82"/>
      <c r="LK128" s="82"/>
      <c r="LL128" s="82"/>
      <c r="LM128" s="82"/>
      <c r="LN128" s="82"/>
      <c r="LO128" s="82"/>
      <c r="LP128" s="82"/>
      <c r="LQ128" s="82"/>
      <c r="LR128" s="82"/>
      <c r="LS128" s="82"/>
      <c r="LT128" s="82"/>
      <c r="LU128" s="82"/>
      <c r="LV128" s="82"/>
      <c r="LW128" s="82"/>
      <c r="LX128" s="82"/>
      <c r="LY128" s="82"/>
      <c r="LZ128" s="82"/>
      <c r="MA128" s="82"/>
      <c r="MB128" s="82"/>
      <c r="MC128" s="82"/>
      <c r="MD128" s="82"/>
      <c r="ME128" s="82"/>
      <c r="MF128" s="82"/>
      <c r="MG128" s="82"/>
      <c r="MH128" s="82"/>
      <c r="MI128" s="82"/>
      <c r="MJ128" s="82"/>
      <c r="MK128" s="82"/>
      <c r="ML128" s="82"/>
      <c r="MM128" s="82"/>
      <c r="MN128" s="82"/>
      <c r="MO128" s="82"/>
      <c r="MP128" s="82"/>
      <c r="MQ128" s="82"/>
      <c r="MR128" s="82"/>
      <c r="MS128" s="82"/>
      <c r="MT128" s="82"/>
      <c r="MU128" s="82"/>
      <c r="MV128" s="82"/>
      <c r="MW128" s="82"/>
      <c r="MX128" s="82"/>
      <c r="MY128" s="82"/>
      <c r="MZ128" s="82"/>
      <c r="NA128" s="82"/>
      <c r="NB128" s="82"/>
      <c r="NC128" s="82"/>
      <c r="ND128" s="82"/>
      <c r="NE128" s="82"/>
      <c r="NF128" s="82"/>
      <c r="NG128" s="82"/>
      <c r="NH128" s="82"/>
      <c r="NI128" s="82"/>
      <c r="NJ128" s="82"/>
      <c r="NK128" s="82"/>
      <c r="NL128" s="82"/>
      <c r="NM128" s="82"/>
      <c r="NN128" s="82"/>
      <c r="NO128" s="82"/>
      <c r="NP128" s="82"/>
      <c r="NQ128" s="82"/>
      <c r="NR128" s="82"/>
      <c r="NS128" s="82"/>
      <c r="NT128" s="82"/>
      <c r="NU128" s="82"/>
      <c r="NV128" s="82"/>
      <c r="NW128" s="82"/>
      <c r="NX128" s="82"/>
      <c r="NY128" s="82"/>
      <c r="NZ128" s="82"/>
      <c r="OA128" s="82"/>
      <c r="OB128" s="82"/>
      <c r="OC128" s="82"/>
      <c r="OD128" s="82"/>
      <c r="OE128" s="82"/>
      <c r="OF128" s="82"/>
      <c r="OG128" s="82"/>
      <c r="OH128" s="82"/>
      <c r="OI128" s="82"/>
      <c r="OJ128" s="82"/>
      <c r="OK128" s="82"/>
      <c r="OL128" s="82"/>
      <c r="OM128" s="82"/>
      <c r="ON128" s="82"/>
      <c r="OO128" s="82"/>
      <c r="OP128" s="82"/>
      <c r="OQ128" s="82"/>
      <c r="OR128" s="82"/>
      <c r="OS128" s="82"/>
      <c r="OT128" s="82"/>
      <c r="OU128" s="82"/>
      <c r="OV128" s="82"/>
      <c r="OW128" s="82"/>
      <c r="OX128" s="82"/>
      <c r="OY128" s="82"/>
      <c r="OZ128" s="82"/>
      <c r="PA128" s="82"/>
      <c r="PB128" s="82"/>
      <c r="PC128" s="82"/>
      <c r="PD128" s="82"/>
      <c r="PE128" s="82"/>
      <c r="PF128" s="82"/>
      <c r="PG128" s="82"/>
      <c r="PH128" s="82"/>
      <c r="PI128" s="82"/>
      <c r="PJ128" s="82"/>
      <c r="PK128" s="82"/>
      <c r="PL128" s="82"/>
      <c r="PM128" s="82"/>
      <c r="PN128" s="82"/>
      <c r="PO128" s="82"/>
      <c r="PP128" s="82"/>
      <c r="PQ128" s="82"/>
      <c r="PR128" s="82"/>
      <c r="PS128" s="82"/>
      <c r="PT128" s="82"/>
      <c r="PU128" s="82"/>
      <c r="PV128" s="82"/>
      <c r="PW128" s="82"/>
      <c r="PX128" s="82"/>
      <c r="PY128" s="82"/>
      <c r="PZ128" s="82"/>
      <c r="QA128" s="82"/>
      <c r="QB128" s="82"/>
      <c r="QC128" s="82"/>
      <c r="QD128" s="82"/>
      <c r="QE128" s="82"/>
      <c r="QF128" s="82"/>
      <c r="QG128" s="82"/>
      <c r="QH128" s="82"/>
      <c r="QI128" s="82"/>
      <c r="QJ128" s="82"/>
      <c r="QK128" s="82"/>
      <c r="QL128" s="82"/>
      <c r="QM128" s="82"/>
      <c r="QN128" s="82"/>
      <c r="QO128" s="82"/>
      <c r="QP128" s="82"/>
      <c r="QQ128" s="82"/>
      <c r="QR128" s="82"/>
      <c r="QS128" s="82"/>
      <c r="QT128" s="82"/>
      <c r="QU128" s="82"/>
      <c r="QV128" s="82"/>
      <c r="QW128" s="82"/>
      <c r="QX128" s="82"/>
      <c r="QY128" s="82"/>
      <c r="QZ128" s="82"/>
      <c r="RA128" s="82"/>
      <c r="RB128" s="82"/>
      <c r="RC128" s="82"/>
      <c r="RD128" s="82"/>
      <c r="RE128" s="82"/>
      <c r="RF128" s="82"/>
      <c r="RG128" s="82"/>
      <c r="RH128" s="82"/>
      <c r="RI128" s="82"/>
      <c r="RJ128" s="82"/>
      <c r="RK128" s="82"/>
      <c r="RL128" s="82"/>
      <c r="RM128" s="82"/>
      <c r="RN128" s="82"/>
      <c r="RO128" s="82"/>
      <c r="RP128" s="82"/>
      <c r="RQ128" s="82"/>
      <c r="RR128" s="82"/>
      <c r="RS128" s="82"/>
      <c r="RT128" s="82"/>
      <c r="RU128" s="82"/>
      <c r="RV128" s="82"/>
      <c r="RW128" s="82"/>
      <c r="RX128" s="82"/>
      <c r="RY128" s="82"/>
      <c r="RZ128" s="82"/>
      <c r="SA128" s="82"/>
      <c r="SB128" s="82"/>
      <c r="SC128" s="82"/>
      <c r="SD128" s="82"/>
      <c r="SE128" s="82"/>
      <c r="SF128" s="82"/>
      <c r="SG128" s="82"/>
      <c r="SH128" s="82"/>
      <c r="SI128" s="82"/>
      <c r="SJ128" s="82"/>
      <c r="SK128" s="82"/>
      <c r="SL128" s="82"/>
      <c r="SM128" s="82"/>
      <c r="SN128" s="82"/>
      <c r="SO128" s="82"/>
      <c r="SP128" s="82"/>
      <c r="SQ128" s="82"/>
      <c r="SR128" s="82"/>
      <c r="SS128" s="82"/>
      <c r="ST128" s="82"/>
      <c r="SU128" s="82"/>
      <c r="SV128" s="82"/>
      <c r="SW128" s="82"/>
      <c r="SX128" s="82"/>
      <c r="SY128" s="82"/>
      <c r="SZ128" s="82"/>
      <c r="TA128" s="82"/>
      <c r="TB128" s="82"/>
      <c r="TC128" s="82"/>
      <c r="TD128" s="82"/>
      <c r="TE128" s="82"/>
      <c r="TF128" s="82"/>
      <c r="TG128" s="82"/>
      <c r="TH128" s="82"/>
      <c r="TI128" s="82"/>
      <c r="TJ128" s="82"/>
      <c r="TK128" s="82"/>
      <c r="TL128" s="82"/>
      <c r="TM128" s="82"/>
    </row>
    <row r="129" spans="1:533" s="94" customFormat="1" ht="18.75" x14ac:dyDescent="0.25">
      <c r="B129" s="40" t="s">
        <v>244</v>
      </c>
      <c r="C129" s="41" t="s">
        <v>254</v>
      </c>
      <c r="D129" s="56" t="s">
        <v>255</v>
      </c>
      <c r="E129" s="43" t="s">
        <v>131</v>
      </c>
      <c r="F129" s="53">
        <v>5</v>
      </c>
      <c r="G129" s="58"/>
      <c r="H129" s="95"/>
      <c r="I129" s="47">
        <f t="shared" si="22"/>
        <v>0</v>
      </c>
      <c r="J129" s="48" t="s">
        <v>167</v>
      </c>
      <c r="K129" s="47" t="s">
        <v>168</v>
      </c>
      <c r="L129" s="49"/>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c r="BP129" s="96"/>
      <c r="BQ129" s="96"/>
      <c r="BR129" s="96"/>
      <c r="BS129" s="96"/>
      <c r="BT129" s="96"/>
      <c r="BU129" s="96"/>
      <c r="BV129" s="96"/>
      <c r="BW129" s="96"/>
      <c r="BX129" s="96"/>
      <c r="BY129" s="96"/>
      <c r="BZ129" s="96"/>
      <c r="CA129" s="96"/>
      <c r="CB129" s="96"/>
      <c r="CC129" s="96"/>
      <c r="CD129" s="96"/>
      <c r="CE129" s="96"/>
      <c r="CF129" s="96"/>
      <c r="CG129" s="96"/>
      <c r="CH129" s="96"/>
      <c r="CI129" s="96"/>
      <c r="CJ129" s="96"/>
      <c r="CK129" s="96"/>
      <c r="CL129" s="96"/>
      <c r="CM129" s="96"/>
      <c r="CN129" s="96"/>
      <c r="CO129" s="96"/>
      <c r="CP129" s="96"/>
      <c r="CQ129" s="96"/>
      <c r="CR129" s="96"/>
      <c r="CS129" s="96"/>
      <c r="CT129" s="96"/>
      <c r="CU129" s="96"/>
      <c r="CV129" s="96"/>
      <c r="CW129" s="96"/>
      <c r="CX129" s="96"/>
      <c r="CY129" s="96"/>
      <c r="CZ129" s="96"/>
      <c r="DA129" s="96"/>
      <c r="DB129" s="96"/>
      <c r="DC129" s="96"/>
      <c r="DD129" s="96"/>
      <c r="DE129" s="96"/>
      <c r="DF129" s="96"/>
      <c r="DG129" s="96"/>
      <c r="DH129" s="96"/>
      <c r="DI129" s="96"/>
      <c r="DJ129" s="96"/>
      <c r="DK129" s="96"/>
      <c r="DL129" s="96"/>
      <c r="DM129" s="96"/>
      <c r="DN129" s="96"/>
      <c r="DO129" s="96"/>
      <c r="DP129" s="96"/>
      <c r="DQ129" s="96"/>
      <c r="DR129" s="96"/>
      <c r="DS129" s="96"/>
      <c r="DT129" s="96"/>
      <c r="DU129" s="96"/>
      <c r="DV129" s="96"/>
      <c r="DW129" s="96"/>
      <c r="DX129" s="96"/>
      <c r="DY129" s="96"/>
      <c r="DZ129" s="96"/>
      <c r="EA129" s="96"/>
      <c r="EB129" s="96"/>
      <c r="EC129" s="96"/>
      <c r="ED129" s="96"/>
      <c r="EE129" s="96"/>
      <c r="EF129" s="96"/>
      <c r="EG129" s="96"/>
      <c r="EH129" s="96"/>
      <c r="EI129" s="96"/>
      <c r="EJ129" s="96"/>
      <c r="EK129" s="96"/>
      <c r="EL129" s="96"/>
      <c r="EM129" s="96"/>
      <c r="EN129" s="96"/>
      <c r="EO129" s="96"/>
      <c r="EP129" s="96"/>
      <c r="EQ129" s="96"/>
      <c r="ER129" s="96"/>
      <c r="ES129" s="96"/>
      <c r="ET129" s="96"/>
      <c r="EU129" s="96"/>
      <c r="EV129" s="96"/>
      <c r="EW129" s="96"/>
      <c r="EX129" s="96"/>
      <c r="EY129" s="96"/>
      <c r="EZ129" s="96"/>
      <c r="FA129" s="96"/>
      <c r="FB129" s="96"/>
      <c r="FC129" s="96"/>
      <c r="FD129" s="96"/>
      <c r="FE129" s="96"/>
      <c r="FF129" s="96"/>
      <c r="FG129" s="96"/>
      <c r="FH129" s="96"/>
      <c r="FI129" s="96"/>
      <c r="FJ129" s="96"/>
      <c r="FK129" s="96"/>
      <c r="FL129" s="96"/>
      <c r="FM129" s="96"/>
      <c r="FN129" s="96"/>
      <c r="FO129" s="96"/>
      <c r="FP129" s="96"/>
      <c r="FQ129" s="96"/>
      <c r="FR129" s="96"/>
      <c r="FS129" s="96"/>
      <c r="FT129" s="96"/>
      <c r="FU129" s="96"/>
      <c r="FV129" s="96"/>
      <c r="FW129" s="96"/>
      <c r="FX129" s="96"/>
      <c r="FY129" s="96"/>
      <c r="FZ129" s="96"/>
      <c r="GA129" s="96"/>
      <c r="GB129" s="96"/>
      <c r="GC129" s="96"/>
      <c r="GD129" s="96"/>
      <c r="GE129" s="96"/>
      <c r="GF129" s="96"/>
      <c r="GG129" s="96"/>
      <c r="GH129" s="96"/>
      <c r="GI129" s="96"/>
      <c r="GJ129" s="96"/>
      <c r="GK129" s="96"/>
      <c r="GL129" s="96"/>
      <c r="GM129" s="96"/>
      <c r="GN129" s="96"/>
      <c r="GO129" s="96"/>
      <c r="GP129" s="96"/>
      <c r="GQ129" s="96"/>
      <c r="GR129" s="96"/>
      <c r="GS129" s="96"/>
      <c r="GT129" s="96"/>
      <c r="GU129" s="96"/>
      <c r="GV129" s="96"/>
      <c r="GW129" s="96"/>
      <c r="GX129" s="96"/>
      <c r="GY129" s="96"/>
      <c r="GZ129" s="96"/>
      <c r="HA129" s="96"/>
      <c r="HB129" s="96"/>
      <c r="HC129" s="96"/>
      <c r="HD129" s="96"/>
      <c r="HE129" s="96"/>
      <c r="HF129" s="96"/>
      <c r="HG129" s="96"/>
      <c r="HH129" s="96"/>
      <c r="HI129" s="96"/>
      <c r="HJ129" s="96"/>
      <c r="HK129" s="96"/>
      <c r="HL129" s="96"/>
      <c r="HM129" s="96"/>
      <c r="HN129" s="96"/>
      <c r="HO129" s="96"/>
      <c r="HP129" s="96"/>
      <c r="HQ129" s="96"/>
      <c r="HR129" s="96"/>
      <c r="HS129" s="96"/>
      <c r="HT129" s="96"/>
      <c r="HU129" s="96"/>
      <c r="HV129" s="96"/>
      <c r="HW129" s="96"/>
      <c r="HX129" s="96"/>
      <c r="HY129" s="96"/>
      <c r="HZ129" s="96"/>
      <c r="IA129" s="96"/>
      <c r="IB129" s="96"/>
      <c r="IC129" s="96"/>
      <c r="ID129" s="96"/>
      <c r="IE129" s="96"/>
      <c r="IF129" s="96"/>
      <c r="IG129" s="96"/>
      <c r="IH129" s="96"/>
      <c r="II129" s="96"/>
      <c r="IJ129" s="96"/>
      <c r="IK129" s="96"/>
      <c r="IL129" s="96"/>
      <c r="IM129" s="96"/>
      <c r="IN129" s="96"/>
      <c r="IO129" s="96"/>
      <c r="IP129" s="96"/>
      <c r="IQ129" s="96"/>
      <c r="IR129" s="96"/>
      <c r="IS129" s="96"/>
      <c r="IT129" s="96"/>
      <c r="IU129" s="96"/>
      <c r="IV129" s="96"/>
      <c r="IW129" s="96"/>
      <c r="IX129" s="96"/>
      <c r="IY129" s="96"/>
      <c r="IZ129" s="96"/>
      <c r="JA129" s="96"/>
      <c r="JB129" s="96"/>
      <c r="JC129" s="96"/>
      <c r="JD129" s="96"/>
      <c r="JE129" s="96"/>
      <c r="JF129" s="96"/>
      <c r="JG129" s="96"/>
      <c r="JH129" s="96"/>
      <c r="JI129" s="96"/>
      <c r="JJ129" s="96"/>
      <c r="JK129" s="96"/>
      <c r="JL129" s="96"/>
      <c r="JM129" s="96"/>
      <c r="JN129" s="96"/>
      <c r="JO129" s="96"/>
      <c r="JP129" s="96"/>
      <c r="JQ129" s="96"/>
      <c r="JR129" s="96"/>
      <c r="JS129" s="96"/>
      <c r="JT129" s="96"/>
      <c r="JU129" s="96"/>
      <c r="JV129" s="96"/>
      <c r="JW129" s="96"/>
      <c r="JX129" s="96"/>
      <c r="JY129" s="96"/>
      <c r="JZ129" s="96"/>
      <c r="KA129" s="96"/>
      <c r="KB129" s="96"/>
      <c r="KC129" s="96"/>
      <c r="KD129" s="96"/>
      <c r="KE129" s="96"/>
      <c r="KF129" s="96"/>
      <c r="KG129" s="96"/>
      <c r="KH129" s="96"/>
      <c r="KI129" s="96"/>
      <c r="KJ129" s="96"/>
      <c r="KK129" s="96"/>
      <c r="KL129" s="96"/>
      <c r="KM129" s="96"/>
      <c r="KN129" s="96"/>
      <c r="KO129" s="96"/>
      <c r="KP129" s="96"/>
      <c r="KQ129" s="96"/>
      <c r="KR129" s="96"/>
      <c r="KS129" s="96"/>
      <c r="KT129" s="96"/>
      <c r="KU129" s="96"/>
      <c r="KV129" s="96"/>
      <c r="KW129" s="96"/>
      <c r="KX129" s="96"/>
      <c r="KY129" s="96"/>
      <c r="KZ129" s="96"/>
      <c r="LA129" s="96"/>
      <c r="LB129" s="96"/>
      <c r="LC129" s="96"/>
      <c r="LD129" s="96"/>
      <c r="LE129" s="96"/>
      <c r="LF129" s="96"/>
      <c r="LG129" s="96"/>
      <c r="LH129" s="96"/>
      <c r="LI129" s="96"/>
      <c r="LJ129" s="96"/>
      <c r="LK129" s="96"/>
      <c r="LL129" s="96"/>
      <c r="LM129" s="96"/>
      <c r="LN129" s="96"/>
      <c r="LO129" s="96"/>
      <c r="LP129" s="96"/>
      <c r="LQ129" s="96"/>
      <c r="LR129" s="96"/>
      <c r="LS129" s="96"/>
      <c r="LT129" s="96"/>
      <c r="LU129" s="96"/>
      <c r="LV129" s="96"/>
      <c r="LW129" s="96"/>
      <c r="LX129" s="96"/>
      <c r="LY129" s="96"/>
      <c r="LZ129" s="96"/>
      <c r="MA129" s="96"/>
      <c r="MB129" s="96"/>
      <c r="MC129" s="96"/>
      <c r="MD129" s="96"/>
      <c r="ME129" s="96"/>
      <c r="MF129" s="96"/>
      <c r="MG129" s="96"/>
      <c r="MH129" s="96"/>
      <c r="MI129" s="96"/>
      <c r="MJ129" s="96"/>
      <c r="MK129" s="96"/>
      <c r="ML129" s="96"/>
      <c r="MM129" s="96"/>
      <c r="MN129" s="96"/>
      <c r="MO129" s="96"/>
      <c r="MP129" s="96"/>
      <c r="MQ129" s="96"/>
      <c r="MR129" s="96"/>
      <c r="MS129" s="96"/>
      <c r="MT129" s="96"/>
      <c r="MU129" s="96"/>
      <c r="MV129" s="96"/>
      <c r="MW129" s="96"/>
      <c r="MX129" s="96"/>
      <c r="MY129" s="96"/>
      <c r="MZ129" s="96"/>
      <c r="NA129" s="96"/>
      <c r="NB129" s="96"/>
      <c r="NC129" s="96"/>
      <c r="ND129" s="96"/>
      <c r="NE129" s="96"/>
      <c r="NF129" s="96"/>
      <c r="NG129" s="96"/>
      <c r="NH129" s="96"/>
      <c r="NI129" s="96"/>
      <c r="NJ129" s="96"/>
      <c r="NK129" s="96"/>
      <c r="NL129" s="96"/>
      <c r="NM129" s="96"/>
      <c r="NN129" s="96"/>
      <c r="NO129" s="96"/>
      <c r="NP129" s="96"/>
      <c r="NQ129" s="96"/>
      <c r="NR129" s="96"/>
      <c r="NS129" s="96"/>
      <c r="NT129" s="96"/>
      <c r="NU129" s="96"/>
      <c r="NV129" s="96"/>
      <c r="NW129" s="96"/>
      <c r="NX129" s="96"/>
      <c r="NY129" s="96"/>
      <c r="NZ129" s="96"/>
      <c r="OA129" s="96"/>
      <c r="OB129" s="96"/>
      <c r="OC129" s="96"/>
      <c r="OD129" s="96"/>
      <c r="OE129" s="96"/>
      <c r="OF129" s="96"/>
      <c r="OG129" s="96"/>
      <c r="OH129" s="96"/>
      <c r="OI129" s="96"/>
      <c r="OJ129" s="96"/>
      <c r="OK129" s="96"/>
      <c r="OL129" s="96"/>
      <c r="OM129" s="96"/>
      <c r="ON129" s="96"/>
      <c r="OO129" s="96"/>
      <c r="OP129" s="96"/>
      <c r="OQ129" s="96"/>
      <c r="OR129" s="96"/>
      <c r="OS129" s="96"/>
      <c r="OT129" s="96"/>
      <c r="OU129" s="96"/>
      <c r="OV129" s="96"/>
      <c r="OW129" s="96"/>
      <c r="OX129" s="96"/>
      <c r="OY129" s="96"/>
      <c r="OZ129" s="96"/>
      <c r="PA129" s="96"/>
      <c r="PB129" s="96"/>
      <c r="PC129" s="96"/>
      <c r="PD129" s="96"/>
      <c r="PE129" s="96"/>
      <c r="PF129" s="96"/>
      <c r="PG129" s="96"/>
      <c r="PH129" s="96"/>
      <c r="PI129" s="96"/>
      <c r="PJ129" s="96"/>
      <c r="PK129" s="96"/>
      <c r="PL129" s="96"/>
      <c r="PM129" s="96"/>
      <c r="PN129" s="96"/>
      <c r="PO129" s="96"/>
      <c r="PP129" s="96"/>
      <c r="PQ129" s="96"/>
      <c r="PR129" s="96"/>
      <c r="PS129" s="96"/>
      <c r="PT129" s="96"/>
      <c r="PU129" s="96"/>
      <c r="PV129" s="96"/>
      <c r="PW129" s="96"/>
      <c r="PX129" s="96"/>
      <c r="PY129" s="96"/>
      <c r="PZ129" s="96"/>
      <c r="QA129" s="96"/>
      <c r="QB129" s="96"/>
      <c r="QC129" s="96"/>
      <c r="QD129" s="96"/>
      <c r="QE129" s="96"/>
      <c r="QF129" s="96"/>
      <c r="QG129" s="96"/>
      <c r="QH129" s="96"/>
      <c r="QI129" s="96"/>
      <c r="QJ129" s="96"/>
      <c r="QK129" s="96"/>
      <c r="QL129" s="96"/>
      <c r="QM129" s="96"/>
      <c r="QN129" s="96"/>
      <c r="QO129" s="96"/>
      <c r="QP129" s="96"/>
      <c r="QQ129" s="96"/>
      <c r="QR129" s="96"/>
      <c r="QS129" s="96"/>
      <c r="QT129" s="96"/>
      <c r="QU129" s="96"/>
      <c r="QV129" s="96"/>
      <c r="QW129" s="96"/>
      <c r="QX129" s="96"/>
      <c r="QY129" s="96"/>
      <c r="QZ129" s="96"/>
      <c r="RA129" s="96"/>
      <c r="RB129" s="96"/>
      <c r="RC129" s="96"/>
      <c r="RD129" s="96"/>
      <c r="RE129" s="96"/>
      <c r="RF129" s="96"/>
      <c r="RG129" s="96"/>
      <c r="RH129" s="96"/>
      <c r="RI129" s="96"/>
      <c r="RJ129" s="96"/>
      <c r="RK129" s="96"/>
      <c r="RL129" s="96"/>
      <c r="RM129" s="96"/>
      <c r="RN129" s="96"/>
      <c r="RO129" s="96"/>
      <c r="RP129" s="96"/>
      <c r="RQ129" s="96"/>
      <c r="RR129" s="96"/>
      <c r="RS129" s="96"/>
      <c r="RT129" s="96"/>
      <c r="RU129" s="96"/>
      <c r="RV129" s="96"/>
      <c r="RW129" s="96"/>
      <c r="RX129" s="96"/>
      <c r="RY129" s="96"/>
      <c r="RZ129" s="96"/>
      <c r="SA129" s="96"/>
      <c r="SB129" s="96"/>
      <c r="SC129" s="96"/>
      <c r="SD129" s="96"/>
      <c r="SE129" s="96"/>
      <c r="SF129" s="96"/>
      <c r="SG129" s="96"/>
      <c r="SH129" s="96"/>
      <c r="SI129" s="96"/>
      <c r="SJ129" s="96"/>
      <c r="SK129" s="96"/>
      <c r="SL129" s="96"/>
      <c r="SM129" s="96"/>
      <c r="SN129" s="96"/>
      <c r="SO129" s="96"/>
      <c r="SP129" s="96"/>
      <c r="SQ129" s="96"/>
      <c r="SR129" s="96"/>
      <c r="SS129" s="96"/>
      <c r="ST129" s="96"/>
      <c r="SU129" s="96"/>
      <c r="SV129" s="96"/>
      <c r="SW129" s="96"/>
      <c r="SX129" s="96"/>
      <c r="SY129" s="96"/>
      <c r="SZ129" s="96"/>
      <c r="TA129" s="96"/>
      <c r="TB129" s="96"/>
      <c r="TC129" s="96"/>
      <c r="TD129" s="96"/>
      <c r="TE129" s="96"/>
      <c r="TF129" s="96"/>
      <c r="TG129" s="96"/>
      <c r="TH129" s="96"/>
      <c r="TI129" s="96"/>
      <c r="TJ129" s="96"/>
      <c r="TK129" s="96"/>
      <c r="TL129" s="96"/>
      <c r="TM129" s="96"/>
    </row>
    <row r="130" spans="1:533" s="94" customFormat="1" ht="18.75" x14ac:dyDescent="0.25">
      <c r="B130" s="40" t="s">
        <v>244</v>
      </c>
      <c r="C130" s="41" t="s">
        <v>256</v>
      </c>
      <c r="D130" s="56" t="s">
        <v>257</v>
      </c>
      <c r="E130" s="43" t="s">
        <v>131</v>
      </c>
      <c r="F130" s="53">
        <v>1</v>
      </c>
      <c r="G130" s="58"/>
      <c r="H130" s="46"/>
      <c r="I130" s="47">
        <f t="shared" si="22"/>
        <v>0</v>
      </c>
      <c r="J130" s="48" t="s">
        <v>167</v>
      </c>
      <c r="K130" s="47" t="s">
        <v>168</v>
      </c>
      <c r="L130" s="49"/>
      <c r="M130" s="96"/>
      <c r="N130" s="96"/>
      <c r="O130" s="96"/>
      <c r="P130" s="96"/>
      <c r="Q130" s="96"/>
      <c r="R130" s="96"/>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G130" s="96"/>
      <c r="CH130" s="96"/>
      <c r="CI130" s="96"/>
      <c r="CJ130" s="96"/>
      <c r="CK130" s="96"/>
      <c r="CL130" s="96"/>
      <c r="CM130" s="96"/>
      <c r="CN130" s="96"/>
      <c r="CO130" s="96"/>
      <c r="CP130" s="96"/>
      <c r="CQ130" s="96"/>
      <c r="CR130" s="96"/>
      <c r="CS130" s="96"/>
      <c r="CT130" s="96"/>
      <c r="CU130" s="96"/>
      <c r="CV130" s="96"/>
      <c r="CW130" s="96"/>
      <c r="CX130" s="96"/>
      <c r="CY130" s="96"/>
      <c r="CZ130" s="96"/>
      <c r="DA130" s="96"/>
      <c r="DB130" s="96"/>
      <c r="DC130" s="96"/>
      <c r="DD130" s="96"/>
      <c r="DE130" s="96"/>
      <c r="DF130" s="96"/>
      <c r="DG130" s="96"/>
      <c r="DH130" s="96"/>
      <c r="DI130" s="96"/>
      <c r="DJ130" s="96"/>
      <c r="DK130" s="96"/>
      <c r="DL130" s="96"/>
      <c r="DM130" s="96"/>
      <c r="DN130" s="96"/>
      <c r="DO130" s="96"/>
      <c r="DP130" s="96"/>
      <c r="DQ130" s="96"/>
      <c r="DR130" s="96"/>
      <c r="DS130" s="96"/>
      <c r="DT130" s="96"/>
      <c r="DU130" s="96"/>
      <c r="DV130" s="96"/>
      <c r="DW130" s="96"/>
      <c r="DX130" s="96"/>
      <c r="DY130" s="96"/>
      <c r="DZ130" s="96"/>
      <c r="EA130" s="96"/>
      <c r="EB130" s="96"/>
      <c r="EC130" s="96"/>
      <c r="ED130" s="96"/>
      <c r="EE130" s="96"/>
      <c r="EF130" s="96"/>
      <c r="EG130" s="96"/>
      <c r="EH130" s="96"/>
      <c r="EI130" s="96"/>
      <c r="EJ130" s="96"/>
      <c r="EK130" s="96"/>
      <c r="EL130" s="96"/>
      <c r="EM130" s="96"/>
      <c r="EN130" s="96"/>
      <c r="EO130" s="96"/>
      <c r="EP130" s="96"/>
      <c r="EQ130" s="96"/>
      <c r="ER130" s="96"/>
      <c r="ES130" s="96"/>
      <c r="ET130" s="96"/>
      <c r="EU130" s="96"/>
      <c r="EV130" s="96"/>
      <c r="EW130" s="96"/>
      <c r="EX130" s="96"/>
      <c r="EY130" s="96"/>
      <c r="EZ130" s="96"/>
      <c r="FA130" s="96"/>
      <c r="FB130" s="96"/>
      <c r="FC130" s="96"/>
      <c r="FD130" s="96"/>
      <c r="FE130" s="96"/>
      <c r="FF130" s="96"/>
      <c r="FG130" s="96"/>
      <c r="FH130" s="96"/>
      <c r="FI130" s="96"/>
      <c r="FJ130" s="96"/>
      <c r="FK130" s="96"/>
      <c r="FL130" s="96"/>
      <c r="FM130" s="96"/>
      <c r="FN130" s="96"/>
      <c r="FO130" s="96"/>
      <c r="FP130" s="96"/>
      <c r="FQ130" s="96"/>
      <c r="FR130" s="96"/>
      <c r="FS130" s="96"/>
      <c r="FT130" s="96"/>
      <c r="FU130" s="96"/>
      <c r="FV130" s="96"/>
      <c r="FW130" s="96"/>
      <c r="FX130" s="96"/>
      <c r="FY130" s="96"/>
      <c r="FZ130" s="96"/>
      <c r="GA130" s="96"/>
      <c r="GB130" s="96"/>
      <c r="GC130" s="96"/>
      <c r="GD130" s="96"/>
      <c r="GE130" s="96"/>
      <c r="GF130" s="96"/>
      <c r="GG130" s="96"/>
      <c r="GH130" s="96"/>
      <c r="GI130" s="96"/>
      <c r="GJ130" s="96"/>
      <c r="GK130" s="96"/>
      <c r="GL130" s="96"/>
      <c r="GM130" s="96"/>
      <c r="GN130" s="96"/>
      <c r="GO130" s="96"/>
      <c r="GP130" s="96"/>
      <c r="GQ130" s="96"/>
      <c r="GR130" s="96"/>
      <c r="GS130" s="96"/>
      <c r="GT130" s="96"/>
      <c r="GU130" s="96"/>
      <c r="GV130" s="96"/>
      <c r="GW130" s="96"/>
      <c r="GX130" s="96"/>
      <c r="GY130" s="96"/>
      <c r="GZ130" s="96"/>
      <c r="HA130" s="96"/>
      <c r="HB130" s="96"/>
      <c r="HC130" s="96"/>
      <c r="HD130" s="96"/>
      <c r="HE130" s="96"/>
      <c r="HF130" s="96"/>
      <c r="HG130" s="96"/>
      <c r="HH130" s="96"/>
      <c r="HI130" s="96"/>
      <c r="HJ130" s="96"/>
      <c r="HK130" s="96"/>
      <c r="HL130" s="96"/>
      <c r="HM130" s="96"/>
      <c r="HN130" s="96"/>
      <c r="HO130" s="96"/>
      <c r="HP130" s="96"/>
      <c r="HQ130" s="96"/>
      <c r="HR130" s="96"/>
      <c r="HS130" s="96"/>
      <c r="HT130" s="96"/>
      <c r="HU130" s="96"/>
      <c r="HV130" s="96"/>
      <c r="HW130" s="96"/>
      <c r="HX130" s="96"/>
      <c r="HY130" s="96"/>
      <c r="HZ130" s="96"/>
      <c r="IA130" s="96"/>
      <c r="IB130" s="96"/>
      <c r="IC130" s="96"/>
      <c r="ID130" s="96"/>
      <c r="IE130" s="96"/>
      <c r="IF130" s="96"/>
      <c r="IG130" s="96"/>
      <c r="IH130" s="96"/>
      <c r="II130" s="96"/>
      <c r="IJ130" s="96"/>
      <c r="IK130" s="96"/>
      <c r="IL130" s="96"/>
      <c r="IM130" s="96"/>
      <c r="IN130" s="96"/>
      <c r="IO130" s="96"/>
      <c r="IP130" s="96"/>
      <c r="IQ130" s="96"/>
      <c r="IR130" s="96"/>
      <c r="IS130" s="96"/>
      <c r="IT130" s="96"/>
      <c r="IU130" s="96"/>
      <c r="IV130" s="96"/>
      <c r="IW130" s="96"/>
      <c r="IX130" s="96"/>
      <c r="IY130" s="96"/>
      <c r="IZ130" s="96"/>
      <c r="JA130" s="96"/>
      <c r="JB130" s="96"/>
      <c r="JC130" s="96"/>
      <c r="JD130" s="96"/>
      <c r="JE130" s="96"/>
      <c r="JF130" s="96"/>
      <c r="JG130" s="96"/>
      <c r="JH130" s="96"/>
      <c r="JI130" s="96"/>
      <c r="JJ130" s="96"/>
      <c r="JK130" s="96"/>
      <c r="JL130" s="96"/>
      <c r="JM130" s="96"/>
      <c r="JN130" s="96"/>
      <c r="JO130" s="96"/>
      <c r="JP130" s="96"/>
      <c r="JQ130" s="96"/>
      <c r="JR130" s="96"/>
      <c r="JS130" s="96"/>
      <c r="JT130" s="96"/>
      <c r="JU130" s="96"/>
      <c r="JV130" s="96"/>
      <c r="JW130" s="96"/>
      <c r="JX130" s="96"/>
      <c r="JY130" s="96"/>
      <c r="JZ130" s="96"/>
      <c r="KA130" s="96"/>
      <c r="KB130" s="96"/>
      <c r="KC130" s="96"/>
      <c r="KD130" s="96"/>
      <c r="KE130" s="96"/>
      <c r="KF130" s="96"/>
      <c r="KG130" s="96"/>
      <c r="KH130" s="96"/>
      <c r="KI130" s="96"/>
      <c r="KJ130" s="96"/>
      <c r="KK130" s="96"/>
      <c r="KL130" s="96"/>
      <c r="KM130" s="96"/>
      <c r="KN130" s="96"/>
      <c r="KO130" s="96"/>
      <c r="KP130" s="96"/>
      <c r="KQ130" s="96"/>
      <c r="KR130" s="96"/>
      <c r="KS130" s="96"/>
      <c r="KT130" s="96"/>
      <c r="KU130" s="96"/>
      <c r="KV130" s="96"/>
      <c r="KW130" s="96"/>
      <c r="KX130" s="96"/>
      <c r="KY130" s="96"/>
      <c r="KZ130" s="96"/>
      <c r="LA130" s="96"/>
      <c r="LB130" s="96"/>
      <c r="LC130" s="96"/>
      <c r="LD130" s="96"/>
      <c r="LE130" s="96"/>
      <c r="LF130" s="96"/>
      <c r="LG130" s="96"/>
      <c r="LH130" s="96"/>
      <c r="LI130" s="96"/>
      <c r="LJ130" s="96"/>
      <c r="LK130" s="96"/>
      <c r="LL130" s="96"/>
      <c r="LM130" s="96"/>
      <c r="LN130" s="96"/>
      <c r="LO130" s="96"/>
      <c r="LP130" s="96"/>
      <c r="LQ130" s="96"/>
      <c r="LR130" s="96"/>
      <c r="LS130" s="96"/>
      <c r="LT130" s="96"/>
      <c r="LU130" s="96"/>
      <c r="LV130" s="96"/>
      <c r="LW130" s="96"/>
      <c r="LX130" s="96"/>
      <c r="LY130" s="96"/>
      <c r="LZ130" s="96"/>
      <c r="MA130" s="96"/>
      <c r="MB130" s="96"/>
      <c r="MC130" s="96"/>
      <c r="MD130" s="96"/>
      <c r="ME130" s="96"/>
      <c r="MF130" s="96"/>
      <c r="MG130" s="96"/>
      <c r="MH130" s="96"/>
      <c r="MI130" s="96"/>
      <c r="MJ130" s="96"/>
      <c r="MK130" s="96"/>
      <c r="ML130" s="96"/>
      <c r="MM130" s="96"/>
      <c r="MN130" s="96"/>
      <c r="MO130" s="96"/>
      <c r="MP130" s="96"/>
      <c r="MQ130" s="96"/>
      <c r="MR130" s="96"/>
      <c r="MS130" s="96"/>
      <c r="MT130" s="96"/>
      <c r="MU130" s="96"/>
      <c r="MV130" s="96"/>
      <c r="MW130" s="96"/>
      <c r="MX130" s="96"/>
      <c r="MY130" s="96"/>
      <c r="MZ130" s="96"/>
      <c r="NA130" s="96"/>
      <c r="NB130" s="96"/>
      <c r="NC130" s="96"/>
      <c r="ND130" s="96"/>
      <c r="NE130" s="96"/>
      <c r="NF130" s="96"/>
      <c r="NG130" s="96"/>
      <c r="NH130" s="96"/>
      <c r="NI130" s="96"/>
      <c r="NJ130" s="96"/>
      <c r="NK130" s="96"/>
      <c r="NL130" s="96"/>
      <c r="NM130" s="96"/>
      <c r="NN130" s="96"/>
      <c r="NO130" s="96"/>
      <c r="NP130" s="96"/>
      <c r="NQ130" s="96"/>
      <c r="NR130" s="96"/>
      <c r="NS130" s="96"/>
      <c r="NT130" s="96"/>
      <c r="NU130" s="96"/>
      <c r="NV130" s="96"/>
      <c r="NW130" s="96"/>
      <c r="NX130" s="96"/>
      <c r="NY130" s="96"/>
      <c r="NZ130" s="96"/>
      <c r="OA130" s="96"/>
      <c r="OB130" s="96"/>
      <c r="OC130" s="96"/>
      <c r="OD130" s="96"/>
      <c r="OE130" s="96"/>
      <c r="OF130" s="96"/>
      <c r="OG130" s="96"/>
      <c r="OH130" s="96"/>
      <c r="OI130" s="96"/>
      <c r="OJ130" s="96"/>
      <c r="OK130" s="96"/>
      <c r="OL130" s="96"/>
      <c r="OM130" s="96"/>
      <c r="ON130" s="96"/>
      <c r="OO130" s="96"/>
      <c r="OP130" s="96"/>
      <c r="OQ130" s="96"/>
      <c r="OR130" s="96"/>
      <c r="OS130" s="96"/>
      <c r="OT130" s="96"/>
      <c r="OU130" s="96"/>
      <c r="OV130" s="96"/>
      <c r="OW130" s="96"/>
      <c r="OX130" s="96"/>
      <c r="OY130" s="96"/>
      <c r="OZ130" s="96"/>
      <c r="PA130" s="96"/>
      <c r="PB130" s="96"/>
      <c r="PC130" s="96"/>
      <c r="PD130" s="96"/>
      <c r="PE130" s="96"/>
      <c r="PF130" s="96"/>
      <c r="PG130" s="96"/>
      <c r="PH130" s="96"/>
      <c r="PI130" s="96"/>
      <c r="PJ130" s="96"/>
      <c r="PK130" s="96"/>
      <c r="PL130" s="96"/>
      <c r="PM130" s="96"/>
      <c r="PN130" s="96"/>
      <c r="PO130" s="96"/>
      <c r="PP130" s="96"/>
      <c r="PQ130" s="96"/>
      <c r="PR130" s="96"/>
      <c r="PS130" s="96"/>
      <c r="PT130" s="96"/>
      <c r="PU130" s="96"/>
      <c r="PV130" s="96"/>
      <c r="PW130" s="96"/>
      <c r="PX130" s="96"/>
      <c r="PY130" s="96"/>
      <c r="PZ130" s="96"/>
      <c r="QA130" s="96"/>
      <c r="QB130" s="96"/>
      <c r="QC130" s="96"/>
      <c r="QD130" s="96"/>
      <c r="QE130" s="96"/>
      <c r="QF130" s="96"/>
      <c r="QG130" s="96"/>
      <c r="QH130" s="96"/>
      <c r="QI130" s="96"/>
      <c r="QJ130" s="96"/>
      <c r="QK130" s="96"/>
      <c r="QL130" s="96"/>
      <c r="QM130" s="96"/>
      <c r="QN130" s="96"/>
      <c r="QO130" s="96"/>
      <c r="QP130" s="96"/>
      <c r="QQ130" s="96"/>
      <c r="QR130" s="96"/>
      <c r="QS130" s="96"/>
      <c r="QT130" s="96"/>
      <c r="QU130" s="96"/>
      <c r="QV130" s="96"/>
      <c r="QW130" s="96"/>
      <c r="QX130" s="96"/>
      <c r="QY130" s="96"/>
      <c r="QZ130" s="96"/>
      <c r="RA130" s="96"/>
      <c r="RB130" s="96"/>
      <c r="RC130" s="96"/>
      <c r="RD130" s="96"/>
      <c r="RE130" s="96"/>
      <c r="RF130" s="96"/>
      <c r="RG130" s="96"/>
      <c r="RH130" s="96"/>
      <c r="RI130" s="96"/>
      <c r="RJ130" s="96"/>
      <c r="RK130" s="96"/>
      <c r="RL130" s="96"/>
      <c r="RM130" s="96"/>
      <c r="RN130" s="96"/>
      <c r="RO130" s="96"/>
      <c r="RP130" s="96"/>
      <c r="RQ130" s="96"/>
      <c r="RR130" s="96"/>
      <c r="RS130" s="96"/>
      <c r="RT130" s="96"/>
      <c r="RU130" s="96"/>
      <c r="RV130" s="96"/>
      <c r="RW130" s="96"/>
      <c r="RX130" s="96"/>
      <c r="RY130" s="96"/>
      <c r="RZ130" s="96"/>
      <c r="SA130" s="96"/>
      <c r="SB130" s="96"/>
      <c r="SC130" s="96"/>
      <c r="SD130" s="96"/>
      <c r="SE130" s="96"/>
      <c r="SF130" s="96"/>
      <c r="SG130" s="96"/>
      <c r="SH130" s="96"/>
      <c r="SI130" s="96"/>
      <c r="SJ130" s="96"/>
      <c r="SK130" s="96"/>
      <c r="SL130" s="96"/>
      <c r="SM130" s="96"/>
      <c r="SN130" s="96"/>
      <c r="SO130" s="96"/>
      <c r="SP130" s="96"/>
      <c r="SQ130" s="96"/>
      <c r="SR130" s="96"/>
      <c r="SS130" s="96"/>
      <c r="ST130" s="96"/>
      <c r="SU130" s="96"/>
      <c r="SV130" s="96"/>
      <c r="SW130" s="96"/>
      <c r="SX130" s="96"/>
      <c r="SY130" s="96"/>
      <c r="SZ130" s="96"/>
      <c r="TA130" s="96"/>
      <c r="TB130" s="96"/>
      <c r="TC130" s="96"/>
      <c r="TD130" s="96"/>
      <c r="TE130" s="96"/>
      <c r="TF130" s="96"/>
      <c r="TG130" s="96"/>
      <c r="TH130" s="96"/>
      <c r="TI130" s="96"/>
      <c r="TJ130" s="96"/>
      <c r="TK130" s="96"/>
      <c r="TL130" s="96"/>
      <c r="TM130" s="96"/>
    </row>
    <row r="131" spans="1:533" s="94" customFormat="1" ht="18.75" x14ac:dyDescent="0.25">
      <c r="B131" s="40" t="s">
        <v>244</v>
      </c>
      <c r="C131" s="41" t="s">
        <v>258</v>
      </c>
      <c r="D131" s="56" t="s">
        <v>259</v>
      </c>
      <c r="E131" s="43" t="s">
        <v>131</v>
      </c>
      <c r="F131" s="53">
        <v>1</v>
      </c>
      <c r="G131" s="58"/>
      <c r="H131" s="46"/>
      <c r="I131" s="47">
        <f t="shared" si="22"/>
        <v>0</v>
      </c>
      <c r="J131" s="48" t="s">
        <v>167</v>
      </c>
      <c r="K131" s="47" t="s">
        <v>168</v>
      </c>
      <c r="L131" s="49"/>
      <c r="M131" s="96"/>
      <c r="N131" s="96"/>
      <c r="O131" s="96"/>
      <c r="P131" s="96"/>
      <c r="Q131" s="96"/>
      <c r="R131" s="96"/>
      <c r="S131" s="96"/>
      <c r="T131" s="96"/>
      <c r="U131" s="96"/>
      <c r="V131" s="96"/>
      <c r="W131" s="96"/>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c r="BP131" s="96"/>
      <c r="BQ131" s="96"/>
      <c r="BR131" s="96"/>
      <c r="BS131" s="96"/>
      <c r="BT131" s="96"/>
      <c r="BU131" s="96"/>
      <c r="BV131" s="96"/>
      <c r="BW131" s="96"/>
      <c r="BX131" s="96"/>
      <c r="BY131" s="96"/>
      <c r="BZ131" s="96"/>
      <c r="CA131" s="96"/>
      <c r="CB131" s="96"/>
      <c r="CC131" s="96"/>
      <c r="CD131" s="96"/>
      <c r="CE131" s="96"/>
      <c r="CF131" s="96"/>
      <c r="CG131" s="96"/>
      <c r="CH131" s="96"/>
      <c r="CI131" s="96"/>
      <c r="CJ131" s="96"/>
      <c r="CK131" s="96"/>
      <c r="CL131" s="96"/>
      <c r="CM131" s="96"/>
      <c r="CN131" s="96"/>
      <c r="CO131" s="96"/>
      <c r="CP131" s="96"/>
      <c r="CQ131" s="96"/>
      <c r="CR131" s="96"/>
      <c r="CS131" s="96"/>
      <c r="CT131" s="96"/>
      <c r="CU131" s="96"/>
      <c r="CV131" s="96"/>
      <c r="CW131" s="96"/>
      <c r="CX131" s="96"/>
      <c r="CY131" s="96"/>
      <c r="CZ131" s="96"/>
      <c r="DA131" s="96"/>
      <c r="DB131" s="96"/>
      <c r="DC131" s="96"/>
      <c r="DD131" s="96"/>
      <c r="DE131" s="96"/>
      <c r="DF131" s="96"/>
      <c r="DG131" s="96"/>
      <c r="DH131" s="96"/>
      <c r="DI131" s="96"/>
      <c r="DJ131" s="96"/>
      <c r="DK131" s="96"/>
      <c r="DL131" s="96"/>
      <c r="DM131" s="96"/>
      <c r="DN131" s="96"/>
      <c r="DO131" s="96"/>
      <c r="DP131" s="96"/>
      <c r="DQ131" s="96"/>
      <c r="DR131" s="96"/>
      <c r="DS131" s="96"/>
      <c r="DT131" s="96"/>
      <c r="DU131" s="96"/>
      <c r="DV131" s="96"/>
      <c r="DW131" s="96"/>
      <c r="DX131" s="96"/>
      <c r="DY131" s="96"/>
      <c r="DZ131" s="96"/>
      <c r="EA131" s="96"/>
      <c r="EB131" s="96"/>
      <c r="EC131" s="96"/>
      <c r="ED131" s="96"/>
      <c r="EE131" s="96"/>
      <c r="EF131" s="96"/>
      <c r="EG131" s="96"/>
      <c r="EH131" s="96"/>
      <c r="EI131" s="96"/>
      <c r="EJ131" s="96"/>
      <c r="EK131" s="96"/>
      <c r="EL131" s="96"/>
      <c r="EM131" s="96"/>
      <c r="EN131" s="96"/>
      <c r="EO131" s="96"/>
      <c r="EP131" s="96"/>
      <c r="EQ131" s="96"/>
      <c r="ER131" s="96"/>
      <c r="ES131" s="96"/>
      <c r="ET131" s="96"/>
      <c r="EU131" s="96"/>
      <c r="EV131" s="96"/>
      <c r="EW131" s="96"/>
      <c r="EX131" s="96"/>
      <c r="EY131" s="96"/>
      <c r="EZ131" s="96"/>
      <c r="FA131" s="96"/>
      <c r="FB131" s="96"/>
      <c r="FC131" s="96"/>
      <c r="FD131" s="96"/>
      <c r="FE131" s="96"/>
      <c r="FF131" s="96"/>
      <c r="FG131" s="96"/>
      <c r="FH131" s="96"/>
      <c r="FI131" s="96"/>
      <c r="FJ131" s="96"/>
      <c r="FK131" s="96"/>
      <c r="FL131" s="96"/>
      <c r="FM131" s="96"/>
      <c r="FN131" s="96"/>
      <c r="FO131" s="96"/>
      <c r="FP131" s="96"/>
      <c r="FQ131" s="96"/>
      <c r="FR131" s="96"/>
      <c r="FS131" s="96"/>
      <c r="FT131" s="96"/>
      <c r="FU131" s="96"/>
      <c r="FV131" s="96"/>
      <c r="FW131" s="96"/>
      <c r="FX131" s="96"/>
      <c r="FY131" s="96"/>
      <c r="FZ131" s="96"/>
      <c r="GA131" s="96"/>
      <c r="GB131" s="96"/>
      <c r="GC131" s="96"/>
      <c r="GD131" s="96"/>
      <c r="GE131" s="96"/>
      <c r="GF131" s="96"/>
      <c r="GG131" s="96"/>
      <c r="GH131" s="96"/>
      <c r="GI131" s="96"/>
      <c r="GJ131" s="96"/>
      <c r="GK131" s="96"/>
      <c r="GL131" s="96"/>
      <c r="GM131" s="96"/>
      <c r="GN131" s="96"/>
      <c r="GO131" s="96"/>
      <c r="GP131" s="96"/>
      <c r="GQ131" s="96"/>
      <c r="GR131" s="96"/>
      <c r="GS131" s="96"/>
      <c r="GT131" s="96"/>
      <c r="GU131" s="96"/>
      <c r="GV131" s="96"/>
      <c r="GW131" s="96"/>
      <c r="GX131" s="96"/>
      <c r="GY131" s="96"/>
      <c r="GZ131" s="96"/>
      <c r="HA131" s="96"/>
      <c r="HB131" s="96"/>
      <c r="HC131" s="96"/>
      <c r="HD131" s="96"/>
      <c r="HE131" s="96"/>
      <c r="HF131" s="96"/>
      <c r="HG131" s="96"/>
      <c r="HH131" s="96"/>
      <c r="HI131" s="96"/>
      <c r="HJ131" s="96"/>
      <c r="HK131" s="96"/>
      <c r="HL131" s="96"/>
      <c r="HM131" s="96"/>
      <c r="HN131" s="96"/>
      <c r="HO131" s="96"/>
      <c r="HP131" s="96"/>
      <c r="HQ131" s="96"/>
      <c r="HR131" s="96"/>
      <c r="HS131" s="96"/>
      <c r="HT131" s="96"/>
      <c r="HU131" s="96"/>
      <c r="HV131" s="96"/>
      <c r="HW131" s="96"/>
      <c r="HX131" s="96"/>
      <c r="HY131" s="96"/>
      <c r="HZ131" s="96"/>
      <c r="IA131" s="96"/>
      <c r="IB131" s="96"/>
      <c r="IC131" s="96"/>
      <c r="ID131" s="96"/>
      <c r="IE131" s="96"/>
      <c r="IF131" s="96"/>
      <c r="IG131" s="96"/>
      <c r="IH131" s="96"/>
      <c r="II131" s="96"/>
      <c r="IJ131" s="96"/>
      <c r="IK131" s="96"/>
      <c r="IL131" s="96"/>
      <c r="IM131" s="96"/>
      <c r="IN131" s="96"/>
      <c r="IO131" s="96"/>
      <c r="IP131" s="96"/>
      <c r="IQ131" s="96"/>
      <c r="IR131" s="96"/>
      <c r="IS131" s="96"/>
      <c r="IT131" s="96"/>
      <c r="IU131" s="96"/>
      <c r="IV131" s="96"/>
      <c r="IW131" s="96"/>
      <c r="IX131" s="96"/>
      <c r="IY131" s="96"/>
      <c r="IZ131" s="96"/>
      <c r="JA131" s="96"/>
      <c r="JB131" s="96"/>
      <c r="JC131" s="96"/>
      <c r="JD131" s="96"/>
      <c r="JE131" s="96"/>
      <c r="JF131" s="96"/>
      <c r="JG131" s="96"/>
      <c r="JH131" s="96"/>
      <c r="JI131" s="96"/>
      <c r="JJ131" s="96"/>
      <c r="JK131" s="96"/>
      <c r="JL131" s="96"/>
      <c r="JM131" s="96"/>
      <c r="JN131" s="96"/>
      <c r="JO131" s="96"/>
      <c r="JP131" s="96"/>
      <c r="JQ131" s="96"/>
      <c r="JR131" s="96"/>
      <c r="JS131" s="96"/>
      <c r="JT131" s="96"/>
      <c r="JU131" s="96"/>
      <c r="JV131" s="96"/>
      <c r="JW131" s="96"/>
      <c r="JX131" s="96"/>
      <c r="JY131" s="96"/>
      <c r="JZ131" s="96"/>
      <c r="KA131" s="96"/>
      <c r="KB131" s="96"/>
      <c r="KC131" s="96"/>
      <c r="KD131" s="96"/>
      <c r="KE131" s="96"/>
      <c r="KF131" s="96"/>
      <c r="KG131" s="96"/>
      <c r="KH131" s="96"/>
      <c r="KI131" s="96"/>
      <c r="KJ131" s="96"/>
      <c r="KK131" s="96"/>
      <c r="KL131" s="96"/>
      <c r="KM131" s="96"/>
      <c r="KN131" s="96"/>
      <c r="KO131" s="96"/>
      <c r="KP131" s="96"/>
      <c r="KQ131" s="96"/>
      <c r="KR131" s="96"/>
      <c r="KS131" s="96"/>
      <c r="KT131" s="96"/>
      <c r="KU131" s="96"/>
      <c r="KV131" s="96"/>
      <c r="KW131" s="96"/>
      <c r="KX131" s="96"/>
      <c r="KY131" s="96"/>
      <c r="KZ131" s="96"/>
      <c r="LA131" s="96"/>
      <c r="LB131" s="96"/>
      <c r="LC131" s="96"/>
      <c r="LD131" s="96"/>
      <c r="LE131" s="96"/>
      <c r="LF131" s="96"/>
      <c r="LG131" s="96"/>
      <c r="LH131" s="96"/>
      <c r="LI131" s="96"/>
      <c r="LJ131" s="96"/>
      <c r="LK131" s="96"/>
      <c r="LL131" s="96"/>
      <c r="LM131" s="96"/>
      <c r="LN131" s="96"/>
      <c r="LO131" s="96"/>
      <c r="LP131" s="96"/>
      <c r="LQ131" s="96"/>
      <c r="LR131" s="96"/>
      <c r="LS131" s="96"/>
      <c r="LT131" s="96"/>
      <c r="LU131" s="96"/>
      <c r="LV131" s="96"/>
      <c r="LW131" s="96"/>
      <c r="LX131" s="96"/>
      <c r="LY131" s="96"/>
      <c r="LZ131" s="96"/>
      <c r="MA131" s="96"/>
      <c r="MB131" s="96"/>
      <c r="MC131" s="96"/>
      <c r="MD131" s="96"/>
      <c r="ME131" s="96"/>
      <c r="MF131" s="96"/>
      <c r="MG131" s="96"/>
      <c r="MH131" s="96"/>
      <c r="MI131" s="96"/>
      <c r="MJ131" s="96"/>
      <c r="MK131" s="96"/>
      <c r="ML131" s="96"/>
      <c r="MM131" s="96"/>
      <c r="MN131" s="96"/>
      <c r="MO131" s="96"/>
      <c r="MP131" s="96"/>
      <c r="MQ131" s="96"/>
      <c r="MR131" s="96"/>
      <c r="MS131" s="96"/>
      <c r="MT131" s="96"/>
      <c r="MU131" s="96"/>
      <c r="MV131" s="96"/>
      <c r="MW131" s="96"/>
      <c r="MX131" s="96"/>
      <c r="MY131" s="96"/>
      <c r="MZ131" s="96"/>
      <c r="NA131" s="96"/>
      <c r="NB131" s="96"/>
      <c r="NC131" s="96"/>
      <c r="ND131" s="96"/>
      <c r="NE131" s="96"/>
      <c r="NF131" s="96"/>
      <c r="NG131" s="96"/>
      <c r="NH131" s="96"/>
      <c r="NI131" s="96"/>
      <c r="NJ131" s="96"/>
      <c r="NK131" s="96"/>
      <c r="NL131" s="96"/>
      <c r="NM131" s="96"/>
      <c r="NN131" s="96"/>
      <c r="NO131" s="96"/>
      <c r="NP131" s="96"/>
      <c r="NQ131" s="96"/>
      <c r="NR131" s="96"/>
      <c r="NS131" s="96"/>
      <c r="NT131" s="96"/>
      <c r="NU131" s="96"/>
      <c r="NV131" s="96"/>
      <c r="NW131" s="96"/>
      <c r="NX131" s="96"/>
      <c r="NY131" s="96"/>
      <c r="NZ131" s="96"/>
      <c r="OA131" s="96"/>
      <c r="OB131" s="96"/>
      <c r="OC131" s="96"/>
      <c r="OD131" s="96"/>
      <c r="OE131" s="96"/>
      <c r="OF131" s="96"/>
      <c r="OG131" s="96"/>
      <c r="OH131" s="96"/>
      <c r="OI131" s="96"/>
      <c r="OJ131" s="96"/>
      <c r="OK131" s="96"/>
      <c r="OL131" s="96"/>
      <c r="OM131" s="96"/>
      <c r="ON131" s="96"/>
      <c r="OO131" s="96"/>
      <c r="OP131" s="96"/>
      <c r="OQ131" s="96"/>
      <c r="OR131" s="96"/>
      <c r="OS131" s="96"/>
      <c r="OT131" s="96"/>
      <c r="OU131" s="96"/>
      <c r="OV131" s="96"/>
      <c r="OW131" s="96"/>
      <c r="OX131" s="96"/>
      <c r="OY131" s="96"/>
      <c r="OZ131" s="96"/>
      <c r="PA131" s="96"/>
      <c r="PB131" s="96"/>
      <c r="PC131" s="96"/>
      <c r="PD131" s="96"/>
      <c r="PE131" s="96"/>
      <c r="PF131" s="96"/>
      <c r="PG131" s="96"/>
      <c r="PH131" s="96"/>
      <c r="PI131" s="96"/>
      <c r="PJ131" s="96"/>
      <c r="PK131" s="96"/>
      <c r="PL131" s="96"/>
      <c r="PM131" s="96"/>
      <c r="PN131" s="96"/>
      <c r="PO131" s="96"/>
      <c r="PP131" s="96"/>
      <c r="PQ131" s="96"/>
      <c r="PR131" s="96"/>
      <c r="PS131" s="96"/>
      <c r="PT131" s="96"/>
      <c r="PU131" s="96"/>
      <c r="PV131" s="96"/>
      <c r="PW131" s="96"/>
      <c r="PX131" s="96"/>
      <c r="PY131" s="96"/>
      <c r="PZ131" s="96"/>
      <c r="QA131" s="96"/>
      <c r="QB131" s="96"/>
      <c r="QC131" s="96"/>
      <c r="QD131" s="96"/>
      <c r="QE131" s="96"/>
      <c r="QF131" s="96"/>
      <c r="QG131" s="96"/>
      <c r="QH131" s="96"/>
      <c r="QI131" s="96"/>
      <c r="QJ131" s="96"/>
      <c r="QK131" s="96"/>
      <c r="QL131" s="96"/>
      <c r="QM131" s="96"/>
      <c r="QN131" s="96"/>
      <c r="QO131" s="96"/>
      <c r="QP131" s="96"/>
      <c r="QQ131" s="96"/>
      <c r="QR131" s="96"/>
      <c r="QS131" s="96"/>
      <c r="QT131" s="96"/>
      <c r="QU131" s="96"/>
      <c r="QV131" s="96"/>
      <c r="QW131" s="96"/>
      <c r="QX131" s="96"/>
      <c r="QY131" s="96"/>
      <c r="QZ131" s="96"/>
      <c r="RA131" s="96"/>
      <c r="RB131" s="96"/>
      <c r="RC131" s="96"/>
      <c r="RD131" s="96"/>
      <c r="RE131" s="96"/>
      <c r="RF131" s="96"/>
      <c r="RG131" s="96"/>
      <c r="RH131" s="96"/>
      <c r="RI131" s="96"/>
      <c r="RJ131" s="96"/>
      <c r="RK131" s="96"/>
      <c r="RL131" s="96"/>
      <c r="RM131" s="96"/>
      <c r="RN131" s="96"/>
      <c r="RO131" s="96"/>
      <c r="RP131" s="96"/>
      <c r="RQ131" s="96"/>
      <c r="RR131" s="96"/>
      <c r="RS131" s="96"/>
      <c r="RT131" s="96"/>
      <c r="RU131" s="96"/>
      <c r="RV131" s="96"/>
      <c r="RW131" s="96"/>
      <c r="RX131" s="96"/>
      <c r="RY131" s="96"/>
      <c r="RZ131" s="96"/>
      <c r="SA131" s="96"/>
      <c r="SB131" s="96"/>
      <c r="SC131" s="96"/>
      <c r="SD131" s="96"/>
      <c r="SE131" s="96"/>
      <c r="SF131" s="96"/>
      <c r="SG131" s="96"/>
      <c r="SH131" s="96"/>
      <c r="SI131" s="96"/>
      <c r="SJ131" s="96"/>
      <c r="SK131" s="96"/>
      <c r="SL131" s="96"/>
      <c r="SM131" s="96"/>
      <c r="SN131" s="96"/>
      <c r="SO131" s="96"/>
      <c r="SP131" s="96"/>
      <c r="SQ131" s="96"/>
      <c r="SR131" s="96"/>
      <c r="SS131" s="96"/>
      <c r="ST131" s="96"/>
      <c r="SU131" s="96"/>
      <c r="SV131" s="96"/>
      <c r="SW131" s="96"/>
      <c r="SX131" s="96"/>
      <c r="SY131" s="96"/>
      <c r="SZ131" s="96"/>
      <c r="TA131" s="96"/>
      <c r="TB131" s="96"/>
      <c r="TC131" s="96"/>
      <c r="TD131" s="96"/>
      <c r="TE131" s="96"/>
      <c r="TF131" s="96"/>
      <c r="TG131" s="96"/>
      <c r="TH131" s="96"/>
      <c r="TI131" s="96"/>
      <c r="TJ131" s="96"/>
      <c r="TK131" s="96"/>
      <c r="TL131" s="96"/>
      <c r="TM131" s="96"/>
    </row>
    <row r="132" spans="1:533" s="39" customFormat="1" ht="131.25" x14ac:dyDescent="0.25">
      <c r="A132" s="97"/>
      <c r="B132" s="98" t="s">
        <v>244</v>
      </c>
      <c r="C132" s="99"/>
      <c r="D132" s="100" t="s">
        <v>260</v>
      </c>
      <c r="E132" s="101"/>
      <c r="F132" s="102"/>
      <c r="G132" s="58"/>
      <c r="H132" s="103"/>
      <c r="I132" s="104"/>
      <c r="J132" s="98"/>
      <c r="K132" s="104"/>
      <c r="L132" s="105"/>
    </row>
    <row r="133" spans="1:533" s="39" customFormat="1" ht="18.75" x14ac:dyDescent="0.25">
      <c r="A133" s="97"/>
      <c r="B133" s="98" t="s">
        <v>244</v>
      </c>
      <c r="C133" s="41" t="s">
        <v>261</v>
      </c>
      <c r="D133" s="56" t="s">
        <v>262</v>
      </c>
      <c r="E133" s="86" t="s">
        <v>131</v>
      </c>
      <c r="F133" s="53">
        <v>5</v>
      </c>
      <c r="G133" s="58"/>
      <c r="H133" s="103"/>
      <c r="I133" s="104">
        <f t="shared" ref="I133:I138" si="23">F133*G133</f>
        <v>0</v>
      </c>
      <c r="J133" s="98">
        <v>2159</v>
      </c>
      <c r="K133" s="104" t="s">
        <v>30</v>
      </c>
      <c r="L133" s="105"/>
    </row>
    <row r="134" spans="1:533" s="39" customFormat="1" ht="18.75" x14ac:dyDescent="0.25">
      <c r="A134" s="97"/>
      <c r="B134" s="98" t="s">
        <v>244</v>
      </c>
      <c r="C134" s="41" t="s">
        <v>263</v>
      </c>
      <c r="D134" s="56" t="s">
        <v>264</v>
      </c>
      <c r="E134" s="86" t="s">
        <v>131</v>
      </c>
      <c r="F134" s="53">
        <v>1</v>
      </c>
      <c r="G134" s="58"/>
      <c r="H134" s="103"/>
      <c r="I134" s="104">
        <f t="shared" si="23"/>
        <v>0</v>
      </c>
      <c r="J134" s="98">
        <v>2159</v>
      </c>
      <c r="K134" s="104" t="s">
        <v>30</v>
      </c>
      <c r="L134" s="105"/>
    </row>
    <row r="135" spans="1:533" s="39" customFormat="1" ht="18.75" x14ac:dyDescent="0.25">
      <c r="A135" s="97"/>
      <c r="B135" s="98" t="s">
        <v>244</v>
      </c>
      <c r="C135" s="41" t="s">
        <v>265</v>
      </c>
      <c r="D135" s="56" t="s">
        <v>266</v>
      </c>
      <c r="E135" s="86" t="s">
        <v>131</v>
      </c>
      <c r="F135" s="53">
        <v>8</v>
      </c>
      <c r="G135" s="58"/>
      <c r="H135" s="103"/>
      <c r="I135" s="104">
        <f t="shared" si="23"/>
        <v>0</v>
      </c>
      <c r="J135" s="98">
        <v>2159</v>
      </c>
      <c r="K135" s="104" t="s">
        <v>30</v>
      </c>
      <c r="L135" s="105"/>
    </row>
    <row r="136" spans="1:533" s="39" customFormat="1" ht="18.75" x14ac:dyDescent="0.25">
      <c r="A136" s="97"/>
      <c r="B136" s="98" t="s">
        <v>244</v>
      </c>
      <c r="C136" s="41" t="s">
        <v>267</v>
      </c>
      <c r="D136" s="56" t="s">
        <v>268</v>
      </c>
      <c r="E136" s="86" t="s">
        <v>131</v>
      </c>
      <c r="F136" s="53">
        <v>2</v>
      </c>
      <c r="G136" s="58"/>
      <c r="H136" s="103"/>
      <c r="I136" s="104">
        <f t="shared" si="23"/>
        <v>0</v>
      </c>
      <c r="J136" s="98">
        <v>2159</v>
      </c>
      <c r="K136" s="104" t="s">
        <v>30</v>
      </c>
      <c r="L136" s="105"/>
    </row>
    <row r="137" spans="1:533" s="39" customFormat="1" ht="18.75" x14ac:dyDescent="0.25">
      <c r="A137" s="97"/>
      <c r="B137" s="98" t="s">
        <v>244</v>
      </c>
      <c r="C137" s="41" t="s">
        <v>269</v>
      </c>
      <c r="D137" s="56" t="s">
        <v>270</v>
      </c>
      <c r="E137" s="86" t="s">
        <v>131</v>
      </c>
      <c r="F137" s="53">
        <v>2</v>
      </c>
      <c r="G137" s="58"/>
      <c r="H137" s="103"/>
      <c r="I137" s="104">
        <f t="shared" si="23"/>
        <v>0</v>
      </c>
      <c r="J137" s="98">
        <v>2159</v>
      </c>
      <c r="K137" s="104" t="s">
        <v>30</v>
      </c>
      <c r="L137" s="105"/>
    </row>
    <row r="138" spans="1:533" s="39" customFormat="1" ht="18.75" x14ac:dyDescent="0.25">
      <c r="A138" s="97"/>
      <c r="B138" s="98" t="s">
        <v>244</v>
      </c>
      <c r="C138" s="41" t="s">
        <v>271</v>
      </c>
      <c r="D138" s="56" t="s">
        <v>272</v>
      </c>
      <c r="E138" s="86" t="s">
        <v>131</v>
      </c>
      <c r="F138" s="53">
        <v>3</v>
      </c>
      <c r="G138" s="58"/>
      <c r="H138" s="103"/>
      <c r="I138" s="104">
        <f t="shared" si="23"/>
        <v>0</v>
      </c>
      <c r="J138" s="98">
        <v>2159</v>
      </c>
      <c r="K138" s="104" t="s">
        <v>30</v>
      </c>
      <c r="L138" s="105"/>
    </row>
    <row r="139" spans="1:533" s="39" customFormat="1" ht="131.25" x14ac:dyDescent="0.25">
      <c r="A139" s="97"/>
      <c r="B139" s="98" t="s">
        <v>273</v>
      </c>
      <c r="C139" s="99"/>
      <c r="D139" s="100" t="s">
        <v>274</v>
      </c>
      <c r="E139" s="101"/>
      <c r="F139" s="102"/>
      <c r="G139" s="58"/>
      <c r="H139" s="103"/>
      <c r="I139" s="104"/>
      <c r="J139" s="98"/>
      <c r="K139" s="104"/>
      <c r="L139" s="105"/>
    </row>
    <row r="140" spans="1:533" s="39" customFormat="1" ht="18.75" x14ac:dyDescent="0.25">
      <c r="A140" s="97"/>
      <c r="B140" s="98" t="s">
        <v>273</v>
      </c>
      <c r="C140" s="99" t="s">
        <v>275</v>
      </c>
      <c r="D140" s="106" t="s">
        <v>276</v>
      </c>
      <c r="E140" s="107" t="s">
        <v>103</v>
      </c>
      <c r="F140" s="102">
        <v>1</v>
      </c>
      <c r="G140" s="58"/>
      <c r="H140" s="103"/>
      <c r="I140" s="104">
        <f t="shared" ref="I140" si="24">F140*G140</f>
        <v>0</v>
      </c>
      <c r="J140" s="98" t="s">
        <v>167</v>
      </c>
      <c r="K140" s="104" t="s">
        <v>168</v>
      </c>
      <c r="L140" s="105"/>
    </row>
    <row r="141" spans="1:533" s="39" customFormat="1" ht="18.75" x14ac:dyDescent="0.25">
      <c r="A141" s="97"/>
      <c r="B141" s="98" t="s">
        <v>273</v>
      </c>
      <c r="C141" s="99" t="s">
        <v>277</v>
      </c>
      <c r="D141" s="106" t="s">
        <v>278</v>
      </c>
      <c r="E141" s="107" t="s">
        <v>103</v>
      </c>
      <c r="F141" s="102">
        <v>1</v>
      </c>
      <c r="G141" s="58"/>
      <c r="H141" s="103"/>
      <c r="I141" s="104">
        <f>F141*G141</f>
        <v>0</v>
      </c>
      <c r="J141" s="98" t="s">
        <v>167</v>
      </c>
      <c r="K141" s="104" t="s">
        <v>168</v>
      </c>
      <c r="L141" s="105"/>
    </row>
    <row r="142" spans="1:533" s="39" customFormat="1" ht="18.75" x14ac:dyDescent="0.25">
      <c r="A142" s="97"/>
      <c r="B142" s="98" t="s">
        <v>273</v>
      </c>
      <c r="C142" s="99" t="s">
        <v>279</v>
      </c>
      <c r="D142" s="106" t="s">
        <v>280</v>
      </c>
      <c r="E142" s="107" t="s">
        <v>103</v>
      </c>
      <c r="F142" s="102">
        <v>1</v>
      </c>
      <c r="G142" s="58"/>
      <c r="H142" s="103"/>
      <c r="I142" s="104">
        <f>F142*G142</f>
        <v>0</v>
      </c>
      <c r="J142" s="98" t="s">
        <v>167</v>
      </c>
      <c r="K142" s="104" t="s">
        <v>168</v>
      </c>
      <c r="L142" s="105"/>
    </row>
    <row r="143" spans="1:533" s="39" customFormat="1" ht="18.75" x14ac:dyDescent="0.25">
      <c r="A143" s="97"/>
      <c r="B143" s="98" t="s">
        <v>273</v>
      </c>
      <c r="C143" s="99" t="s">
        <v>281</v>
      </c>
      <c r="D143" s="106" t="s">
        <v>282</v>
      </c>
      <c r="E143" s="107" t="s">
        <v>103</v>
      </c>
      <c r="F143" s="102">
        <v>1</v>
      </c>
      <c r="G143" s="58"/>
      <c r="H143" s="103"/>
      <c r="I143" s="104">
        <f t="shared" ref="I143:I144" si="25">F143*G143</f>
        <v>0</v>
      </c>
      <c r="J143" s="98" t="s">
        <v>167</v>
      </c>
      <c r="K143" s="104" t="s">
        <v>168</v>
      </c>
      <c r="L143" s="105"/>
    </row>
    <row r="144" spans="1:533" s="39" customFormat="1" ht="18.75" x14ac:dyDescent="0.25">
      <c r="A144" s="97"/>
      <c r="B144" s="98" t="s">
        <v>273</v>
      </c>
      <c r="C144" s="99" t="s">
        <v>281</v>
      </c>
      <c r="D144" s="106" t="s">
        <v>283</v>
      </c>
      <c r="E144" s="107" t="s">
        <v>103</v>
      </c>
      <c r="F144" s="102">
        <v>1</v>
      </c>
      <c r="G144" s="58"/>
      <c r="H144" s="103"/>
      <c r="I144" s="104">
        <f t="shared" si="25"/>
        <v>0</v>
      </c>
      <c r="J144" s="98" t="s">
        <v>167</v>
      </c>
      <c r="K144" s="104" t="s">
        <v>168</v>
      </c>
      <c r="L144" s="105"/>
    </row>
    <row r="145" spans="1:533" s="39" customFormat="1" ht="18.75" x14ac:dyDescent="0.25">
      <c r="A145" s="97"/>
      <c r="B145" s="98" t="s">
        <v>273</v>
      </c>
      <c r="C145" s="99" t="s">
        <v>279</v>
      </c>
      <c r="D145" s="106" t="s">
        <v>284</v>
      </c>
      <c r="E145" s="107" t="s">
        <v>103</v>
      </c>
      <c r="F145" s="102">
        <v>1</v>
      </c>
      <c r="G145" s="58"/>
      <c r="H145" s="103"/>
      <c r="I145" s="104">
        <f>F145*G145</f>
        <v>0</v>
      </c>
      <c r="J145" s="98" t="s">
        <v>167</v>
      </c>
      <c r="K145" s="104" t="s">
        <v>168</v>
      </c>
      <c r="L145" s="105"/>
    </row>
    <row r="146" spans="1:533" s="39" customFormat="1" ht="18.75" x14ac:dyDescent="0.25">
      <c r="A146" s="97"/>
      <c r="B146" s="98" t="s">
        <v>273</v>
      </c>
      <c r="C146" s="99" t="s">
        <v>281</v>
      </c>
      <c r="D146" s="106" t="s">
        <v>285</v>
      </c>
      <c r="E146" s="107" t="s">
        <v>103</v>
      </c>
      <c r="F146" s="102">
        <v>1</v>
      </c>
      <c r="G146" s="58"/>
      <c r="H146" s="103"/>
      <c r="I146" s="104">
        <f t="shared" ref="I146" si="26">F146*G146</f>
        <v>0</v>
      </c>
      <c r="J146" s="98" t="s">
        <v>167</v>
      </c>
      <c r="K146" s="104" t="s">
        <v>168</v>
      </c>
      <c r="L146" s="105"/>
    </row>
    <row r="147" spans="1:533" s="39" customFormat="1" ht="131.25" x14ac:dyDescent="0.25">
      <c r="B147" s="50">
        <v>125000</v>
      </c>
      <c r="C147" s="41"/>
      <c r="D147" s="57" t="s">
        <v>286</v>
      </c>
      <c r="E147" s="86"/>
      <c r="F147" s="53"/>
      <c r="G147" s="58"/>
      <c r="H147" s="71"/>
      <c r="I147" s="104"/>
      <c r="J147" s="72"/>
      <c r="K147" s="47"/>
      <c r="L147" s="73"/>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c r="CD147" s="38"/>
      <c r="CE147" s="38"/>
      <c r="CF147" s="38"/>
      <c r="CG147" s="38"/>
      <c r="CH147" s="38"/>
      <c r="CI147" s="38"/>
      <c r="CJ147" s="38"/>
      <c r="CK147" s="38"/>
      <c r="CL147" s="38"/>
      <c r="CM147" s="38"/>
      <c r="CN147" s="38"/>
      <c r="CO147" s="38"/>
      <c r="CP147" s="38"/>
      <c r="CQ147" s="38"/>
      <c r="CR147" s="38"/>
      <c r="CS147" s="38"/>
      <c r="CT147" s="38"/>
      <c r="CU147" s="38"/>
      <c r="CV147" s="38"/>
      <c r="CW147" s="38"/>
      <c r="CX147" s="38"/>
      <c r="CY147" s="38"/>
      <c r="CZ147" s="38"/>
      <c r="DA147" s="38"/>
      <c r="DB147" s="38"/>
      <c r="DC147" s="38"/>
      <c r="DD147" s="38"/>
      <c r="DE147" s="38"/>
      <c r="DF147" s="38"/>
      <c r="DG147" s="38"/>
      <c r="DH147" s="38"/>
      <c r="DI147" s="38"/>
      <c r="DJ147" s="38"/>
      <c r="DK147" s="38"/>
      <c r="DL147" s="38"/>
      <c r="DM147" s="38"/>
      <c r="DN147" s="38"/>
      <c r="DO147" s="38"/>
      <c r="DP147" s="38"/>
      <c r="DQ147" s="38"/>
      <c r="DR147" s="38"/>
      <c r="DS147" s="38"/>
      <c r="DT147" s="38"/>
      <c r="DU147" s="38"/>
      <c r="DV147" s="38"/>
      <c r="DW147" s="38"/>
      <c r="DX147" s="38"/>
      <c r="DY147" s="38"/>
      <c r="DZ147" s="38"/>
      <c r="EA147" s="38"/>
      <c r="EB147" s="38"/>
      <c r="EC147" s="38"/>
      <c r="ED147" s="38"/>
      <c r="EE147" s="38"/>
      <c r="EF147" s="38"/>
      <c r="EG147" s="38"/>
      <c r="EH147" s="38"/>
      <c r="EI147" s="38"/>
      <c r="EJ147" s="38"/>
      <c r="EK147" s="38"/>
      <c r="EL147" s="38"/>
      <c r="EM147" s="38"/>
      <c r="EN147" s="38"/>
      <c r="EO147" s="38"/>
      <c r="EP147" s="38"/>
      <c r="EQ147" s="38"/>
      <c r="ER147" s="38"/>
      <c r="ES147" s="38"/>
      <c r="ET147" s="38"/>
      <c r="EU147" s="38"/>
      <c r="EV147" s="38"/>
      <c r="EW147" s="38"/>
      <c r="EX147" s="38"/>
      <c r="EY147" s="38"/>
      <c r="EZ147" s="38"/>
      <c r="FA147" s="38"/>
      <c r="FB147" s="38"/>
      <c r="FC147" s="38"/>
      <c r="FD147" s="38"/>
      <c r="FE147" s="38"/>
      <c r="FF147" s="38"/>
      <c r="FG147" s="38"/>
      <c r="FH147" s="38"/>
      <c r="FI147" s="38"/>
      <c r="FJ147" s="38"/>
      <c r="FK147" s="38"/>
      <c r="FL147" s="38"/>
      <c r="FM147" s="38"/>
      <c r="FN147" s="38"/>
      <c r="FO147" s="38"/>
      <c r="FP147" s="38"/>
      <c r="FQ147" s="38"/>
      <c r="FR147" s="38"/>
      <c r="FS147" s="38"/>
      <c r="FT147" s="38"/>
      <c r="FU147" s="38"/>
      <c r="FV147" s="38"/>
      <c r="FW147" s="38"/>
      <c r="FX147" s="38"/>
      <c r="FY147" s="38"/>
      <c r="FZ147" s="38"/>
      <c r="GA147" s="38"/>
      <c r="GB147" s="38"/>
      <c r="GC147" s="38"/>
      <c r="GD147" s="38"/>
      <c r="GE147" s="38"/>
      <c r="GF147" s="38"/>
      <c r="GG147" s="38"/>
      <c r="GH147" s="38"/>
      <c r="GI147" s="38"/>
      <c r="GJ147" s="38"/>
      <c r="GK147" s="38"/>
      <c r="GL147" s="38"/>
      <c r="GM147" s="38"/>
      <c r="GN147" s="38"/>
      <c r="GO147" s="38"/>
      <c r="GP147" s="38"/>
      <c r="GQ147" s="38"/>
      <c r="GR147" s="38"/>
      <c r="GS147" s="38"/>
      <c r="GT147" s="38"/>
      <c r="GU147" s="38"/>
      <c r="GV147" s="38"/>
      <c r="GW147" s="38"/>
      <c r="GX147" s="38"/>
      <c r="GY147" s="38"/>
      <c r="GZ147" s="38"/>
      <c r="HA147" s="38"/>
      <c r="HB147" s="38"/>
      <c r="HC147" s="38"/>
      <c r="HD147" s="38"/>
      <c r="HE147" s="38"/>
      <c r="HF147" s="38"/>
      <c r="HG147" s="38"/>
      <c r="HH147" s="38"/>
      <c r="HI147" s="38"/>
      <c r="HJ147" s="38"/>
      <c r="HK147" s="38"/>
      <c r="HL147" s="38"/>
      <c r="HM147" s="38"/>
      <c r="HN147" s="38"/>
      <c r="HO147" s="38"/>
      <c r="HP147" s="38"/>
      <c r="HQ147" s="38"/>
      <c r="HR147" s="38"/>
      <c r="HS147" s="38"/>
      <c r="HT147" s="38"/>
      <c r="HU147" s="38"/>
      <c r="HV147" s="38"/>
      <c r="HW147" s="38"/>
      <c r="HX147" s="38"/>
      <c r="HY147" s="38"/>
      <c r="HZ147" s="38"/>
      <c r="IA147" s="38"/>
      <c r="IB147" s="38"/>
      <c r="IC147" s="38"/>
      <c r="ID147" s="38"/>
      <c r="IE147" s="38"/>
      <c r="IF147" s="38"/>
      <c r="IG147" s="38"/>
      <c r="IH147" s="38"/>
      <c r="II147" s="38"/>
      <c r="IJ147" s="38"/>
      <c r="IK147" s="38"/>
      <c r="IL147" s="38"/>
      <c r="IM147" s="38"/>
      <c r="IN147" s="38"/>
      <c r="IO147" s="38"/>
      <c r="IP147" s="38"/>
      <c r="IQ147" s="38"/>
      <c r="IR147" s="38"/>
      <c r="IS147" s="38"/>
      <c r="IT147" s="38"/>
      <c r="IU147" s="38"/>
      <c r="IV147" s="38"/>
      <c r="IW147" s="38"/>
      <c r="IX147" s="38"/>
      <c r="IY147" s="38"/>
      <c r="IZ147" s="38"/>
      <c r="JA147" s="38"/>
      <c r="JB147" s="38"/>
      <c r="JC147" s="38"/>
      <c r="JD147" s="38"/>
      <c r="JE147" s="38"/>
      <c r="JF147" s="38"/>
      <c r="JG147" s="38"/>
      <c r="JH147" s="38"/>
      <c r="JI147" s="38"/>
      <c r="JJ147" s="38"/>
      <c r="JK147" s="38"/>
      <c r="JL147" s="38"/>
      <c r="JM147" s="38"/>
      <c r="JN147" s="38"/>
      <c r="JO147" s="38"/>
      <c r="JP147" s="38"/>
      <c r="JQ147" s="38"/>
      <c r="JR147" s="38"/>
      <c r="JS147" s="38"/>
      <c r="JT147" s="38"/>
      <c r="JU147" s="38"/>
      <c r="JV147" s="38"/>
      <c r="JW147" s="38"/>
      <c r="JX147" s="38"/>
      <c r="JY147" s="38"/>
      <c r="JZ147" s="38"/>
      <c r="KA147" s="38"/>
      <c r="KB147" s="38"/>
      <c r="KC147" s="38"/>
      <c r="KD147" s="38"/>
      <c r="KE147" s="38"/>
      <c r="KF147" s="38"/>
      <c r="KG147" s="38"/>
      <c r="KH147" s="38"/>
      <c r="KI147" s="38"/>
      <c r="KJ147" s="38"/>
      <c r="KK147" s="38"/>
      <c r="KL147" s="38"/>
      <c r="KM147" s="38"/>
      <c r="KN147" s="38"/>
      <c r="KO147" s="38"/>
      <c r="KP147" s="38"/>
      <c r="KQ147" s="38"/>
      <c r="KR147" s="38"/>
      <c r="KS147" s="38"/>
      <c r="KT147" s="38"/>
      <c r="KU147" s="38"/>
      <c r="KV147" s="38"/>
      <c r="KW147" s="38"/>
      <c r="KX147" s="38"/>
      <c r="KY147" s="38"/>
      <c r="KZ147" s="38"/>
      <c r="LA147" s="38"/>
      <c r="LB147" s="38"/>
      <c r="LC147" s="38"/>
      <c r="LD147" s="38"/>
      <c r="LE147" s="38"/>
      <c r="LF147" s="38"/>
      <c r="LG147" s="38"/>
      <c r="LH147" s="38"/>
      <c r="LI147" s="38"/>
      <c r="LJ147" s="38"/>
      <c r="LK147" s="38"/>
      <c r="LL147" s="38"/>
      <c r="LM147" s="38"/>
      <c r="LN147" s="38"/>
      <c r="LO147" s="38"/>
      <c r="LP147" s="38"/>
      <c r="LQ147" s="38"/>
      <c r="LR147" s="38"/>
      <c r="LS147" s="38"/>
      <c r="LT147" s="38"/>
      <c r="LU147" s="38"/>
      <c r="LV147" s="38"/>
      <c r="LW147" s="38"/>
      <c r="LX147" s="38"/>
      <c r="LY147" s="38"/>
      <c r="LZ147" s="38"/>
      <c r="MA147" s="38"/>
      <c r="MB147" s="38"/>
      <c r="MC147" s="38"/>
      <c r="MD147" s="38"/>
      <c r="ME147" s="38"/>
      <c r="MF147" s="38"/>
      <c r="MG147" s="38"/>
      <c r="MH147" s="38"/>
      <c r="MI147" s="38"/>
      <c r="MJ147" s="38"/>
      <c r="MK147" s="38"/>
      <c r="ML147" s="38"/>
      <c r="MM147" s="38"/>
      <c r="MN147" s="38"/>
      <c r="MO147" s="38"/>
      <c r="MP147" s="38"/>
      <c r="MQ147" s="38"/>
      <c r="MR147" s="38"/>
      <c r="MS147" s="38"/>
      <c r="MT147" s="38"/>
      <c r="MU147" s="38"/>
      <c r="MV147" s="38"/>
      <c r="MW147" s="38"/>
      <c r="MX147" s="38"/>
      <c r="MY147" s="38"/>
      <c r="MZ147" s="38"/>
      <c r="NA147" s="38"/>
      <c r="NB147" s="38"/>
      <c r="NC147" s="38"/>
      <c r="ND147" s="38"/>
      <c r="NE147" s="38"/>
      <c r="NF147" s="38"/>
      <c r="NG147" s="38"/>
      <c r="NH147" s="38"/>
      <c r="NI147" s="38"/>
      <c r="NJ147" s="38"/>
      <c r="NK147" s="38"/>
      <c r="NL147" s="38"/>
      <c r="NM147" s="38"/>
      <c r="NN147" s="38"/>
      <c r="NO147" s="38"/>
      <c r="NP147" s="38"/>
      <c r="NQ147" s="38"/>
      <c r="NR147" s="38"/>
      <c r="NS147" s="38"/>
      <c r="NT147" s="38"/>
      <c r="NU147" s="38"/>
      <c r="NV147" s="38"/>
      <c r="NW147" s="38"/>
      <c r="NX147" s="38"/>
      <c r="NY147" s="38"/>
      <c r="NZ147" s="38"/>
      <c r="OA147" s="38"/>
      <c r="OB147" s="38"/>
      <c r="OC147" s="38"/>
      <c r="OD147" s="38"/>
      <c r="OE147" s="38"/>
      <c r="OF147" s="38"/>
      <c r="OG147" s="38"/>
      <c r="OH147" s="38"/>
      <c r="OI147" s="38"/>
      <c r="OJ147" s="38"/>
      <c r="OK147" s="38"/>
      <c r="OL147" s="38"/>
      <c r="OM147" s="38"/>
      <c r="ON147" s="38"/>
      <c r="OO147" s="38"/>
      <c r="OP147" s="38"/>
      <c r="OQ147" s="38"/>
      <c r="OR147" s="38"/>
      <c r="OS147" s="38"/>
      <c r="OT147" s="38"/>
      <c r="OU147" s="38"/>
      <c r="OV147" s="38"/>
      <c r="OW147" s="38"/>
      <c r="OX147" s="38"/>
      <c r="OY147" s="38"/>
      <c r="OZ147" s="38"/>
      <c r="PA147" s="38"/>
      <c r="PB147" s="38"/>
      <c r="PC147" s="38"/>
      <c r="PD147" s="38"/>
      <c r="PE147" s="38"/>
      <c r="PF147" s="38"/>
      <c r="PG147" s="38"/>
      <c r="PH147" s="38"/>
      <c r="PI147" s="38"/>
      <c r="PJ147" s="38"/>
      <c r="PK147" s="38"/>
      <c r="PL147" s="38"/>
      <c r="PM147" s="38"/>
      <c r="PN147" s="38"/>
      <c r="PO147" s="38"/>
      <c r="PP147" s="38"/>
      <c r="PQ147" s="38"/>
      <c r="PR147" s="38"/>
      <c r="PS147" s="38"/>
      <c r="PT147" s="38"/>
      <c r="PU147" s="38"/>
      <c r="PV147" s="38"/>
      <c r="PW147" s="38"/>
      <c r="PX147" s="38"/>
      <c r="PY147" s="38"/>
      <c r="PZ147" s="38"/>
      <c r="QA147" s="38"/>
      <c r="QB147" s="38"/>
      <c r="QC147" s="38"/>
      <c r="QD147" s="38"/>
      <c r="QE147" s="38"/>
      <c r="QF147" s="38"/>
      <c r="QG147" s="38"/>
      <c r="QH147" s="38"/>
      <c r="QI147" s="38"/>
      <c r="QJ147" s="38"/>
      <c r="QK147" s="38"/>
      <c r="QL147" s="38"/>
      <c r="QM147" s="38"/>
      <c r="QN147" s="38"/>
      <c r="QO147" s="38"/>
      <c r="QP147" s="38"/>
      <c r="QQ147" s="38"/>
      <c r="QR147" s="38"/>
      <c r="QS147" s="38"/>
      <c r="QT147" s="38"/>
      <c r="QU147" s="38"/>
      <c r="QV147" s="38"/>
      <c r="QW147" s="38"/>
      <c r="QX147" s="38"/>
      <c r="QY147" s="38"/>
      <c r="QZ147" s="38"/>
      <c r="RA147" s="38"/>
      <c r="RB147" s="38"/>
      <c r="RC147" s="38"/>
      <c r="RD147" s="38"/>
      <c r="RE147" s="38"/>
      <c r="RF147" s="38"/>
      <c r="RG147" s="38"/>
      <c r="RH147" s="38"/>
      <c r="RI147" s="38"/>
      <c r="RJ147" s="38"/>
      <c r="RK147" s="38"/>
      <c r="RL147" s="38"/>
      <c r="RM147" s="38"/>
      <c r="RN147" s="38"/>
      <c r="RO147" s="38"/>
      <c r="RP147" s="38"/>
      <c r="RQ147" s="38"/>
      <c r="RR147" s="38"/>
      <c r="RS147" s="38"/>
      <c r="RT147" s="38"/>
      <c r="RU147" s="38"/>
      <c r="RV147" s="38"/>
      <c r="RW147" s="38"/>
      <c r="RX147" s="38"/>
      <c r="RY147" s="38"/>
      <c r="RZ147" s="38"/>
      <c r="SA147" s="38"/>
      <c r="SB147" s="38"/>
      <c r="SC147" s="38"/>
      <c r="SD147" s="38"/>
      <c r="SE147" s="38"/>
      <c r="SF147" s="38"/>
      <c r="SG147" s="38"/>
      <c r="SH147" s="38"/>
      <c r="SI147" s="38"/>
      <c r="SJ147" s="38"/>
      <c r="SK147" s="38"/>
      <c r="SL147" s="38"/>
      <c r="SM147" s="38"/>
      <c r="SN147" s="38"/>
      <c r="SO147" s="38"/>
      <c r="SP147" s="38"/>
      <c r="SQ147" s="38"/>
      <c r="SR147" s="38"/>
      <c r="SS147" s="38"/>
      <c r="ST147" s="38"/>
      <c r="SU147" s="38"/>
      <c r="SV147" s="38"/>
      <c r="SW147" s="38"/>
      <c r="SX147" s="38"/>
      <c r="SY147" s="38"/>
      <c r="SZ147" s="38"/>
      <c r="TA147" s="38"/>
      <c r="TB147" s="38"/>
      <c r="TC147" s="38"/>
      <c r="TD147" s="38"/>
      <c r="TE147" s="38"/>
      <c r="TF147" s="38"/>
      <c r="TG147" s="38"/>
      <c r="TH147" s="38"/>
      <c r="TI147" s="38"/>
      <c r="TJ147" s="38"/>
      <c r="TK147" s="38"/>
      <c r="TL147" s="38"/>
      <c r="TM147" s="38"/>
    </row>
    <row r="148" spans="1:533" s="39" customFormat="1" ht="18.75" x14ac:dyDescent="0.25">
      <c r="B148" s="50">
        <v>125000</v>
      </c>
      <c r="C148" s="41" t="s">
        <v>287</v>
      </c>
      <c r="D148" s="108" t="s">
        <v>288</v>
      </c>
      <c r="E148" s="107" t="s">
        <v>103</v>
      </c>
      <c r="F148" s="109">
        <v>10</v>
      </c>
      <c r="G148" s="58"/>
      <c r="H148" s="71"/>
      <c r="I148" s="104">
        <f t="shared" ref="I148:I174" si="27">F148*G148</f>
        <v>0</v>
      </c>
      <c r="J148" s="98" t="s">
        <v>167</v>
      </c>
      <c r="K148" s="104" t="s">
        <v>168</v>
      </c>
      <c r="L148" s="105"/>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c r="CD148" s="38"/>
      <c r="CE148" s="38"/>
      <c r="CF148" s="38"/>
      <c r="CG148" s="38"/>
      <c r="CH148" s="38"/>
      <c r="CI148" s="38"/>
      <c r="CJ148" s="38"/>
      <c r="CK148" s="38"/>
      <c r="CL148" s="38"/>
      <c r="CM148" s="38"/>
      <c r="CN148" s="38"/>
      <c r="CO148" s="38"/>
      <c r="CP148" s="38"/>
      <c r="CQ148" s="38"/>
      <c r="CR148" s="38"/>
      <c r="CS148" s="38"/>
      <c r="CT148" s="38"/>
      <c r="CU148" s="38"/>
      <c r="CV148" s="38"/>
      <c r="CW148" s="38"/>
      <c r="CX148" s="38"/>
      <c r="CY148" s="38"/>
      <c r="CZ148" s="38"/>
      <c r="DA148" s="38"/>
      <c r="DB148" s="38"/>
      <c r="DC148" s="38"/>
      <c r="DD148" s="38"/>
      <c r="DE148" s="38"/>
      <c r="DF148" s="38"/>
      <c r="DG148" s="38"/>
      <c r="DH148" s="38"/>
      <c r="DI148" s="38"/>
      <c r="DJ148" s="38"/>
      <c r="DK148" s="38"/>
      <c r="DL148" s="38"/>
      <c r="DM148" s="38"/>
      <c r="DN148" s="38"/>
      <c r="DO148" s="38"/>
      <c r="DP148" s="38"/>
      <c r="DQ148" s="38"/>
      <c r="DR148" s="38"/>
      <c r="DS148" s="38"/>
      <c r="DT148" s="38"/>
      <c r="DU148" s="38"/>
      <c r="DV148" s="38"/>
      <c r="DW148" s="38"/>
      <c r="DX148" s="38"/>
      <c r="DY148" s="38"/>
      <c r="DZ148" s="38"/>
      <c r="EA148" s="38"/>
      <c r="EB148" s="38"/>
      <c r="EC148" s="38"/>
      <c r="ED148" s="38"/>
      <c r="EE148" s="38"/>
      <c r="EF148" s="38"/>
      <c r="EG148" s="38"/>
      <c r="EH148" s="38"/>
      <c r="EI148" s="38"/>
      <c r="EJ148" s="38"/>
      <c r="EK148" s="38"/>
      <c r="EL148" s="38"/>
      <c r="EM148" s="38"/>
      <c r="EN148" s="38"/>
      <c r="EO148" s="38"/>
      <c r="EP148" s="38"/>
      <c r="EQ148" s="38"/>
      <c r="ER148" s="38"/>
      <c r="ES148" s="38"/>
      <c r="ET148" s="38"/>
      <c r="EU148" s="38"/>
      <c r="EV148" s="38"/>
      <c r="EW148" s="38"/>
      <c r="EX148" s="38"/>
      <c r="EY148" s="38"/>
      <c r="EZ148" s="38"/>
      <c r="FA148" s="38"/>
      <c r="FB148" s="38"/>
      <c r="FC148" s="38"/>
      <c r="FD148" s="38"/>
      <c r="FE148" s="38"/>
      <c r="FF148" s="38"/>
      <c r="FG148" s="38"/>
      <c r="FH148" s="38"/>
      <c r="FI148" s="38"/>
      <c r="FJ148" s="38"/>
      <c r="FK148" s="38"/>
      <c r="FL148" s="38"/>
      <c r="FM148" s="38"/>
      <c r="FN148" s="38"/>
      <c r="FO148" s="38"/>
      <c r="FP148" s="38"/>
      <c r="FQ148" s="38"/>
      <c r="FR148" s="38"/>
      <c r="FS148" s="38"/>
      <c r="FT148" s="38"/>
      <c r="FU148" s="38"/>
      <c r="FV148" s="38"/>
      <c r="FW148" s="38"/>
      <c r="FX148" s="38"/>
      <c r="FY148" s="38"/>
      <c r="FZ148" s="38"/>
      <c r="GA148" s="38"/>
      <c r="GB148" s="38"/>
      <c r="GC148" s="38"/>
      <c r="GD148" s="38"/>
      <c r="GE148" s="38"/>
      <c r="GF148" s="38"/>
      <c r="GG148" s="38"/>
      <c r="GH148" s="38"/>
      <c r="GI148" s="38"/>
      <c r="GJ148" s="38"/>
      <c r="GK148" s="38"/>
      <c r="GL148" s="38"/>
      <c r="GM148" s="38"/>
      <c r="GN148" s="38"/>
      <c r="GO148" s="38"/>
      <c r="GP148" s="38"/>
      <c r="GQ148" s="38"/>
      <c r="GR148" s="38"/>
      <c r="GS148" s="38"/>
      <c r="GT148" s="38"/>
      <c r="GU148" s="38"/>
      <c r="GV148" s="38"/>
      <c r="GW148" s="38"/>
      <c r="GX148" s="38"/>
      <c r="GY148" s="38"/>
      <c r="GZ148" s="38"/>
      <c r="HA148" s="38"/>
      <c r="HB148" s="38"/>
      <c r="HC148" s="38"/>
      <c r="HD148" s="38"/>
      <c r="HE148" s="38"/>
      <c r="HF148" s="38"/>
      <c r="HG148" s="38"/>
      <c r="HH148" s="38"/>
      <c r="HI148" s="38"/>
      <c r="HJ148" s="38"/>
      <c r="HK148" s="38"/>
      <c r="HL148" s="38"/>
      <c r="HM148" s="38"/>
      <c r="HN148" s="38"/>
      <c r="HO148" s="38"/>
      <c r="HP148" s="38"/>
      <c r="HQ148" s="38"/>
      <c r="HR148" s="38"/>
      <c r="HS148" s="38"/>
      <c r="HT148" s="38"/>
      <c r="HU148" s="38"/>
      <c r="HV148" s="38"/>
      <c r="HW148" s="38"/>
      <c r="HX148" s="38"/>
      <c r="HY148" s="38"/>
      <c r="HZ148" s="38"/>
      <c r="IA148" s="38"/>
      <c r="IB148" s="38"/>
      <c r="IC148" s="38"/>
      <c r="ID148" s="38"/>
      <c r="IE148" s="38"/>
      <c r="IF148" s="38"/>
      <c r="IG148" s="38"/>
      <c r="IH148" s="38"/>
      <c r="II148" s="38"/>
      <c r="IJ148" s="38"/>
      <c r="IK148" s="38"/>
      <c r="IL148" s="38"/>
      <c r="IM148" s="38"/>
      <c r="IN148" s="38"/>
      <c r="IO148" s="38"/>
      <c r="IP148" s="38"/>
      <c r="IQ148" s="38"/>
      <c r="IR148" s="38"/>
      <c r="IS148" s="38"/>
      <c r="IT148" s="38"/>
      <c r="IU148" s="38"/>
      <c r="IV148" s="38"/>
      <c r="IW148" s="38"/>
      <c r="IX148" s="38"/>
      <c r="IY148" s="38"/>
      <c r="IZ148" s="38"/>
      <c r="JA148" s="38"/>
      <c r="JB148" s="38"/>
      <c r="JC148" s="38"/>
      <c r="JD148" s="38"/>
      <c r="JE148" s="38"/>
      <c r="JF148" s="38"/>
      <c r="JG148" s="38"/>
      <c r="JH148" s="38"/>
      <c r="JI148" s="38"/>
      <c r="JJ148" s="38"/>
      <c r="JK148" s="38"/>
      <c r="JL148" s="38"/>
      <c r="JM148" s="38"/>
      <c r="JN148" s="38"/>
      <c r="JO148" s="38"/>
      <c r="JP148" s="38"/>
      <c r="JQ148" s="38"/>
      <c r="JR148" s="38"/>
      <c r="JS148" s="38"/>
      <c r="JT148" s="38"/>
      <c r="JU148" s="38"/>
      <c r="JV148" s="38"/>
      <c r="JW148" s="38"/>
      <c r="JX148" s="38"/>
      <c r="JY148" s="38"/>
      <c r="JZ148" s="38"/>
      <c r="KA148" s="38"/>
      <c r="KB148" s="38"/>
      <c r="KC148" s="38"/>
      <c r="KD148" s="38"/>
      <c r="KE148" s="38"/>
      <c r="KF148" s="38"/>
      <c r="KG148" s="38"/>
      <c r="KH148" s="38"/>
      <c r="KI148" s="38"/>
      <c r="KJ148" s="38"/>
      <c r="KK148" s="38"/>
      <c r="KL148" s="38"/>
      <c r="KM148" s="38"/>
      <c r="KN148" s="38"/>
      <c r="KO148" s="38"/>
      <c r="KP148" s="38"/>
      <c r="KQ148" s="38"/>
      <c r="KR148" s="38"/>
      <c r="KS148" s="38"/>
      <c r="KT148" s="38"/>
      <c r="KU148" s="38"/>
      <c r="KV148" s="38"/>
      <c r="KW148" s="38"/>
      <c r="KX148" s="38"/>
      <c r="KY148" s="38"/>
      <c r="KZ148" s="38"/>
      <c r="LA148" s="38"/>
      <c r="LB148" s="38"/>
      <c r="LC148" s="38"/>
      <c r="LD148" s="38"/>
      <c r="LE148" s="38"/>
      <c r="LF148" s="38"/>
      <c r="LG148" s="38"/>
      <c r="LH148" s="38"/>
      <c r="LI148" s="38"/>
      <c r="LJ148" s="38"/>
      <c r="LK148" s="38"/>
      <c r="LL148" s="38"/>
      <c r="LM148" s="38"/>
      <c r="LN148" s="38"/>
      <c r="LO148" s="38"/>
      <c r="LP148" s="38"/>
      <c r="LQ148" s="38"/>
      <c r="LR148" s="38"/>
      <c r="LS148" s="38"/>
      <c r="LT148" s="38"/>
      <c r="LU148" s="38"/>
      <c r="LV148" s="38"/>
      <c r="LW148" s="38"/>
      <c r="LX148" s="38"/>
      <c r="LY148" s="38"/>
      <c r="LZ148" s="38"/>
      <c r="MA148" s="38"/>
      <c r="MB148" s="38"/>
      <c r="MC148" s="38"/>
      <c r="MD148" s="38"/>
      <c r="ME148" s="38"/>
      <c r="MF148" s="38"/>
      <c r="MG148" s="38"/>
      <c r="MH148" s="38"/>
      <c r="MI148" s="38"/>
      <c r="MJ148" s="38"/>
      <c r="MK148" s="38"/>
      <c r="ML148" s="38"/>
      <c r="MM148" s="38"/>
      <c r="MN148" s="38"/>
      <c r="MO148" s="38"/>
      <c r="MP148" s="38"/>
      <c r="MQ148" s="38"/>
      <c r="MR148" s="38"/>
      <c r="MS148" s="38"/>
      <c r="MT148" s="38"/>
      <c r="MU148" s="38"/>
      <c r="MV148" s="38"/>
      <c r="MW148" s="38"/>
      <c r="MX148" s="38"/>
      <c r="MY148" s="38"/>
      <c r="MZ148" s="38"/>
      <c r="NA148" s="38"/>
      <c r="NB148" s="38"/>
      <c r="NC148" s="38"/>
      <c r="ND148" s="38"/>
      <c r="NE148" s="38"/>
      <c r="NF148" s="38"/>
      <c r="NG148" s="38"/>
      <c r="NH148" s="38"/>
      <c r="NI148" s="38"/>
      <c r="NJ148" s="38"/>
      <c r="NK148" s="38"/>
      <c r="NL148" s="38"/>
      <c r="NM148" s="38"/>
      <c r="NN148" s="38"/>
      <c r="NO148" s="38"/>
      <c r="NP148" s="38"/>
      <c r="NQ148" s="38"/>
      <c r="NR148" s="38"/>
      <c r="NS148" s="38"/>
      <c r="NT148" s="38"/>
      <c r="NU148" s="38"/>
      <c r="NV148" s="38"/>
      <c r="NW148" s="38"/>
      <c r="NX148" s="38"/>
      <c r="NY148" s="38"/>
      <c r="NZ148" s="38"/>
      <c r="OA148" s="38"/>
      <c r="OB148" s="38"/>
      <c r="OC148" s="38"/>
      <c r="OD148" s="38"/>
      <c r="OE148" s="38"/>
      <c r="OF148" s="38"/>
      <c r="OG148" s="38"/>
      <c r="OH148" s="38"/>
      <c r="OI148" s="38"/>
      <c r="OJ148" s="38"/>
      <c r="OK148" s="38"/>
      <c r="OL148" s="38"/>
      <c r="OM148" s="38"/>
      <c r="ON148" s="38"/>
      <c r="OO148" s="38"/>
      <c r="OP148" s="38"/>
      <c r="OQ148" s="38"/>
      <c r="OR148" s="38"/>
      <c r="OS148" s="38"/>
      <c r="OT148" s="38"/>
      <c r="OU148" s="38"/>
      <c r="OV148" s="38"/>
      <c r="OW148" s="38"/>
      <c r="OX148" s="38"/>
      <c r="OY148" s="38"/>
      <c r="OZ148" s="38"/>
      <c r="PA148" s="38"/>
      <c r="PB148" s="38"/>
      <c r="PC148" s="38"/>
      <c r="PD148" s="38"/>
      <c r="PE148" s="38"/>
      <c r="PF148" s="38"/>
      <c r="PG148" s="38"/>
      <c r="PH148" s="38"/>
      <c r="PI148" s="38"/>
      <c r="PJ148" s="38"/>
      <c r="PK148" s="38"/>
      <c r="PL148" s="38"/>
      <c r="PM148" s="38"/>
      <c r="PN148" s="38"/>
      <c r="PO148" s="38"/>
      <c r="PP148" s="38"/>
      <c r="PQ148" s="38"/>
      <c r="PR148" s="38"/>
      <c r="PS148" s="38"/>
      <c r="PT148" s="38"/>
      <c r="PU148" s="38"/>
      <c r="PV148" s="38"/>
      <c r="PW148" s="38"/>
      <c r="PX148" s="38"/>
      <c r="PY148" s="38"/>
      <c r="PZ148" s="38"/>
      <c r="QA148" s="38"/>
      <c r="QB148" s="38"/>
      <c r="QC148" s="38"/>
      <c r="QD148" s="38"/>
      <c r="QE148" s="38"/>
      <c r="QF148" s="38"/>
      <c r="QG148" s="38"/>
      <c r="QH148" s="38"/>
      <c r="QI148" s="38"/>
      <c r="QJ148" s="38"/>
      <c r="QK148" s="38"/>
      <c r="QL148" s="38"/>
      <c r="QM148" s="38"/>
      <c r="QN148" s="38"/>
      <c r="QO148" s="38"/>
      <c r="QP148" s="38"/>
      <c r="QQ148" s="38"/>
      <c r="QR148" s="38"/>
      <c r="QS148" s="38"/>
      <c r="QT148" s="38"/>
      <c r="QU148" s="38"/>
      <c r="QV148" s="38"/>
      <c r="QW148" s="38"/>
      <c r="QX148" s="38"/>
      <c r="QY148" s="38"/>
      <c r="QZ148" s="38"/>
      <c r="RA148" s="38"/>
      <c r="RB148" s="38"/>
      <c r="RC148" s="38"/>
      <c r="RD148" s="38"/>
      <c r="RE148" s="38"/>
      <c r="RF148" s="38"/>
      <c r="RG148" s="38"/>
      <c r="RH148" s="38"/>
      <c r="RI148" s="38"/>
      <c r="RJ148" s="38"/>
      <c r="RK148" s="38"/>
      <c r="RL148" s="38"/>
      <c r="RM148" s="38"/>
      <c r="RN148" s="38"/>
      <c r="RO148" s="38"/>
      <c r="RP148" s="38"/>
      <c r="RQ148" s="38"/>
      <c r="RR148" s="38"/>
      <c r="RS148" s="38"/>
      <c r="RT148" s="38"/>
      <c r="RU148" s="38"/>
      <c r="RV148" s="38"/>
      <c r="RW148" s="38"/>
      <c r="RX148" s="38"/>
      <c r="RY148" s="38"/>
      <c r="RZ148" s="38"/>
      <c r="SA148" s="38"/>
      <c r="SB148" s="38"/>
      <c r="SC148" s="38"/>
      <c r="SD148" s="38"/>
      <c r="SE148" s="38"/>
      <c r="SF148" s="38"/>
      <c r="SG148" s="38"/>
      <c r="SH148" s="38"/>
      <c r="SI148" s="38"/>
      <c r="SJ148" s="38"/>
      <c r="SK148" s="38"/>
      <c r="SL148" s="38"/>
      <c r="SM148" s="38"/>
      <c r="SN148" s="38"/>
      <c r="SO148" s="38"/>
      <c r="SP148" s="38"/>
      <c r="SQ148" s="38"/>
      <c r="SR148" s="38"/>
      <c r="SS148" s="38"/>
      <c r="ST148" s="38"/>
      <c r="SU148" s="38"/>
      <c r="SV148" s="38"/>
      <c r="SW148" s="38"/>
      <c r="SX148" s="38"/>
      <c r="SY148" s="38"/>
      <c r="SZ148" s="38"/>
      <c r="TA148" s="38"/>
      <c r="TB148" s="38"/>
      <c r="TC148" s="38"/>
      <c r="TD148" s="38"/>
      <c r="TE148" s="38"/>
      <c r="TF148" s="38"/>
      <c r="TG148" s="38"/>
      <c r="TH148" s="38"/>
      <c r="TI148" s="38"/>
      <c r="TJ148" s="38"/>
      <c r="TK148" s="38"/>
      <c r="TL148" s="38"/>
      <c r="TM148" s="38"/>
    </row>
    <row r="149" spans="1:533" s="39" customFormat="1" ht="18.75" x14ac:dyDescent="0.25">
      <c r="B149" s="50">
        <v>125000</v>
      </c>
      <c r="C149" s="41" t="s">
        <v>289</v>
      </c>
      <c r="D149" s="108" t="s">
        <v>290</v>
      </c>
      <c r="E149" s="107" t="s">
        <v>103</v>
      </c>
      <c r="F149" s="109">
        <v>20</v>
      </c>
      <c r="G149" s="58"/>
      <c r="H149" s="71"/>
      <c r="I149" s="104">
        <f t="shared" si="27"/>
        <v>0</v>
      </c>
      <c r="J149" s="98" t="s">
        <v>167</v>
      </c>
      <c r="K149" s="104" t="s">
        <v>168</v>
      </c>
      <c r="L149" s="105"/>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c r="CO149" s="38"/>
      <c r="CP149" s="38"/>
      <c r="CQ149" s="38"/>
      <c r="CR149" s="38"/>
      <c r="CS149" s="38"/>
      <c r="CT149" s="38"/>
      <c r="CU149" s="38"/>
      <c r="CV149" s="38"/>
      <c r="CW149" s="38"/>
      <c r="CX149" s="38"/>
      <c r="CY149" s="38"/>
      <c r="CZ149" s="38"/>
      <c r="DA149" s="38"/>
      <c r="DB149" s="38"/>
      <c r="DC149" s="38"/>
      <c r="DD149" s="38"/>
      <c r="DE149" s="38"/>
      <c r="DF149" s="38"/>
      <c r="DG149" s="38"/>
      <c r="DH149" s="38"/>
      <c r="DI149" s="38"/>
      <c r="DJ149" s="38"/>
      <c r="DK149" s="38"/>
      <c r="DL149" s="38"/>
      <c r="DM149" s="38"/>
      <c r="DN149" s="38"/>
      <c r="DO149" s="38"/>
      <c r="DP149" s="38"/>
      <c r="DQ149" s="38"/>
      <c r="DR149" s="38"/>
      <c r="DS149" s="38"/>
      <c r="DT149" s="38"/>
      <c r="DU149" s="38"/>
      <c r="DV149" s="38"/>
      <c r="DW149" s="38"/>
      <c r="DX149" s="38"/>
      <c r="DY149" s="38"/>
      <c r="DZ149" s="38"/>
      <c r="EA149" s="38"/>
      <c r="EB149" s="38"/>
      <c r="EC149" s="38"/>
      <c r="ED149" s="38"/>
      <c r="EE149" s="38"/>
      <c r="EF149" s="38"/>
      <c r="EG149" s="38"/>
      <c r="EH149" s="38"/>
      <c r="EI149" s="38"/>
      <c r="EJ149" s="38"/>
      <c r="EK149" s="38"/>
      <c r="EL149" s="38"/>
      <c r="EM149" s="38"/>
      <c r="EN149" s="38"/>
      <c r="EO149" s="38"/>
      <c r="EP149" s="38"/>
      <c r="EQ149" s="38"/>
      <c r="ER149" s="38"/>
      <c r="ES149" s="38"/>
      <c r="ET149" s="38"/>
      <c r="EU149" s="38"/>
      <c r="EV149" s="38"/>
      <c r="EW149" s="38"/>
      <c r="EX149" s="38"/>
      <c r="EY149" s="38"/>
      <c r="EZ149" s="38"/>
      <c r="FA149" s="38"/>
      <c r="FB149" s="38"/>
      <c r="FC149" s="38"/>
      <c r="FD149" s="38"/>
      <c r="FE149" s="38"/>
      <c r="FF149" s="38"/>
      <c r="FG149" s="38"/>
      <c r="FH149" s="38"/>
      <c r="FI149" s="38"/>
      <c r="FJ149" s="38"/>
      <c r="FK149" s="38"/>
      <c r="FL149" s="38"/>
      <c r="FM149" s="38"/>
      <c r="FN149" s="38"/>
      <c r="FO149" s="38"/>
      <c r="FP149" s="38"/>
      <c r="FQ149" s="38"/>
      <c r="FR149" s="38"/>
      <c r="FS149" s="38"/>
      <c r="FT149" s="38"/>
      <c r="FU149" s="38"/>
      <c r="FV149" s="38"/>
      <c r="FW149" s="38"/>
      <c r="FX149" s="38"/>
      <c r="FY149" s="38"/>
      <c r="FZ149" s="38"/>
      <c r="GA149" s="38"/>
      <c r="GB149" s="38"/>
      <c r="GC149" s="38"/>
      <c r="GD149" s="38"/>
      <c r="GE149" s="38"/>
      <c r="GF149" s="38"/>
      <c r="GG149" s="38"/>
      <c r="GH149" s="38"/>
      <c r="GI149" s="38"/>
      <c r="GJ149" s="38"/>
      <c r="GK149" s="38"/>
      <c r="GL149" s="38"/>
      <c r="GM149" s="38"/>
      <c r="GN149" s="38"/>
      <c r="GO149" s="38"/>
      <c r="GP149" s="38"/>
      <c r="GQ149" s="38"/>
      <c r="GR149" s="38"/>
      <c r="GS149" s="38"/>
      <c r="GT149" s="38"/>
      <c r="GU149" s="38"/>
      <c r="GV149" s="38"/>
      <c r="GW149" s="38"/>
      <c r="GX149" s="38"/>
      <c r="GY149" s="38"/>
      <c r="GZ149" s="38"/>
      <c r="HA149" s="38"/>
      <c r="HB149" s="38"/>
      <c r="HC149" s="38"/>
      <c r="HD149" s="38"/>
      <c r="HE149" s="38"/>
      <c r="HF149" s="38"/>
      <c r="HG149" s="38"/>
      <c r="HH149" s="38"/>
      <c r="HI149" s="38"/>
      <c r="HJ149" s="38"/>
      <c r="HK149" s="38"/>
      <c r="HL149" s="38"/>
      <c r="HM149" s="38"/>
      <c r="HN149" s="38"/>
      <c r="HO149" s="38"/>
      <c r="HP149" s="38"/>
      <c r="HQ149" s="38"/>
      <c r="HR149" s="38"/>
      <c r="HS149" s="38"/>
      <c r="HT149" s="38"/>
      <c r="HU149" s="38"/>
      <c r="HV149" s="38"/>
      <c r="HW149" s="38"/>
      <c r="HX149" s="38"/>
      <c r="HY149" s="38"/>
      <c r="HZ149" s="38"/>
      <c r="IA149" s="38"/>
      <c r="IB149" s="38"/>
      <c r="IC149" s="38"/>
      <c r="ID149" s="38"/>
      <c r="IE149" s="38"/>
      <c r="IF149" s="38"/>
      <c r="IG149" s="38"/>
      <c r="IH149" s="38"/>
      <c r="II149" s="38"/>
      <c r="IJ149" s="38"/>
      <c r="IK149" s="38"/>
      <c r="IL149" s="38"/>
      <c r="IM149" s="38"/>
      <c r="IN149" s="38"/>
      <c r="IO149" s="38"/>
      <c r="IP149" s="38"/>
      <c r="IQ149" s="38"/>
      <c r="IR149" s="38"/>
      <c r="IS149" s="38"/>
      <c r="IT149" s="38"/>
      <c r="IU149" s="38"/>
      <c r="IV149" s="38"/>
      <c r="IW149" s="38"/>
      <c r="IX149" s="38"/>
      <c r="IY149" s="38"/>
      <c r="IZ149" s="38"/>
      <c r="JA149" s="38"/>
      <c r="JB149" s="38"/>
      <c r="JC149" s="38"/>
      <c r="JD149" s="38"/>
      <c r="JE149" s="38"/>
      <c r="JF149" s="38"/>
      <c r="JG149" s="38"/>
      <c r="JH149" s="38"/>
      <c r="JI149" s="38"/>
      <c r="JJ149" s="38"/>
      <c r="JK149" s="38"/>
      <c r="JL149" s="38"/>
      <c r="JM149" s="38"/>
      <c r="JN149" s="38"/>
      <c r="JO149" s="38"/>
      <c r="JP149" s="38"/>
      <c r="JQ149" s="38"/>
      <c r="JR149" s="38"/>
      <c r="JS149" s="38"/>
      <c r="JT149" s="38"/>
      <c r="JU149" s="38"/>
      <c r="JV149" s="38"/>
      <c r="JW149" s="38"/>
      <c r="JX149" s="38"/>
      <c r="JY149" s="38"/>
      <c r="JZ149" s="38"/>
      <c r="KA149" s="38"/>
      <c r="KB149" s="38"/>
      <c r="KC149" s="38"/>
      <c r="KD149" s="38"/>
      <c r="KE149" s="38"/>
      <c r="KF149" s="38"/>
      <c r="KG149" s="38"/>
      <c r="KH149" s="38"/>
      <c r="KI149" s="38"/>
      <c r="KJ149" s="38"/>
      <c r="KK149" s="38"/>
      <c r="KL149" s="38"/>
      <c r="KM149" s="38"/>
      <c r="KN149" s="38"/>
      <c r="KO149" s="38"/>
      <c r="KP149" s="38"/>
      <c r="KQ149" s="38"/>
      <c r="KR149" s="38"/>
      <c r="KS149" s="38"/>
      <c r="KT149" s="38"/>
      <c r="KU149" s="38"/>
      <c r="KV149" s="38"/>
      <c r="KW149" s="38"/>
      <c r="KX149" s="38"/>
      <c r="KY149" s="38"/>
      <c r="KZ149" s="38"/>
      <c r="LA149" s="38"/>
      <c r="LB149" s="38"/>
      <c r="LC149" s="38"/>
      <c r="LD149" s="38"/>
      <c r="LE149" s="38"/>
      <c r="LF149" s="38"/>
      <c r="LG149" s="38"/>
      <c r="LH149" s="38"/>
      <c r="LI149" s="38"/>
      <c r="LJ149" s="38"/>
      <c r="LK149" s="38"/>
      <c r="LL149" s="38"/>
      <c r="LM149" s="38"/>
      <c r="LN149" s="38"/>
      <c r="LO149" s="38"/>
      <c r="LP149" s="38"/>
      <c r="LQ149" s="38"/>
      <c r="LR149" s="38"/>
      <c r="LS149" s="38"/>
      <c r="LT149" s="38"/>
      <c r="LU149" s="38"/>
      <c r="LV149" s="38"/>
      <c r="LW149" s="38"/>
      <c r="LX149" s="38"/>
      <c r="LY149" s="38"/>
      <c r="LZ149" s="38"/>
      <c r="MA149" s="38"/>
      <c r="MB149" s="38"/>
      <c r="MC149" s="38"/>
      <c r="MD149" s="38"/>
      <c r="ME149" s="38"/>
      <c r="MF149" s="38"/>
      <c r="MG149" s="38"/>
      <c r="MH149" s="38"/>
      <c r="MI149" s="38"/>
      <c r="MJ149" s="38"/>
      <c r="MK149" s="38"/>
      <c r="ML149" s="38"/>
      <c r="MM149" s="38"/>
      <c r="MN149" s="38"/>
      <c r="MO149" s="38"/>
      <c r="MP149" s="38"/>
      <c r="MQ149" s="38"/>
      <c r="MR149" s="38"/>
      <c r="MS149" s="38"/>
      <c r="MT149" s="38"/>
      <c r="MU149" s="38"/>
      <c r="MV149" s="38"/>
      <c r="MW149" s="38"/>
      <c r="MX149" s="38"/>
      <c r="MY149" s="38"/>
      <c r="MZ149" s="38"/>
      <c r="NA149" s="38"/>
      <c r="NB149" s="38"/>
      <c r="NC149" s="38"/>
      <c r="ND149" s="38"/>
      <c r="NE149" s="38"/>
      <c r="NF149" s="38"/>
      <c r="NG149" s="38"/>
      <c r="NH149" s="38"/>
      <c r="NI149" s="38"/>
      <c r="NJ149" s="38"/>
      <c r="NK149" s="38"/>
      <c r="NL149" s="38"/>
      <c r="NM149" s="38"/>
      <c r="NN149" s="38"/>
      <c r="NO149" s="38"/>
      <c r="NP149" s="38"/>
      <c r="NQ149" s="38"/>
      <c r="NR149" s="38"/>
      <c r="NS149" s="38"/>
      <c r="NT149" s="38"/>
      <c r="NU149" s="38"/>
      <c r="NV149" s="38"/>
      <c r="NW149" s="38"/>
      <c r="NX149" s="38"/>
      <c r="NY149" s="38"/>
      <c r="NZ149" s="38"/>
      <c r="OA149" s="38"/>
      <c r="OB149" s="38"/>
      <c r="OC149" s="38"/>
      <c r="OD149" s="38"/>
      <c r="OE149" s="38"/>
      <c r="OF149" s="38"/>
      <c r="OG149" s="38"/>
      <c r="OH149" s="38"/>
      <c r="OI149" s="38"/>
      <c r="OJ149" s="38"/>
      <c r="OK149" s="38"/>
      <c r="OL149" s="38"/>
      <c r="OM149" s="38"/>
      <c r="ON149" s="38"/>
      <c r="OO149" s="38"/>
      <c r="OP149" s="38"/>
      <c r="OQ149" s="38"/>
      <c r="OR149" s="38"/>
      <c r="OS149" s="38"/>
      <c r="OT149" s="38"/>
      <c r="OU149" s="38"/>
      <c r="OV149" s="38"/>
      <c r="OW149" s="38"/>
      <c r="OX149" s="38"/>
      <c r="OY149" s="38"/>
      <c r="OZ149" s="38"/>
      <c r="PA149" s="38"/>
      <c r="PB149" s="38"/>
      <c r="PC149" s="38"/>
      <c r="PD149" s="38"/>
      <c r="PE149" s="38"/>
      <c r="PF149" s="38"/>
      <c r="PG149" s="38"/>
      <c r="PH149" s="38"/>
      <c r="PI149" s="38"/>
      <c r="PJ149" s="38"/>
      <c r="PK149" s="38"/>
      <c r="PL149" s="38"/>
      <c r="PM149" s="38"/>
      <c r="PN149" s="38"/>
      <c r="PO149" s="38"/>
      <c r="PP149" s="38"/>
      <c r="PQ149" s="38"/>
      <c r="PR149" s="38"/>
      <c r="PS149" s="38"/>
      <c r="PT149" s="38"/>
      <c r="PU149" s="38"/>
      <c r="PV149" s="38"/>
      <c r="PW149" s="38"/>
      <c r="PX149" s="38"/>
      <c r="PY149" s="38"/>
      <c r="PZ149" s="38"/>
      <c r="QA149" s="38"/>
      <c r="QB149" s="38"/>
      <c r="QC149" s="38"/>
      <c r="QD149" s="38"/>
      <c r="QE149" s="38"/>
      <c r="QF149" s="38"/>
      <c r="QG149" s="38"/>
      <c r="QH149" s="38"/>
      <c r="QI149" s="38"/>
      <c r="QJ149" s="38"/>
      <c r="QK149" s="38"/>
      <c r="QL149" s="38"/>
      <c r="QM149" s="38"/>
      <c r="QN149" s="38"/>
      <c r="QO149" s="38"/>
      <c r="QP149" s="38"/>
      <c r="QQ149" s="38"/>
      <c r="QR149" s="38"/>
      <c r="QS149" s="38"/>
      <c r="QT149" s="38"/>
      <c r="QU149" s="38"/>
      <c r="QV149" s="38"/>
      <c r="QW149" s="38"/>
      <c r="QX149" s="38"/>
      <c r="QY149" s="38"/>
      <c r="QZ149" s="38"/>
      <c r="RA149" s="38"/>
      <c r="RB149" s="38"/>
      <c r="RC149" s="38"/>
      <c r="RD149" s="38"/>
      <c r="RE149" s="38"/>
      <c r="RF149" s="38"/>
      <c r="RG149" s="38"/>
      <c r="RH149" s="38"/>
      <c r="RI149" s="38"/>
      <c r="RJ149" s="38"/>
      <c r="RK149" s="38"/>
      <c r="RL149" s="38"/>
      <c r="RM149" s="38"/>
      <c r="RN149" s="38"/>
      <c r="RO149" s="38"/>
      <c r="RP149" s="38"/>
      <c r="RQ149" s="38"/>
      <c r="RR149" s="38"/>
      <c r="RS149" s="38"/>
      <c r="RT149" s="38"/>
      <c r="RU149" s="38"/>
      <c r="RV149" s="38"/>
      <c r="RW149" s="38"/>
      <c r="RX149" s="38"/>
      <c r="RY149" s="38"/>
      <c r="RZ149" s="38"/>
      <c r="SA149" s="38"/>
      <c r="SB149" s="38"/>
      <c r="SC149" s="38"/>
      <c r="SD149" s="38"/>
      <c r="SE149" s="38"/>
      <c r="SF149" s="38"/>
      <c r="SG149" s="38"/>
      <c r="SH149" s="38"/>
      <c r="SI149" s="38"/>
      <c r="SJ149" s="38"/>
      <c r="SK149" s="38"/>
      <c r="SL149" s="38"/>
      <c r="SM149" s="38"/>
      <c r="SN149" s="38"/>
      <c r="SO149" s="38"/>
      <c r="SP149" s="38"/>
      <c r="SQ149" s="38"/>
      <c r="SR149" s="38"/>
      <c r="SS149" s="38"/>
      <c r="ST149" s="38"/>
      <c r="SU149" s="38"/>
      <c r="SV149" s="38"/>
      <c r="SW149" s="38"/>
      <c r="SX149" s="38"/>
      <c r="SY149" s="38"/>
      <c r="SZ149" s="38"/>
      <c r="TA149" s="38"/>
      <c r="TB149" s="38"/>
      <c r="TC149" s="38"/>
      <c r="TD149" s="38"/>
      <c r="TE149" s="38"/>
      <c r="TF149" s="38"/>
      <c r="TG149" s="38"/>
      <c r="TH149" s="38"/>
      <c r="TI149" s="38"/>
      <c r="TJ149" s="38"/>
      <c r="TK149" s="38"/>
      <c r="TL149" s="38"/>
      <c r="TM149" s="38"/>
    </row>
    <row r="150" spans="1:533" s="39" customFormat="1" ht="18.75" x14ac:dyDescent="0.25">
      <c r="B150" s="50">
        <v>125000</v>
      </c>
      <c r="C150" s="41" t="s">
        <v>291</v>
      </c>
      <c r="D150" s="108" t="s">
        <v>292</v>
      </c>
      <c r="E150" s="107" t="s">
        <v>103</v>
      </c>
      <c r="F150" s="109">
        <v>6</v>
      </c>
      <c r="G150" s="58"/>
      <c r="H150" s="71"/>
      <c r="I150" s="104">
        <f t="shared" si="27"/>
        <v>0</v>
      </c>
      <c r="J150" s="98" t="s">
        <v>167</v>
      </c>
      <c r="K150" s="104" t="s">
        <v>168</v>
      </c>
      <c r="L150" s="105"/>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c r="BS150" s="38"/>
      <c r="BT150" s="38"/>
      <c r="BU150" s="38"/>
      <c r="BV150" s="38"/>
      <c r="BW150" s="38"/>
      <c r="BX150" s="38"/>
      <c r="BY150" s="38"/>
      <c r="BZ150" s="38"/>
      <c r="CA150" s="38"/>
      <c r="CB150" s="38"/>
      <c r="CC150" s="38"/>
      <c r="CD150" s="38"/>
      <c r="CE150" s="38"/>
      <c r="CF150" s="38"/>
      <c r="CG150" s="38"/>
      <c r="CH150" s="38"/>
      <c r="CI150" s="38"/>
      <c r="CJ150" s="38"/>
      <c r="CK150" s="38"/>
      <c r="CL150" s="38"/>
      <c r="CM150" s="38"/>
      <c r="CN150" s="38"/>
      <c r="CO150" s="38"/>
      <c r="CP150" s="38"/>
      <c r="CQ150" s="38"/>
      <c r="CR150" s="38"/>
      <c r="CS150" s="38"/>
      <c r="CT150" s="38"/>
      <c r="CU150" s="38"/>
      <c r="CV150" s="38"/>
      <c r="CW150" s="38"/>
      <c r="CX150" s="38"/>
      <c r="CY150" s="38"/>
      <c r="CZ150" s="38"/>
      <c r="DA150" s="38"/>
      <c r="DB150" s="38"/>
      <c r="DC150" s="38"/>
      <c r="DD150" s="38"/>
      <c r="DE150" s="38"/>
      <c r="DF150" s="38"/>
      <c r="DG150" s="38"/>
      <c r="DH150" s="38"/>
      <c r="DI150" s="38"/>
      <c r="DJ150" s="38"/>
      <c r="DK150" s="38"/>
      <c r="DL150" s="38"/>
      <c r="DM150" s="38"/>
      <c r="DN150" s="38"/>
      <c r="DO150" s="38"/>
      <c r="DP150" s="38"/>
      <c r="DQ150" s="38"/>
      <c r="DR150" s="38"/>
      <c r="DS150" s="38"/>
      <c r="DT150" s="38"/>
      <c r="DU150" s="38"/>
      <c r="DV150" s="38"/>
      <c r="DW150" s="38"/>
      <c r="DX150" s="38"/>
      <c r="DY150" s="38"/>
      <c r="DZ150" s="38"/>
      <c r="EA150" s="38"/>
      <c r="EB150" s="38"/>
      <c r="EC150" s="38"/>
      <c r="ED150" s="38"/>
      <c r="EE150" s="38"/>
      <c r="EF150" s="38"/>
      <c r="EG150" s="38"/>
      <c r="EH150" s="38"/>
      <c r="EI150" s="38"/>
      <c r="EJ150" s="38"/>
      <c r="EK150" s="38"/>
      <c r="EL150" s="38"/>
      <c r="EM150" s="38"/>
      <c r="EN150" s="38"/>
      <c r="EO150" s="38"/>
      <c r="EP150" s="38"/>
      <c r="EQ150" s="38"/>
      <c r="ER150" s="38"/>
      <c r="ES150" s="38"/>
      <c r="ET150" s="38"/>
      <c r="EU150" s="38"/>
      <c r="EV150" s="38"/>
      <c r="EW150" s="38"/>
      <c r="EX150" s="38"/>
      <c r="EY150" s="38"/>
      <c r="EZ150" s="38"/>
      <c r="FA150" s="38"/>
      <c r="FB150" s="38"/>
      <c r="FC150" s="38"/>
      <c r="FD150" s="38"/>
      <c r="FE150" s="38"/>
      <c r="FF150" s="38"/>
      <c r="FG150" s="38"/>
      <c r="FH150" s="38"/>
      <c r="FI150" s="38"/>
      <c r="FJ150" s="38"/>
      <c r="FK150" s="38"/>
      <c r="FL150" s="38"/>
      <c r="FM150" s="38"/>
      <c r="FN150" s="38"/>
      <c r="FO150" s="38"/>
      <c r="FP150" s="38"/>
      <c r="FQ150" s="38"/>
      <c r="FR150" s="38"/>
      <c r="FS150" s="38"/>
      <c r="FT150" s="38"/>
      <c r="FU150" s="38"/>
      <c r="FV150" s="38"/>
      <c r="FW150" s="38"/>
      <c r="FX150" s="38"/>
      <c r="FY150" s="38"/>
      <c r="FZ150" s="38"/>
      <c r="GA150" s="38"/>
      <c r="GB150" s="38"/>
      <c r="GC150" s="38"/>
      <c r="GD150" s="38"/>
      <c r="GE150" s="38"/>
      <c r="GF150" s="38"/>
      <c r="GG150" s="38"/>
      <c r="GH150" s="38"/>
      <c r="GI150" s="38"/>
      <c r="GJ150" s="38"/>
      <c r="GK150" s="38"/>
      <c r="GL150" s="38"/>
      <c r="GM150" s="38"/>
      <c r="GN150" s="38"/>
      <c r="GO150" s="38"/>
      <c r="GP150" s="38"/>
      <c r="GQ150" s="38"/>
      <c r="GR150" s="38"/>
      <c r="GS150" s="38"/>
      <c r="GT150" s="38"/>
      <c r="GU150" s="38"/>
      <c r="GV150" s="38"/>
      <c r="GW150" s="38"/>
      <c r="GX150" s="38"/>
      <c r="GY150" s="38"/>
      <c r="GZ150" s="38"/>
      <c r="HA150" s="38"/>
      <c r="HB150" s="38"/>
      <c r="HC150" s="38"/>
      <c r="HD150" s="38"/>
      <c r="HE150" s="38"/>
      <c r="HF150" s="38"/>
      <c r="HG150" s="38"/>
      <c r="HH150" s="38"/>
      <c r="HI150" s="38"/>
      <c r="HJ150" s="38"/>
      <c r="HK150" s="38"/>
      <c r="HL150" s="38"/>
      <c r="HM150" s="38"/>
      <c r="HN150" s="38"/>
      <c r="HO150" s="38"/>
      <c r="HP150" s="38"/>
      <c r="HQ150" s="38"/>
      <c r="HR150" s="38"/>
      <c r="HS150" s="38"/>
      <c r="HT150" s="38"/>
      <c r="HU150" s="38"/>
      <c r="HV150" s="38"/>
      <c r="HW150" s="38"/>
      <c r="HX150" s="38"/>
      <c r="HY150" s="38"/>
      <c r="HZ150" s="38"/>
      <c r="IA150" s="38"/>
      <c r="IB150" s="38"/>
      <c r="IC150" s="38"/>
      <c r="ID150" s="38"/>
      <c r="IE150" s="38"/>
      <c r="IF150" s="38"/>
      <c r="IG150" s="38"/>
      <c r="IH150" s="38"/>
      <c r="II150" s="38"/>
      <c r="IJ150" s="38"/>
      <c r="IK150" s="38"/>
      <c r="IL150" s="38"/>
      <c r="IM150" s="38"/>
      <c r="IN150" s="38"/>
      <c r="IO150" s="38"/>
      <c r="IP150" s="38"/>
      <c r="IQ150" s="38"/>
      <c r="IR150" s="38"/>
      <c r="IS150" s="38"/>
      <c r="IT150" s="38"/>
      <c r="IU150" s="38"/>
      <c r="IV150" s="38"/>
      <c r="IW150" s="38"/>
      <c r="IX150" s="38"/>
      <c r="IY150" s="38"/>
      <c r="IZ150" s="38"/>
      <c r="JA150" s="38"/>
      <c r="JB150" s="38"/>
      <c r="JC150" s="38"/>
      <c r="JD150" s="38"/>
      <c r="JE150" s="38"/>
      <c r="JF150" s="38"/>
      <c r="JG150" s="38"/>
      <c r="JH150" s="38"/>
      <c r="JI150" s="38"/>
      <c r="JJ150" s="38"/>
      <c r="JK150" s="38"/>
      <c r="JL150" s="38"/>
      <c r="JM150" s="38"/>
      <c r="JN150" s="38"/>
      <c r="JO150" s="38"/>
      <c r="JP150" s="38"/>
      <c r="JQ150" s="38"/>
      <c r="JR150" s="38"/>
      <c r="JS150" s="38"/>
      <c r="JT150" s="38"/>
      <c r="JU150" s="38"/>
      <c r="JV150" s="38"/>
      <c r="JW150" s="38"/>
      <c r="JX150" s="38"/>
      <c r="JY150" s="38"/>
      <c r="JZ150" s="38"/>
      <c r="KA150" s="38"/>
      <c r="KB150" s="38"/>
      <c r="KC150" s="38"/>
      <c r="KD150" s="38"/>
      <c r="KE150" s="38"/>
      <c r="KF150" s="38"/>
      <c r="KG150" s="38"/>
      <c r="KH150" s="38"/>
      <c r="KI150" s="38"/>
      <c r="KJ150" s="38"/>
      <c r="KK150" s="38"/>
      <c r="KL150" s="38"/>
      <c r="KM150" s="38"/>
      <c r="KN150" s="38"/>
      <c r="KO150" s="38"/>
      <c r="KP150" s="38"/>
      <c r="KQ150" s="38"/>
      <c r="KR150" s="38"/>
      <c r="KS150" s="38"/>
      <c r="KT150" s="38"/>
      <c r="KU150" s="38"/>
      <c r="KV150" s="38"/>
      <c r="KW150" s="38"/>
      <c r="KX150" s="38"/>
      <c r="KY150" s="38"/>
      <c r="KZ150" s="38"/>
      <c r="LA150" s="38"/>
      <c r="LB150" s="38"/>
      <c r="LC150" s="38"/>
      <c r="LD150" s="38"/>
      <c r="LE150" s="38"/>
      <c r="LF150" s="38"/>
      <c r="LG150" s="38"/>
      <c r="LH150" s="38"/>
      <c r="LI150" s="38"/>
      <c r="LJ150" s="38"/>
      <c r="LK150" s="38"/>
      <c r="LL150" s="38"/>
      <c r="LM150" s="38"/>
      <c r="LN150" s="38"/>
      <c r="LO150" s="38"/>
      <c r="LP150" s="38"/>
      <c r="LQ150" s="38"/>
      <c r="LR150" s="38"/>
      <c r="LS150" s="38"/>
      <c r="LT150" s="38"/>
      <c r="LU150" s="38"/>
      <c r="LV150" s="38"/>
      <c r="LW150" s="38"/>
      <c r="LX150" s="38"/>
      <c r="LY150" s="38"/>
      <c r="LZ150" s="38"/>
      <c r="MA150" s="38"/>
      <c r="MB150" s="38"/>
      <c r="MC150" s="38"/>
      <c r="MD150" s="38"/>
      <c r="ME150" s="38"/>
      <c r="MF150" s="38"/>
      <c r="MG150" s="38"/>
      <c r="MH150" s="38"/>
      <c r="MI150" s="38"/>
      <c r="MJ150" s="38"/>
      <c r="MK150" s="38"/>
      <c r="ML150" s="38"/>
      <c r="MM150" s="38"/>
      <c r="MN150" s="38"/>
      <c r="MO150" s="38"/>
      <c r="MP150" s="38"/>
      <c r="MQ150" s="38"/>
      <c r="MR150" s="38"/>
      <c r="MS150" s="38"/>
      <c r="MT150" s="38"/>
      <c r="MU150" s="38"/>
      <c r="MV150" s="38"/>
      <c r="MW150" s="38"/>
      <c r="MX150" s="38"/>
      <c r="MY150" s="38"/>
      <c r="MZ150" s="38"/>
      <c r="NA150" s="38"/>
      <c r="NB150" s="38"/>
      <c r="NC150" s="38"/>
      <c r="ND150" s="38"/>
      <c r="NE150" s="38"/>
      <c r="NF150" s="38"/>
      <c r="NG150" s="38"/>
      <c r="NH150" s="38"/>
      <c r="NI150" s="38"/>
      <c r="NJ150" s="38"/>
      <c r="NK150" s="38"/>
      <c r="NL150" s="38"/>
      <c r="NM150" s="38"/>
      <c r="NN150" s="38"/>
      <c r="NO150" s="38"/>
      <c r="NP150" s="38"/>
      <c r="NQ150" s="38"/>
      <c r="NR150" s="38"/>
      <c r="NS150" s="38"/>
      <c r="NT150" s="38"/>
      <c r="NU150" s="38"/>
      <c r="NV150" s="38"/>
      <c r="NW150" s="38"/>
      <c r="NX150" s="38"/>
      <c r="NY150" s="38"/>
      <c r="NZ150" s="38"/>
      <c r="OA150" s="38"/>
      <c r="OB150" s="38"/>
      <c r="OC150" s="38"/>
      <c r="OD150" s="38"/>
      <c r="OE150" s="38"/>
      <c r="OF150" s="38"/>
      <c r="OG150" s="38"/>
      <c r="OH150" s="38"/>
      <c r="OI150" s="38"/>
      <c r="OJ150" s="38"/>
      <c r="OK150" s="38"/>
      <c r="OL150" s="38"/>
      <c r="OM150" s="38"/>
      <c r="ON150" s="38"/>
      <c r="OO150" s="38"/>
      <c r="OP150" s="38"/>
      <c r="OQ150" s="38"/>
      <c r="OR150" s="38"/>
      <c r="OS150" s="38"/>
      <c r="OT150" s="38"/>
      <c r="OU150" s="38"/>
      <c r="OV150" s="38"/>
      <c r="OW150" s="38"/>
      <c r="OX150" s="38"/>
      <c r="OY150" s="38"/>
      <c r="OZ150" s="38"/>
      <c r="PA150" s="38"/>
      <c r="PB150" s="38"/>
      <c r="PC150" s="38"/>
      <c r="PD150" s="38"/>
      <c r="PE150" s="38"/>
      <c r="PF150" s="38"/>
      <c r="PG150" s="38"/>
      <c r="PH150" s="38"/>
      <c r="PI150" s="38"/>
      <c r="PJ150" s="38"/>
      <c r="PK150" s="38"/>
      <c r="PL150" s="38"/>
      <c r="PM150" s="38"/>
      <c r="PN150" s="38"/>
      <c r="PO150" s="38"/>
      <c r="PP150" s="38"/>
      <c r="PQ150" s="38"/>
      <c r="PR150" s="38"/>
      <c r="PS150" s="38"/>
      <c r="PT150" s="38"/>
      <c r="PU150" s="38"/>
      <c r="PV150" s="38"/>
      <c r="PW150" s="38"/>
      <c r="PX150" s="38"/>
      <c r="PY150" s="38"/>
      <c r="PZ150" s="38"/>
      <c r="QA150" s="38"/>
      <c r="QB150" s="38"/>
      <c r="QC150" s="38"/>
      <c r="QD150" s="38"/>
      <c r="QE150" s="38"/>
      <c r="QF150" s="38"/>
      <c r="QG150" s="38"/>
      <c r="QH150" s="38"/>
      <c r="QI150" s="38"/>
      <c r="QJ150" s="38"/>
      <c r="QK150" s="38"/>
      <c r="QL150" s="38"/>
      <c r="QM150" s="38"/>
      <c r="QN150" s="38"/>
      <c r="QO150" s="38"/>
      <c r="QP150" s="38"/>
      <c r="QQ150" s="38"/>
      <c r="QR150" s="38"/>
      <c r="QS150" s="38"/>
      <c r="QT150" s="38"/>
      <c r="QU150" s="38"/>
      <c r="QV150" s="38"/>
      <c r="QW150" s="38"/>
      <c r="QX150" s="38"/>
      <c r="QY150" s="38"/>
      <c r="QZ150" s="38"/>
      <c r="RA150" s="38"/>
      <c r="RB150" s="38"/>
      <c r="RC150" s="38"/>
      <c r="RD150" s="38"/>
      <c r="RE150" s="38"/>
      <c r="RF150" s="38"/>
      <c r="RG150" s="38"/>
      <c r="RH150" s="38"/>
      <c r="RI150" s="38"/>
      <c r="RJ150" s="38"/>
      <c r="RK150" s="38"/>
      <c r="RL150" s="38"/>
      <c r="RM150" s="38"/>
      <c r="RN150" s="38"/>
      <c r="RO150" s="38"/>
      <c r="RP150" s="38"/>
      <c r="RQ150" s="38"/>
      <c r="RR150" s="38"/>
      <c r="RS150" s="38"/>
      <c r="RT150" s="38"/>
      <c r="RU150" s="38"/>
      <c r="RV150" s="38"/>
      <c r="RW150" s="38"/>
      <c r="RX150" s="38"/>
      <c r="RY150" s="38"/>
      <c r="RZ150" s="38"/>
      <c r="SA150" s="38"/>
      <c r="SB150" s="38"/>
      <c r="SC150" s="38"/>
      <c r="SD150" s="38"/>
      <c r="SE150" s="38"/>
      <c r="SF150" s="38"/>
      <c r="SG150" s="38"/>
      <c r="SH150" s="38"/>
      <c r="SI150" s="38"/>
      <c r="SJ150" s="38"/>
      <c r="SK150" s="38"/>
      <c r="SL150" s="38"/>
      <c r="SM150" s="38"/>
      <c r="SN150" s="38"/>
      <c r="SO150" s="38"/>
      <c r="SP150" s="38"/>
      <c r="SQ150" s="38"/>
      <c r="SR150" s="38"/>
      <c r="SS150" s="38"/>
      <c r="ST150" s="38"/>
      <c r="SU150" s="38"/>
      <c r="SV150" s="38"/>
      <c r="SW150" s="38"/>
      <c r="SX150" s="38"/>
      <c r="SY150" s="38"/>
      <c r="SZ150" s="38"/>
      <c r="TA150" s="38"/>
      <c r="TB150" s="38"/>
      <c r="TC150" s="38"/>
      <c r="TD150" s="38"/>
      <c r="TE150" s="38"/>
      <c r="TF150" s="38"/>
      <c r="TG150" s="38"/>
      <c r="TH150" s="38"/>
      <c r="TI150" s="38"/>
      <c r="TJ150" s="38"/>
      <c r="TK150" s="38"/>
      <c r="TL150" s="38"/>
      <c r="TM150" s="38"/>
    </row>
    <row r="151" spans="1:533" s="39" customFormat="1" ht="18.75" x14ac:dyDescent="0.25">
      <c r="B151" s="50">
        <v>125000</v>
      </c>
      <c r="C151" s="41" t="s">
        <v>293</v>
      </c>
      <c r="D151" s="108" t="s">
        <v>294</v>
      </c>
      <c r="E151" s="107" t="s">
        <v>103</v>
      </c>
      <c r="F151" s="109">
        <v>5</v>
      </c>
      <c r="G151" s="58"/>
      <c r="H151" s="71"/>
      <c r="I151" s="104">
        <f t="shared" si="27"/>
        <v>0</v>
      </c>
      <c r="J151" s="98" t="s">
        <v>167</v>
      </c>
      <c r="K151" s="104" t="s">
        <v>168</v>
      </c>
      <c r="L151" s="105"/>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c r="CH151" s="38"/>
      <c r="CI151" s="38"/>
      <c r="CJ151" s="38"/>
      <c r="CK151" s="38"/>
      <c r="CL151" s="38"/>
      <c r="CM151" s="38"/>
      <c r="CN151" s="38"/>
      <c r="CO151" s="38"/>
      <c r="CP151" s="38"/>
      <c r="CQ151" s="38"/>
      <c r="CR151" s="38"/>
      <c r="CS151" s="38"/>
      <c r="CT151" s="38"/>
      <c r="CU151" s="38"/>
      <c r="CV151" s="38"/>
      <c r="CW151" s="38"/>
      <c r="CX151" s="38"/>
      <c r="CY151" s="38"/>
      <c r="CZ151" s="38"/>
      <c r="DA151" s="38"/>
      <c r="DB151" s="38"/>
      <c r="DC151" s="38"/>
      <c r="DD151" s="38"/>
      <c r="DE151" s="38"/>
      <c r="DF151" s="38"/>
      <c r="DG151" s="38"/>
      <c r="DH151" s="38"/>
      <c r="DI151" s="38"/>
      <c r="DJ151" s="38"/>
      <c r="DK151" s="38"/>
      <c r="DL151" s="38"/>
      <c r="DM151" s="38"/>
      <c r="DN151" s="38"/>
      <c r="DO151" s="38"/>
      <c r="DP151" s="38"/>
      <c r="DQ151" s="38"/>
      <c r="DR151" s="38"/>
      <c r="DS151" s="38"/>
      <c r="DT151" s="38"/>
      <c r="DU151" s="38"/>
      <c r="DV151" s="38"/>
      <c r="DW151" s="38"/>
      <c r="DX151" s="38"/>
      <c r="DY151" s="38"/>
      <c r="DZ151" s="38"/>
      <c r="EA151" s="38"/>
      <c r="EB151" s="38"/>
      <c r="EC151" s="38"/>
      <c r="ED151" s="38"/>
      <c r="EE151" s="38"/>
      <c r="EF151" s="38"/>
      <c r="EG151" s="38"/>
      <c r="EH151" s="38"/>
      <c r="EI151" s="38"/>
      <c r="EJ151" s="38"/>
      <c r="EK151" s="38"/>
      <c r="EL151" s="38"/>
      <c r="EM151" s="38"/>
      <c r="EN151" s="38"/>
      <c r="EO151" s="38"/>
      <c r="EP151" s="38"/>
      <c r="EQ151" s="38"/>
      <c r="ER151" s="38"/>
      <c r="ES151" s="38"/>
      <c r="ET151" s="38"/>
      <c r="EU151" s="38"/>
      <c r="EV151" s="38"/>
      <c r="EW151" s="38"/>
      <c r="EX151" s="38"/>
      <c r="EY151" s="38"/>
      <c r="EZ151" s="38"/>
      <c r="FA151" s="38"/>
      <c r="FB151" s="38"/>
      <c r="FC151" s="38"/>
      <c r="FD151" s="38"/>
      <c r="FE151" s="38"/>
      <c r="FF151" s="38"/>
      <c r="FG151" s="38"/>
      <c r="FH151" s="38"/>
      <c r="FI151" s="38"/>
      <c r="FJ151" s="38"/>
      <c r="FK151" s="38"/>
      <c r="FL151" s="38"/>
      <c r="FM151" s="38"/>
      <c r="FN151" s="38"/>
      <c r="FO151" s="38"/>
      <c r="FP151" s="38"/>
      <c r="FQ151" s="38"/>
      <c r="FR151" s="38"/>
      <c r="FS151" s="38"/>
      <c r="FT151" s="38"/>
      <c r="FU151" s="38"/>
      <c r="FV151" s="38"/>
      <c r="FW151" s="38"/>
      <c r="FX151" s="38"/>
      <c r="FY151" s="38"/>
      <c r="FZ151" s="38"/>
      <c r="GA151" s="38"/>
      <c r="GB151" s="38"/>
      <c r="GC151" s="38"/>
      <c r="GD151" s="38"/>
      <c r="GE151" s="38"/>
      <c r="GF151" s="38"/>
      <c r="GG151" s="38"/>
      <c r="GH151" s="38"/>
      <c r="GI151" s="38"/>
      <c r="GJ151" s="38"/>
      <c r="GK151" s="38"/>
      <c r="GL151" s="38"/>
      <c r="GM151" s="38"/>
      <c r="GN151" s="38"/>
      <c r="GO151" s="38"/>
      <c r="GP151" s="38"/>
      <c r="GQ151" s="38"/>
      <c r="GR151" s="38"/>
      <c r="GS151" s="38"/>
      <c r="GT151" s="38"/>
      <c r="GU151" s="38"/>
      <c r="GV151" s="38"/>
      <c r="GW151" s="38"/>
      <c r="GX151" s="38"/>
      <c r="GY151" s="38"/>
      <c r="GZ151" s="38"/>
      <c r="HA151" s="38"/>
      <c r="HB151" s="38"/>
      <c r="HC151" s="38"/>
      <c r="HD151" s="38"/>
      <c r="HE151" s="38"/>
      <c r="HF151" s="38"/>
      <c r="HG151" s="38"/>
      <c r="HH151" s="38"/>
      <c r="HI151" s="38"/>
      <c r="HJ151" s="38"/>
      <c r="HK151" s="38"/>
      <c r="HL151" s="38"/>
      <c r="HM151" s="38"/>
      <c r="HN151" s="38"/>
      <c r="HO151" s="38"/>
      <c r="HP151" s="38"/>
      <c r="HQ151" s="38"/>
      <c r="HR151" s="38"/>
      <c r="HS151" s="38"/>
      <c r="HT151" s="38"/>
      <c r="HU151" s="38"/>
      <c r="HV151" s="38"/>
      <c r="HW151" s="38"/>
      <c r="HX151" s="38"/>
      <c r="HY151" s="38"/>
      <c r="HZ151" s="38"/>
      <c r="IA151" s="38"/>
      <c r="IB151" s="38"/>
      <c r="IC151" s="38"/>
      <c r="ID151" s="38"/>
      <c r="IE151" s="38"/>
      <c r="IF151" s="38"/>
      <c r="IG151" s="38"/>
      <c r="IH151" s="38"/>
      <c r="II151" s="38"/>
      <c r="IJ151" s="38"/>
      <c r="IK151" s="38"/>
      <c r="IL151" s="38"/>
      <c r="IM151" s="38"/>
      <c r="IN151" s="38"/>
      <c r="IO151" s="38"/>
      <c r="IP151" s="38"/>
      <c r="IQ151" s="38"/>
      <c r="IR151" s="38"/>
      <c r="IS151" s="38"/>
      <c r="IT151" s="38"/>
      <c r="IU151" s="38"/>
      <c r="IV151" s="38"/>
      <c r="IW151" s="38"/>
      <c r="IX151" s="38"/>
      <c r="IY151" s="38"/>
      <c r="IZ151" s="38"/>
      <c r="JA151" s="38"/>
      <c r="JB151" s="38"/>
      <c r="JC151" s="38"/>
      <c r="JD151" s="38"/>
      <c r="JE151" s="38"/>
      <c r="JF151" s="38"/>
      <c r="JG151" s="38"/>
      <c r="JH151" s="38"/>
      <c r="JI151" s="38"/>
      <c r="JJ151" s="38"/>
      <c r="JK151" s="38"/>
      <c r="JL151" s="38"/>
      <c r="JM151" s="38"/>
      <c r="JN151" s="38"/>
      <c r="JO151" s="38"/>
      <c r="JP151" s="38"/>
      <c r="JQ151" s="38"/>
      <c r="JR151" s="38"/>
      <c r="JS151" s="38"/>
      <c r="JT151" s="38"/>
      <c r="JU151" s="38"/>
      <c r="JV151" s="38"/>
      <c r="JW151" s="38"/>
      <c r="JX151" s="38"/>
      <c r="JY151" s="38"/>
      <c r="JZ151" s="38"/>
      <c r="KA151" s="38"/>
      <c r="KB151" s="38"/>
      <c r="KC151" s="38"/>
      <c r="KD151" s="38"/>
      <c r="KE151" s="38"/>
      <c r="KF151" s="38"/>
      <c r="KG151" s="38"/>
      <c r="KH151" s="38"/>
      <c r="KI151" s="38"/>
      <c r="KJ151" s="38"/>
      <c r="KK151" s="38"/>
      <c r="KL151" s="38"/>
      <c r="KM151" s="38"/>
      <c r="KN151" s="38"/>
      <c r="KO151" s="38"/>
      <c r="KP151" s="38"/>
      <c r="KQ151" s="38"/>
      <c r="KR151" s="38"/>
      <c r="KS151" s="38"/>
      <c r="KT151" s="38"/>
      <c r="KU151" s="38"/>
      <c r="KV151" s="38"/>
      <c r="KW151" s="38"/>
      <c r="KX151" s="38"/>
      <c r="KY151" s="38"/>
      <c r="KZ151" s="38"/>
      <c r="LA151" s="38"/>
      <c r="LB151" s="38"/>
      <c r="LC151" s="38"/>
      <c r="LD151" s="38"/>
      <c r="LE151" s="38"/>
      <c r="LF151" s="38"/>
      <c r="LG151" s="38"/>
      <c r="LH151" s="38"/>
      <c r="LI151" s="38"/>
      <c r="LJ151" s="38"/>
      <c r="LK151" s="38"/>
      <c r="LL151" s="38"/>
      <c r="LM151" s="38"/>
      <c r="LN151" s="38"/>
      <c r="LO151" s="38"/>
      <c r="LP151" s="38"/>
      <c r="LQ151" s="38"/>
      <c r="LR151" s="38"/>
      <c r="LS151" s="38"/>
      <c r="LT151" s="38"/>
      <c r="LU151" s="38"/>
      <c r="LV151" s="38"/>
      <c r="LW151" s="38"/>
      <c r="LX151" s="38"/>
      <c r="LY151" s="38"/>
      <c r="LZ151" s="38"/>
      <c r="MA151" s="38"/>
      <c r="MB151" s="38"/>
      <c r="MC151" s="38"/>
      <c r="MD151" s="38"/>
      <c r="ME151" s="38"/>
      <c r="MF151" s="38"/>
      <c r="MG151" s="38"/>
      <c r="MH151" s="38"/>
      <c r="MI151" s="38"/>
      <c r="MJ151" s="38"/>
      <c r="MK151" s="38"/>
      <c r="ML151" s="38"/>
      <c r="MM151" s="38"/>
      <c r="MN151" s="38"/>
      <c r="MO151" s="38"/>
      <c r="MP151" s="38"/>
      <c r="MQ151" s="38"/>
      <c r="MR151" s="38"/>
      <c r="MS151" s="38"/>
      <c r="MT151" s="38"/>
      <c r="MU151" s="38"/>
      <c r="MV151" s="38"/>
      <c r="MW151" s="38"/>
      <c r="MX151" s="38"/>
      <c r="MY151" s="38"/>
      <c r="MZ151" s="38"/>
      <c r="NA151" s="38"/>
      <c r="NB151" s="38"/>
      <c r="NC151" s="38"/>
      <c r="ND151" s="38"/>
      <c r="NE151" s="38"/>
      <c r="NF151" s="38"/>
      <c r="NG151" s="38"/>
      <c r="NH151" s="38"/>
      <c r="NI151" s="38"/>
      <c r="NJ151" s="38"/>
      <c r="NK151" s="38"/>
      <c r="NL151" s="38"/>
      <c r="NM151" s="38"/>
      <c r="NN151" s="38"/>
      <c r="NO151" s="38"/>
      <c r="NP151" s="38"/>
      <c r="NQ151" s="38"/>
      <c r="NR151" s="38"/>
      <c r="NS151" s="38"/>
      <c r="NT151" s="38"/>
      <c r="NU151" s="38"/>
      <c r="NV151" s="38"/>
      <c r="NW151" s="38"/>
      <c r="NX151" s="38"/>
      <c r="NY151" s="38"/>
      <c r="NZ151" s="38"/>
      <c r="OA151" s="38"/>
      <c r="OB151" s="38"/>
      <c r="OC151" s="38"/>
      <c r="OD151" s="38"/>
      <c r="OE151" s="38"/>
      <c r="OF151" s="38"/>
      <c r="OG151" s="38"/>
      <c r="OH151" s="38"/>
      <c r="OI151" s="38"/>
      <c r="OJ151" s="38"/>
      <c r="OK151" s="38"/>
      <c r="OL151" s="38"/>
      <c r="OM151" s="38"/>
      <c r="ON151" s="38"/>
      <c r="OO151" s="38"/>
      <c r="OP151" s="38"/>
      <c r="OQ151" s="38"/>
      <c r="OR151" s="38"/>
      <c r="OS151" s="38"/>
      <c r="OT151" s="38"/>
      <c r="OU151" s="38"/>
      <c r="OV151" s="38"/>
      <c r="OW151" s="38"/>
      <c r="OX151" s="38"/>
      <c r="OY151" s="38"/>
      <c r="OZ151" s="38"/>
      <c r="PA151" s="38"/>
      <c r="PB151" s="38"/>
      <c r="PC151" s="38"/>
      <c r="PD151" s="38"/>
      <c r="PE151" s="38"/>
      <c r="PF151" s="38"/>
      <c r="PG151" s="38"/>
      <c r="PH151" s="38"/>
      <c r="PI151" s="38"/>
      <c r="PJ151" s="38"/>
      <c r="PK151" s="38"/>
      <c r="PL151" s="38"/>
      <c r="PM151" s="38"/>
      <c r="PN151" s="38"/>
      <c r="PO151" s="38"/>
      <c r="PP151" s="38"/>
      <c r="PQ151" s="38"/>
      <c r="PR151" s="38"/>
      <c r="PS151" s="38"/>
      <c r="PT151" s="38"/>
      <c r="PU151" s="38"/>
      <c r="PV151" s="38"/>
      <c r="PW151" s="38"/>
      <c r="PX151" s="38"/>
      <c r="PY151" s="38"/>
      <c r="PZ151" s="38"/>
      <c r="QA151" s="38"/>
      <c r="QB151" s="38"/>
      <c r="QC151" s="38"/>
      <c r="QD151" s="38"/>
      <c r="QE151" s="38"/>
      <c r="QF151" s="38"/>
      <c r="QG151" s="38"/>
      <c r="QH151" s="38"/>
      <c r="QI151" s="38"/>
      <c r="QJ151" s="38"/>
      <c r="QK151" s="38"/>
      <c r="QL151" s="38"/>
      <c r="QM151" s="38"/>
      <c r="QN151" s="38"/>
      <c r="QO151" s="38"/>
      <c r="QP151" s="38"/>
      <c r="QQ151" s="38"/>
      <c r="QR151" s="38"/>
      <c r="QS151" s="38"/>
      <c r="QT151" s="38"/>
      <c r="QU151" s="38"/>
      <c r="QV151" s="38"/>
      <c r="QW151" s="38"/>
      <c r="QX151" s="38"/>
      <c r="QY151" s="38"/>
      <c r="QZ151" s="38"/>
      <c r="RA151" s="38"/>
      <c r="RB151" s="38"/>
      <c r="RC151" s="38"/>
      <c r="RD151" s="38"/>
      <c r="RE151" s="38"/>
      <c r="RF151" s="38"/>
      <c r="RG151" s="38"/>
      <c r="RH151" s="38"/>
      <c r="RI151" s="38"/>
      <c r="RJ151" s="38"/>
      <c r="RK151" s="38"/>
      <c r="RL151" s="38"/>
      <c r="RM151" s="38"/>
      <c r="RN151" s="38"/>
      <c r="RO151" s="38"/>
      <c r="RP151" s="38"/>
      <c r="RQ151" s="38"/>
      <c r="RR151" s="38"/>
      <c r="RS151" s="38"/>
      <c r="RT151" s="38"/>
      <c r="RU151" s="38"/>
      <c r="RV151" s="38"/>
      <c r="RW151" s="38"/>
      <c r="RX151" s="38"/>
      <c r="RY151" s="38"/>
      <c r="RZ151" s="38"/>
      <c r="SA151" s="38"/>
      <c r="SB151" s="38"/>
      <c r="SC151" s="38"/>
      <c r="SD151" s="38"/>
      <c r="SE151" s="38"/>
      <c r="SF151" s="38"/>
      <c r="SG151" s="38"/>
      <c r="SH151" s="38"/>
      <c r="SI151" s="38"/>
      <c r="SJ151" s="38"/>
      <c r="SK151" s="38"/>
      <c r="SL151" s="38"/>
      <c r="SM151" s="38"/>
      <c r="SN151" s="38"/>
      <c r="SO151" s="38"/>
      <c r="SP151" s="38"/>
      <c r="SQ151" s="38"/>
      <c r="SR151" s="38"/>
      <c r="SS151" s="38"/>
      <c r="ST151" s="38"/>
      <c r="SU151" s="38"/>
      <c r="SV151" s="38"/>
      <c r="SW151" s="38"/>
      <c r="SX151" s="38"/>
      <c r="SY151" s="38"/>
      <c r="SZ151" s="38"/>
      <c r="TA151" s="38"/>
      <c r="TB151" s="38"/>
      <c r="TC151" s="38"/>
      <c r="TD151" s="38"/>
      <c r="TE151" s="38"/>
      <c r="TF151" s="38"/>
      <c r="TG151" s="38"/>
      <c r="TH151" s="38"/>
      <c r="TI151" s="38"/>
      <c r="TJ151" s="38"/>
      <c r="TK151" s="38"/>
      <c r="TL151" s="38"/>
      <c r="TM151" s="38"/>
    </row>
    <row r="152" spans="1:533" s="39" customFormat="1" ht="18.75" x14ac:dyDescent="0.25">
      <c r="B152" s="50">
        <v>125000</v>
      </c>
      <c r="C152" s="41" t="s">
        <v>295</v>
      </c>
      <c r="D152" s="108" t="s">
        <v>296</v>
      </c>
      <c r="E152" s="107" t="s">
        <v>103</v>
      </c>
      <c r="F152" s="109">
        <v>4</v>
      </c>
      <c r="G152" s="58"/>
      <c r="H152" s="71"/>
      <c r="I152" s="104">
        <f t="shared" si="27"/>
        <v>0</v>
      </c>
      <c r="J152" s="98" t="s">
        <v>167</v>
      </c>
      <c r="K152" s="104" t="s">
        <v>168</v>
      </c>
      <c r="L152" s="105"/>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8"/>
      <c r="CM152" s="38"/>
      <c r="CN152" s="38"/>
      <c r="CO152" s="38"/>
      <c r="CP152" s="38"/>
      <c r="CQ152" s="38"/>
      <c r="CR152" s="38"/>
      <c r="CS152" s="38"/>
      <c r="CT152" s="38"/>
      <c r="CU152" s="38"/>
      <c r="CV152" s="38"/>
      <c r="CW152" s="38"/>
      <c r="CX152" s="38"/>
      <c r="CY152" s="38"/>
      <c r="CZ152" s="38"/>
      <c r="DA152" s="38"/>
      <c r="DB152" s="38"/>
      <c r="DC152" s="38"/>
      <c r="DD152" s="38"/>
      <c r="DE152" s="38"/>
      <c r="DF152" s="38"/>
      <c r="DG152" s="38"/>
      <c r="DH152" s="38"/>
      <c r="DI152" s="38"/>
      <c r="DJ152" s="38"/>
      <c r="DK152" s="38"/>
      <c r="DL152" s="38"/>
      <c r="DM152" s="38"/>
      <c r="DN152" s="38"/>
      <c r="DO152" s="38"/>
      <c r="DP152" s="38"/>
      <c r="DQ152" s="38"/>
      <c r="DR152" s="38"/>
      <c r="DS152" s="38"/>
      <c r="DT152" s="38"/>
      <c r="DU152" s="38"/>
      <c r="DV152" s="38"/>
      <c r="DW152" s="38"/>
      <c r="DX152" s="38"/>
      <c r="DY152" s="38"/>
      <c r="DZ152" s="38"/>
      <c r="EA152" s="38"/>
      <c r="EB152" s="38"/>
      <c r="EC152" s="38"/>
      <c r="ED152" s="38"/>
      <c r="EE152" s="38"/>
      <c r="EF152" s="38"/>
      <c r="EG152" s="38"/>
      <c r="EH152" s="38"/>
      <c r="EI152" s="38"/>
      <c r="EJ152" s="38"/>
      <c r="EK152" s="38"/>
      <c r="EL152" s="38"/>
      <c r="EM152" s="38"/>
      <c r="EN152" s="38"/>
      <c r="EO152" s="38"/>
      <c r="EP152" s="38"/>
      <c r="EQ152" s="38"/>
      <c r="ER152" s="38"/>
      <c r="ES152" s="38"/>
      <c r="ET152" s="38"/>
      <c r="EU152" s="38"/>
      <c r="EV152" s="38"/>
      <c r="EW152" s="38"/>
      <c r="EX152" s="38"/>
      <c r="EY152" s="38"/>
      <c r="EZ152" s="38"/>
      <c r="FA152" s="38"/>
      <c r="FB152" s="38"/>
      <c r="FC152" s="38"/>
      <c r="FD152" s="38"/>
      <c r="FE152" s="38"/>
      <c r="FF152" s="38"/>
      <c r="FG152" s="38"/>
      <c r="FH152" s="38"/>
      <c r="FI152" s="38"/>
      <c r="FJ152" s="38"/>
      <c r="FK152" s="38"/>
      <c r="FL152" s="38"/>
      <c r="FM152" s="38"/>
      <c r="FN152" s="38"/>
      <c r="FO152" s="38"/>
      <c r="FP152" s="38"/>
      <c r="FQ152" s="38"/>
      <c r="FR152" s="38"/>
      <c r="FS152" s="38"/>
      <c r="FT152" s="38"/>
      <c r="FU152" s="38"/>
      <c r="FV152" s="38"/>
      <c r="FW152" s="38"/>
      <c r="FX152" s="38"/>
      <c r="FY152" s="38"/>
      <c r="FZ152" s="38"/>
      <c r="GA152" s="38"/>
      <c r="GB152" s="38"/>
      <c r="GC152" s="38"/>
      <c r="GD152" s="38"/>
      <c r="GE152" s="38"/>
      <c r="GF152" s="38"/>
      <c r="GG152" s="38"/>
      <c r="GH152" s="38"/>
      <c r="GI152" s="38"/>
      <c r="GJ152" s="38"/>
      <c r="GK152" s="38"/>
      <c r="GL152" s="38"/>
      <c r="GM152" s="38"/>
      <c r="GN152" s="38"/>
      <c r="GO152" s="38"/>
      <c r="GP152" s="38"/>
      <c r="GQ152" s="38"/>
      <c r="GR152" s="38"/>
      <c r="GS152" s="38"/>
      <c r="GT152" s="38"/>
      <c r="GU152" s="38"/>
      <c r="GV152" s="38"/>
      <c r="GW152" s="38"/>
      <c r="GX152" s="38"/>
      <c r="GY152" s="38"/>
      <c r="GZ152" s="38"/>
      <c r="HA152" s="38"/>
      <c r="HB152" s="38"/>
      <c r="HC152" s="38"/>
      <c r="HD152" s="38"/>
      <c r="HE152" s="38"/>
      <c r="HF152" s="38"/>
      <c r="HG152" s="38"/>
      <c r="HH152" s="38"/>
      <c r="HI152" s="38"/>
      <c r="HJ152" s="38"/>
      <c r="HK152" s="38"/>
      <c r="HL152" s="38"/>
      <c r="HM152" s="38"/>
      <c r="HN152" s="38"/>
      <c r="HO152" s="38"/>
      <c r="HP152" s="38"/>
      <c r="HQ152" s="38"/>
      <c r="HR152" s="38"/>
      <c r="HS152" s="38"/>
      <c r="HT152" s="38"/>
      <c r="HU152" s="38"/>
      <c r="HV152" s="38"/>
      <c r="HW152" s="38"/>
      <c r="HX152" s="38"/>
      <c r="HY152" s="38"/>
      <c r="HZ152" s="38"/>
      <c r="IA152" s="38"/>
      <c r="IB152" s="38"/>
      <c r="IC152" s="38"/>
      <c r="ID152" s="38"/>
      <c r="IE152" s="38"/>
      <c r="IF152" s="38"/>
      <c r="IG152" s="38"/>
      <c r="IH152" s="38"/>
      <c r="II152" s="38"/>
      <c r="IJ152" s="38"/>
      <c r="IK152" s="38"/>
      <c r="IL152" s="38"/>
      <c r="IM152" s="38"/>
      <c r="IN152" s="38"/>
      <c r="IO152" s="38"/>
      <c r="IP152" s="38"/>
      <c r="IQ152" s="38"/>
      <c r="IR152" s="38"/>
      <c r="IS152" s="38"/>
      <c r="IT152" s="38"/>
      <c r="IU152" s="38"/>
      <c r="IV152" s="38"/>
      <c r="IW152" s="38"/>
      <c r="IX152" s="38"/>
      <c r="IY152" s="38"/>
      <c r="IZ152" s="38"/>
      <c r="JA152" s="38"/>
      <c r="JB152" s="38"/>
      <c r="JC152" s="38"/>
      <c r="JD152" s="38"/>
      <c r="JE152" s="38"/>
      <c r="JF152" s="38"/>
      <c r="JG152" s="38"/>
      <c r="JH152" s="38"/>
      <c r="JI152" s="38"/>
      <c r="JJ152" s="38"/>
      <c r="JK152" s="38"/>
      <c r="JL152" s="38"/>
      <c r="JM152" s="38"/>
      <c r="JN152" s="38"/>
      <c r="JO152" s="38"/>
      <c r="JP152" s="38"/>
      <c r="JQ152" s="38"/>
      <c r="JR152" s="38"/>
      <c r="JS152" s="38"/>
      <c r="JT152" s="38"/>
      <c r="JU152" s="38"/>
      <c r="JV152" s="38"/>
      <c r="JW152" s="38"/>
      <c r="JX152" s="38"/>
      <c r="JY152" s="38"/>
      <c r="JZ152" s="38"/>
      <c r="KA152" s="38"/>
      <c r="KB152" s="38"/>
      <c r="KC152" s="38"/>
      <c r="KD152" s="38"/>
      <c r="KE152" s="38"/>
      <c r="KF152" s="38"/>
      <c r="KG152" s="38"/>
      <c r="KH152" s="38"/>
      <c r="KI152" s="38"/>
      <c r="KJ152" s="38"/>
      <c r="KK152" s="38"/>
      <c r="KL152" s="38"/>
      <c r="KM152" s="38"/>
      <c r="KN152" s="38"/>
      <c r="KO152" s="38"/>
      <c r="KP152" s="38"/>
      <c r="KQ152" s="38"/>
      <c r="KR152" s="38"/>
      <c r="KS152" s="38"/>
      <c r="KT152" s="38"/>
      <c r="KU152" s="38"/>
      <c r="KV152" s="38"/>
      <c r="KW152" s="38"/>
      <c r="KX152" s="38"/>
      <c r="KY152" s="38"/>
      <c r="KZ152" s="38"/>
      <c r="LA152" s="38"/>
      <c r="LB152" s="38"/>
      <c r="LC152" s="38"/>
      <c r="LD152" s="38"/>
      <c r="LE152" s="38"/>
      <c r="LF152" s="38"/>
      <c r="LG152" s="38"/>
      <c r="LH152" s="38"/>
      <c r="LI152" s="38"/>
      <c r="LJ152" s="38"/>
      <c r="LK152" s="38"/>
      <c r="LL152" s="38"/>
      <c r="LM152" s="38"/>
      <c r="LN152" s="38"/>
      <c r="LO152" s="38"/>
      <c r="LP152" s="38"/>
      <c r="LQ152" s="38"/>
      <c r="LR152" s="38"/>
      <c r="LS152" s="38"/>
      <c r="LT152" s="38"/>
      <c r="LU152" s="38"/>
      <c r="LV152" s="38"/>
      <c r="LW152" s="38"/>
      <c r="LX152" s="38"/>
      <c r="LY152" s="38"/>
      <c r="LZ152" s="38"/>
      <c r="MA152" s="38"/>
      <c r="MB152" s="38"/>
      <c r="MC152" s="38"/>
      <c r="MD152" s="38"/>
      <c r="ME152" s="38"/>
      <c r="MF152" s="38"/>
      <c r="MG152" s="38"/>
      <c r="MH152" s="38"/>
      <c r="MI152" s="38"/>
      <c r="MJ152" s="38"/>
      <c r="MK152" s="38"/>
      <c r="ML152" s="38"/>
      <c r="MM152" s="38"/>
      <c r="MN152" s="38"/>
      <c r="MO152" s="38"/>
      <c r="MP152" s="38"/>
      <c r="MQ152" s="38"/>
      <c r="MR152" s="38"/>
      <c r="MS152" s="38"/>
      <c r="MT152" s="38"/>
      <c r="MU152" s="38"/>
      <c r="MV152" s="38"/>
      <c r="MW152" s="38"/>
      <c r="MX152" s="38"/>
      <c r="MY152" s="38"/>
      <c r="MZ152" s="38"/>
      <c r="NA152" s="38"/>
      <c r="NB152" s="38"/>
      <c r="NC152" s="38"/>
      <c r="ND152" s="38"/>
      <c r="NE152" s="38"/>
      <c r="NF152" s="38"/>
      <c r="NG152" s="38"/>
      <c r="NH152" s="38"/>
      <c r="NI152" s="38"/>
      <c r="NJ152" s="38"/>
      <c r="NK152" s="38"/>
      <c r="NL152" s="38"/>
      <c r="NM152" s="38"/>
      <c r="NN152" s="38"/>
      <c r="NO152" s="38"/>
      <c r="NP152" s="38"/>
      <c r="NQ152" s="38"/>
      <c r="NR152" s="38"/>
      <c r="NS152" s="38"/>
      <c r="NT152" s="38"/>
      <c r="NU152" s="38"/>
      <c r="NV152" s="38"/>
      <c r="NW152" s="38"/>
      <c r="NX152" s="38"/>
      <c r="NY152" s="38"/>
      <c r="NZ152" s="38"/>
      <c r="OA152" s="38"/>
      <c r="OB152" s="38"/>
      <c r="OC152" s="38"/>
      <c r="OD152" s="38"/>
      <c r="OE152" s="38"/>
      <c r="OF152" s="38"/>
      <c r="OG152" s="38"/>
      <c r="OH152" s="38"/>
      <c r="OI152" s="38"/>
      <c r="OJ152" s="38"/>
      <c r="OK152" s="38"/>
      <c r="OL152" s="38"/>
      <c r="OM152" s="38"/>
      <c r="ON152" s="38"/>
      <c r="OO152" s="38"/>
      <c r="OP152" s="38"/>
      <c r="OQ152" s="38"/>
      <c r="OR152" s="38"/>
      <c r="OS152" s="38"/>
      <c r="OT152" s="38"/>
      <c r="OU152" s="38"/>
      <c r="OV152" s="38"/>
      <c r="OW152" s="38"/>
      <c r="OX152" s="38"/>
      <c r="OY152" s="38"/>
      <c r="OZ152" s="38"/>
      <c r="PA152" s="38"/>
      <c r="PB152" s="38"/>
      <c r="PC152" s="38"/>
      <c r="PD152" s="38"/>
      <c r="PE152" s="38"/>
      <c r="PF152" s="38"/>
      <c r="PG152" s="38"/>
      <c r="PH152" s="38"/>
      <c r="PI152" s="38"/>
      <c r="PJ152" s="38"/>
      <c r="PK152" s="38"/>
      <c r="PL152" s="38"/>
      <c r="PM152" s="38"/>
      <c r="PN152" s="38"/>
      <c r="PO152" s="38"/>
      <c r="PP152" s="38"/>
      <c r="PQ152" s="38"/>
      <c r="PR152" s="38"/>
      <c r="PS152" s="38"/>
      <c r="PT152" s="38"/>
      <c r="PU152" s="38"/>
      <c r="PV152" s="38"/>
      <c r="PW152" s="38"/>
      <c r="PX152" s="38"/>
      <c r="PY152" s="38"/>
      <c r="PZ152" s="38"/>
      <c r="QA152" s="38"/>
      <c r="QB152" s="38"/>
      <c r="QC152" s="38"/>
      <c r="QD152" s="38"/>
      <c r="QE152" s="38"/>
      <c r="QF152" s="38"/>
      <c r="QG152" s="38"/>
      <c r="QH152" s="38"/>
      <c r="QI152" s="38"/>
      <c r="QJ152" s="38"/>
      <c r="QK152" s="38"/>
      <c r="QL152" s="38"/>
      <c r="QM152" s="38"/>
      <c r="QN152" s="38"/>
      <c r="QO152" s="38"/>
      <c r="QP152" s="38"/>
      <c r="QQ152" s="38"/>
      <c r="QR152" s="38"/>
      <c r="QS152" s="38"/>
      <c r="QT152" s="38"/>
      <c r="QU152" s="38"/>
      <c r="QV152" s="38"/>
      <c r="QW152" s="38"/>
      <c r="QX152" s="38"/>
      <c r="QY152" s="38"/>
      <c r="QZ152" s="38"/>
      <c r="RA152" s="38"/>
      <c r="RB152" s="38"/>
      <c r="RC152" s="38"/>
      <c r="RD152" s="38"/>
      <c r="RE152" s="38"/>
      <c r="RF152" s="38"/>
      <c r="RG152" s="38"/>
      <c r="RH152" s="38"/>
      <c r="RI152" s="38"/>
      <c r="RJ152" s="38"/>
      <c r="RK152" s="38"/>
      <c r="RL152" s="38"/>
      <c r="RM152" s="38"/>
      <c r="RN152" s="38"/>
      <c r="RO152" s="38"/>
      <c r="RP152" s="38"/>
      <c r="RQ152" s="38"/>
      <c r="RR152" s="38"/>
      <c r="RS152" s="38"/>
      <c r="RT152" s="38"/>
      <c r="RU152" s="38"/>
      <c r="RV152" s="38"/>
      <c r="RW152" s="38"/>
      <c r="RX152" s="38"/>
      <c r="RY152" s="38"/>
      <c r="RZ152" s="38"/>
      <c r="SA152" s="38"/>
      <c r="SB152" s="38"/>
      <c r="SC152" s="38"/>
      <c r="SD152" s="38"/>
      <c r="SE152" s="38"/>
      <c r="SF152" s="38"/>
      <c r="SG152" s="38"/>
      <c r="SH152" s="38"/>
      <c r="SI152" s="38"/>
      <c r="SJ152" s="38"/>
      <c r="SK152" s="38"/>
      <c r="SL152" s="38"/>
      <c r="SM152" s="38"/>
      <c r="SN152" s="38"/>
      <c r="SO152" s="38"/>
      <c r="SP152" s="38"/>
      <c r="SQ152" s="38"/>
      <c r="SR152" s="38"/>
      <c r="SS152" s="38"/>
      <c r="ST152" s="38"/>
      <c r="SU152" s="38"/>
      <c r="SV152" s="38"/>
      <c r="SW152" s="38"/>
      <c r="SX152" s="38"/>
      <c r="SY152" s="38"/>
      <c r="SZ152" s="38"/>
      <c r="TA152" s="38"/>
      <c r="TB152" s="38"/>
      <c r="TC152" s="38"/>
      <c r="TD152" s="38"/>
      <c r="TE152" s="38"/>
      <c r="TF152" s="38"/>
      <c r="TG152" s="38"/>
      <c r="TH152" s="38"/>
      <c r="TI152" s="38"/>
      <c r="TJ152" s="38"/>
      <c r="TK152" s="38"/>
      <c r="TL152" s="38"/>
      <c r="TM152" s="38"/>
    </row>
    <row r="153" spans="1:533" s="39" customFormat="1" ht="18.75" x14ac:dyDescent="0.25">
      <c r="B153" s="50">
        <v>125000</v>
      </c>
      <c r="C153" s="41" t="s">
        <v>297</v>
      </c>
      <c r="D153" s="108" t="s">
        <v>298</v>
      </c>
      <c r="E153" s="107" t="s">
        <v>103</v>
      </c>
      <c r="F153" s="109">
        <v>12</v>
      </c>
      <c r="G153" s="58"/>
      <c r="H153" s="71"/>
      <c r="I153" s="104">
        <f t="shared" si="27"/>
        <v>0</v>
      </c>
      <c r="J153" s="98" t="s">
        <v>167</v>
      </c>
      <c r="K153" s="104" t="s">
        <v>168</v>
      </c>
      <c r="L153" s="105"/>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8"/>
      <c r="CM153" s="38"/>
      <c r="CN153" s="38"/>
      <c r="CO153" s="38"/>
      <c r="CP153" s="38"/>
      <c r="CQ153" s="38"/>
      <c r="CR153" s="38"/>
      <c r="CS153" s="38"/>
      <c r="CT153" s="38"/>
      <c r="CU153" s="38"/>
      <c r="CV153" s="38"/>
      <c r="CW153" s="38"/>
      <c r="CX153" s="38"/>
      <c r="CY153" s="38"/>
      <c r="CZ153" s="38"/>
      <c r="DA153" s="38"/>
      <c r="DB153" s="38"/>
      <c r="DC153" s="38"/>
      <c r="DD153" s="38"/>
      <c r="DE153" s="38"/>
      <c r="DF153" s="38"/>
      <c r="DG153" s="38"/>
      <c r="DH153" s="38"/>
      <c r="DI153" s="38"/>
      <c r="DJ153" s="38"/>
      <c r="DK153" s="38"/>
      <c r="DL153" s="38"/>
      <c r="DM153" s="38"/>
      <c r="DN153" s="38"/>
      <c r="DO153" s="38"/>
      <c r="DP153" s="38"/>
      <c r="DQ153" s="38"/>
      <c r="DR153" s="38"/>
      <c r="DS153" s="38"/>
      <c r="DT153" s="38"/>
      <c r="DU153" s="38"/>
      <c r="DV153" s="38"/>
      <c r="DW153" s="38"/>
      <c r="DX153" s="38"/>
      <c r="DY153" s="38"/>
      <c r="DZ153" s="38"/>
      <c r="EA153" s="38"/>
      <c r="EB153" s="38"/>
      <c r="EC153" s="38"/>
      <c r="ED153" s="38"/>
      <c r="EE153" s="38"/>
      <c r="EF153" s="38"/>
      <c r="EG153" s="38"/>
      <c r="EH153" s="38"/>
      <c r="EI153" s="38"/>
      <c r="EJ153" s="38"/>
      <c r="EK153" s="38"/>
      <c r="EL153" s="38"/>
      <c r="EM153" s="38"/>
      <c r="EN153" s="38"/>
      <c r="EO153" s="38"/>
      <c r="EP153" s="38"/>
      <c r="EQ153" s="38"/>
      <c r="ER153" s="38"/>
      <c r="ES153" s="38"/>
      <c r="ET153" s="38"/>
      <c r="EU153" s="38"/>
      <c r="EV153" s="38"/>
      <c r="EW153" s="38"/>
      <c r="EX153" s="38"/>
      <c r="EY153" s="38"/>
      <c r="EZ153" s="38"/>
      <c r="FA153" s="38"/>
      <c r="FB153" s="38"/>
      <c r="FC153" s="38"/>
      <c r="FD153" s="38"/>
      <c r="FE153" s="38"/>
      <c r="FF153" s="38"/>
      <c r="FG153" s="38"/>
      <c r="FH153" s="38"/>
      <c r="FI153" s="38"/>
      <c r="FJ153" s="38"/>
      <c r="FK153" s="38"/>
      <c r="FL153" s="38"/>
      <c r="FM153" s="38"/>
      <c r="FN153" s="38"/>
      <c r="FO153" s="38"/>
      <c r="FP153" s="38"/>
      <c r="FQ153" s="38"/>
      <c r="FR153" s="38"/>
      <c r="FS153" s="38"/>
      <c r="FT153" s="38"/>
      <c r="FU153" s="38"/>
      <c r="FV153" s="38"/>
      <c r="FW153" s="38"/>
      <c r="FX153" s="38"/>
      <c r="FY153" s="38"/>
      <c r="FZ153" s="38"/>
      <c r="GA153" s="38"/>
      <c r="GB153" s="38"/>
      <c r="GC153" s="38"/>
      <c r="GD153" s="38"/>
      <c r="GE153" s="38"/>
      <c r="GF153" s="38"/>
      <c r="GG153" s="38"/>
      <c r="GH153" s="38"/>
      <c r="GI153" s="38"/>
      <c r="GJ153" s="38"/>
      <c r="GK153" s="38"/>
      <c r="GL153" s="38"/>
      <c r="GM153" s="38"/>
      <c r="GN153" s="38"/>
      <c r="GO153" s="38"/>
      <c r="GP153" s="38"/>
      <c r="GQ153" s="38"/>
      <c r="GR153" s="38"/>
      <c r="GS153" s="38"/>
      <c r="GT153" s="38"/>
      <c r="GU153" s="38"/>
      <c r="GV153" s="38"/>
      <c r="GW153" s="38"/>
      <c r="GX153" s="38"/>
      <c r="GY153" s="38"/>
      <c r="GZ153" s="38"/>
      <c r="HA153" s="38"/>
      <c r="HB153" s="38"/>
      <c r="HC153" s="38"/>
      <c r="HD153" s="38"/>
      <c r="HE153" s="38"/>
      <c r="HF153" s="38"/>
      <c r="HG153" s="38"/>
      <c r="HH153" s="38"/>
      <c r="HI153" s="38"/>
      <c r="HJ153" s="38"/>
      <c r="HK153" s="38"/>
      <c r="HL153" s="38"/>
      <c r="HM153" s="38"/>
      <c r="HN153" s="38"/>
      <c r="HO153" s="38"/>
      <c r="HP153" s="38"/>
      <c r="HQ153" s="38"/>
      <c r="HR153" s="38"/>
      <c r="HS153" s="38"/>
      <c r="HT153" s="38"/>
      <c r="HU153" s="38"/>
      <c r="HV153" s="38"/>
      <c r="HW153" s="38"/>
      <c r="HX153" s="38"/>
      <c r="HY153" s="38"/>
      <c r="HZ153" s="38"/>
      <c r="IA153" s="38"/>
      <c r="IB153" s="38"/>
      <c r="IC153" s="38"/>
      <c r="ID153" s="38"/>
      <c r="IE153" s="38"/>
      <c r="IF153" s="38"/>
      <c r="IG153" s="38"/>
      <c r="IH153" s="38"/>
      <c r="II153" s="38"/>
      <c r="IJ153" s="38"/>
      <c r="IK153" s="38"/>
      <c r="IL153" s="38"/>
      <c r="IM153" s="38"/>
      <c r="IN153" s="38"/>
      <c r="IO153" s="38"/>
      <c r="IP153" s="38"/>
      <c r="IQ153" s="38"/>
      <c r="IR153" s="38"/>
      <c r="IS153" s="38"/>
      <c r="IT153" s="38"/>
      <c r="IU153" s="38"/>
      <c r="IV153" s="38"/>
      <c r="IW153" s="38"/>
      <c r="IX153" s="38"/>
      <c r="IY153" s="38"/>
      <c r="IZ153" s="38"/>
      <c r="JA153" s="38"/>
      <c r="JB153" s="38"/>
      <c r="JC153" s="38"/>
      <c r="JD153" s="38"/>
      <c r="JE153" s="38"/>
      <c r="JF153" s="38"/>
      <c r="JG153" s="38"/>
      <c r="JH153" s="38"/>
      <c r="JI153" s="38"/>
      <c r="JJ153" s="38"/>
      <c r="JK153" s="38"/>
      <c r="JL153" s="38"/>
      <c r="JM153" s="38"/>
      <c r="JN153" s="38"/>
      <c r="JO153" s="38"/>
      <c r="JP153" s="38"/>
      <c r="JQ153" s="38"/>
      <c r="JR153" s="38"/>
      <c r="JS153" s="38"/>
      <c r="JT153" s="38"/>
      <c r="JU153" s="38"/>
      <c r="JV153" s="38"/>
      <c r="JW153" s="38"/>
      <c r="JX153" s="38"/>
      <c r="JY153" s="38"/>
      <c r="JZ153" s="38"/>
      <c r="KA153" s="38"/>
      <c r="KB153" s="38"/>
      <c r="KC153" s="38"/>
      <c r="KD153" s="38"/>
      <c r="KE153" s="38"/>
      <c r="KF153" s="38"/>
      <c r="KG153" s="38"/>
      <c r="KH153" s="38"/>
      <c r="KI153" s="38"/>
      <c r="KJ153" s="38"/>
      <c r="KK153" s="38"/>
      <c r="KL153" s="38"/>
      <c r="KM153" s="38"/>
      <c r="KN153" s="38"/>
      <c r="KO153" s="38"/>
      <c r="KP153" s="38"/>
      <c r="KQ153" s="38"/>
      <c r="KR153" s="38"/>
      <c r="KS153" s="38"/>
      <c r="KT153" s="38"/>
      <c r="KU153" s="38"/>
      <c r="KV153" s="38"/>
      <c r="KW153" s="38"/>
      <c r="KX153" s="38"/>
      <c r="KY153" s="38"/>
      <c r="KZ153" s="38"/>
      <c r="LA153" s="38"/>
      <c r="LB153" s="38"/>
      <c r="LC153" s="38"/>
      <c r="LD153" s="38"/>
      <c r="LE153" s="38"/>
      <c r="LF153" s="38"/>
      <c r="LG153" s="38"/>
      <c r="LH153" s="38"/>
      <c r="LI153" s="38"/>
      <c r="LJ153" s="38"/>
      <c r="LK153" s="38"/>
      <c r="LL153" s="38"/>
      <c r="LM153" s="38"/>
      <c r="LN153" s="38"/>
      <c r="LO153" s="38"/>
      <c r="LP153" s="38"/>
      <c r="LQ153" s="38"/>
      <c r="LR153" s="38"/>
      <c r="LS153" s="38"/>
      <c r="LT153" s="38"/>
      <c r="LU153" s="38"/>
      <c r="LV153" s="38"/>
      <c r="LW153" s="38"/>
      <c r="LX153" s="38"/>
      <c r="LY153" s="38"/>
      <c r="LZ153" s="38"/>
      <c r="MA153" s="38"/>
      <c r="MB153" s="38"/>
      <c r="MC153" s="38"/>
      <c r="MD153" s="38"/>
      <c r="ME153" s="38"/>
      <c r="MF153" s="38"/>
      <c r="MG153" s="38"/>
      <c r="MH153" s="38"/>
      <c r="MI153" s="38"/>
      <c r="MJ153" s="38"/>
      <c r="MK153" s="38"/>
      <c r="ML153" s="38"/>
      <c r="MM153" s="38"/>
      <c r="MN153" s="38"/>
      <c r="MO153" s="38"/>
      <c r="MP153" s="38"/>
      <c r="MQ153" s="38"/>
      <c r="MR153" s="38"/>
      <c r="MS153" s="38"/>
      <c r="MT153" s="38"/>
      <c r="MU153" s="38"/>
      <c r="MV153" s="38"/>
      <c r="MW153" s="38"/>
      <c r="MX153" s="38"/>
      <c r="MY153" s="38"/>
      <c r="MZ153" s="38"/>
      <c r="NA153" s="38"/>
      <c r="NB153" s="38"/>
      <c r="NC153" s="38"/>
      <c r="ND153" s="38"/>
      <c r="NE153" s="38"/>
      <c r="NF153" s="38"/>
      <c r="NG153" s="38"/>
      <c r="NH153" s="38"/>
      <c r="NI153" s="38"/>
      <c r="NJ153" s="38"/>
      <c r="NK153" s="38"/>
      <c r="NL153" s="38"/>
      <c r="NM153" s="38"/>
      <c r="NN153" s="38"/>
      <c r="NO153" s="38"/>
      <c r="NP153" s="38"/>
      <c r="NQ153" s="38"/>
      <c r="NR153" s="38"/>
      <c r="NS153" s="38"/>
      <c r="NT153" s="38"/>
      <c r="NU153" s="38"/>
      <c r="NV153" s="38"/>
      <c r="NW153" s="38"/>
      <c r="NX153" s="38"/>
      <c r="NY153" s="38"/>
      <c r="NZ153" s="38"/>
      <c r="OA153" s="38"/>
      <c r="OB153" s="38"/>
      <c r="OC153" s="38"/>
      <c r="OD153" s="38"/>
      <c r="OE153" s="38"/>
      <c r="OF153" s="38"/>
      <c r="OG153" s="38"/>
      <c r="OH153" s="38"/>
      <c r="OI153" s="38"/>
      <c r="OJ153" s="38"/>
      <c r="OK153" s="38"/>
      <c r="OL153" s="38"/>
      <c r="OM153" s="38"/>
      <c r="ON153" s="38"/>
      <c r="OO153" s="38"/>
      <c r="OP153" s="38"/>
      <c r="OQ153" s="38"/>
      <c r="OR153" s="38"/>
      <c r="OS153" s="38"/>
      <c r="OT153" s="38"/>
      <c r="OU153" s="38"/>
      <c r="OV153" s="38"/>
      <c r="OW153" s="38"/>
      <c r="OX153" s="38"/>
      <c r="OY153" s="38"/>
      <c r="OZ153" s="38"/>
      <c r="PA153" s="38"/>
      <c r="PB153" s="38"/>
      <c r="PC153" s="38"/>
      <c r="PD153" s="38"/>
      <c r="PE153" s="38"/>
      <c r="PF153" s="38"/>
      <c r="PG153" s="38"/>
      <c r="PH153" s="38"/>
      <c r="PI153" s="38"/>
      <c r="PJ153" s="38"/>
      <c r="PK153" s="38"/>
      <c r="PL153" s="38"/>
      <c r="PM153" s="38"/>
      <c r="PN153" s="38"/>
      <c r="PO153" s="38"/>
      <c r="PP153" s="38"/>
      <c r="PQ153" s="38"/>
      <c r="PR153" s="38"/>
      <c r="PS153" s="38"/>
      <c r="PT153" s="38"/>
      <c r="PU153" s="38"/>
      <c r="PV153" s="38"/>
      <c r="PW153" s="38"/>
      <c r="PX153" s="38"/>
      <c r="PY153" s="38"/>
      <c r="PZ153" s="38"/>
      <c r="QA153" s="38"/>
      <c r="QB153" s="38"/>
      <c r="QC153" s="38"/>
      <c r="QD153" s="38"/>
      <c r="QE153" s="38"/>
      <c r="QF153" s="38"/>
      <c r="QG153" s="38"/>
      <c r="QH153" s="38"/>
      <c r="QI153" s="38"/>
      <c r="QJ153" s="38"/>
      <c r="QK153" s="38"/>
      <c r="QL153" s="38"/>
      <c r="QM153" s="38"/>
      <c r="QN153" s="38"/>
      <c r="QO153" s="38"/>
      <c r="QP153" s="38"/>
      <c r="QQ153" s="38"/>
      <c r="QR153" s="38"/>
      <c r="QS153" s="38"/>
      <c r="QT153" s="38"/>
      <c r="QU153" s="38"/>
      <c r="QV153" s="38"/>
      <c r="QW153" s="38"/>
      <c r="QX153" s="38"/>
      <c r="QY153" s="38"/>
      <c r="QZ153" s="38"/>
      <c r="RA153" s="38"/>
      <c r="RB153" s="38"/>
      <c r="RC153" s="38"/>
      <c r="RD153" s="38"/>
      <c r="RE153" s="38"/>
      <c r="RF153" s="38"/>
      <c r="RG153" s="38"/>
      <c r="RH153" s="38"/>
      <c r="RI153" s="38"/>
      <c r="RJ153" s="38"/>
      <c r="RK153" s="38"/>
      <c r="RL153" s="38"/>
      <c r="RM153" s="38"/>
      <c r="RN153" s="38"/>
      <c r="RO153" s="38"/>
      <c r="RP153" s="38"/>
      <c r="RQ153" s="38"/>
      <c r="RR153" s="38"/>
      <c r="RS153" s="38"/>
      <c r="RT153" s="38"/>
      <c r="RU153" s="38"/>
      <c r="RV153" s="38"/>
      <c r="RW153" s="38"/>
      <c r="RX153" s="38"/>
      <c r="RY153" s="38"/>
      <c r="RZ153" s="38"/>
      <c r="SA153" s="38"/>
      <c r="SB153" s="38"/>
      <c r="SC153" s="38"/>
      <c r="SD153" s="38"/>
      <c r="SE153" s="38"/>
      <c r="SF153" s="38"/>
      <c r="SG153" s="38"/>
      <c r="SH153" s="38"/>
      <c r="SI153" s="38"/>
      <c r="SJ153" s="38"/>
      <c r="SK153" s="38"/>
      <c r="SL153" s="38"/>
      <c r="SM153" s="38"/>
      <c r="SN153" s="38"/>
      <c r="SO153" s="38"/>
      <c r="SP153" s="38"/>
      <c r="SQ153" s="38"/>
      <c r="SR153" s="38"/>
      <c r="SS153" s="38"/>
      <c r="ST153" s="38"/>
      <c r="SU153" s="38"/>
      <c r="SV153" s="38"/>
      <c r="SW153" s="38"/>
      <c r="SX153" s="38"/>
      <c r="SY153" s="38"/>
      <c r="SZ153" s="38"/>
      <c r="TA153" s="38"/>
      <c r="TB153" s="38"/>
      <c r="TC153" s="38"/>
      <c r="TD153" s="38"/>
      <c r="TE153" s="38"/>
      <c r="TF153" s="38"/>
      <c r="TG153" s="38"/>
      <c r="TH153" s="38"/>
      <c r="TI153" s="38"/>
      <c r="TJ153" s="38"/>
      <c r="TK153" s="38"/>
      <c r="TL153" s="38"/>
      <c r="TM153" s="38"/>
    </row>
    <row r="154" spans="1:533" s="39" customFormat="1" ht="18.75" x14ac:dyDescent="0.25">
      <c r="B154" s="50">
        <v>125000</v>
      </c>
      <c r="C154" s="41" t="s">
        <v>299</v>
      </c>
      <c r="D154" s="108" t="s">
        <v>300</v>
      </c>
      <c r="E154" s="107" t="s">
        <v>103</v>
      </c>
      <c r="F154" s="109">
        <v>5</v>
      </c>
      <c r="G154" s="58"/>
      <c r="H154" s="71"/>
      <c r="I154" s="104">
        <f t="shared" si="27"/>
        <v>0</v>
      </c>
      <c r="J154" s="98" t="s">
        <v>167</v>
      </c>
      <c r="K154" s="104" t="s">
        <v>168</v>
      </c>
      <c r="L154" s="105"/>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c r="CD154" s="38"/>
      <c r="CE154" s="38"/>
      <c r="CF154" s="38"/>
      <c r="CG154" s="38"/>
      <c r="CH154" s="38"/>
      <c r="CI154" s="38"/>
      <c r="CJ154" s="38"/>
      <c r="CK154" s="38"/>
      <c r="CL154" s="38"/>
      <c r="CM154" s="38"/>
      <c r="CN154" s="38"/>
      <c r="CO154" s="38"/>
      <c r="CP154" s="38"/>
      <c r="CQ154" s="38"/>
      <c r="CR154" s="38"/>
      <c r="CS154" s="38"/>
      <c r="CT154" s="38"/>
      <c r="CU154" s="38"/>
      <c r="CV154" s="38"/>
      <c r="CW154" s="38"/>
      <c r="CX154" s="38"/>
      <c r="CY154" s="38"/>
      <c r="CZ154" s="38"/>
      <c r="DA154" s="38"/>
      <c r="DB154" s="38"/>
      <c r="DC154" s="38"/>
      <c r="DD154" s="38"/>
      <c r="DE154" s="38"/>
      <c r="DF154" s="38"/>
      <c r="DG154" s="38"/>
      <c r="DH154" s="38"/>
      <c r="DI154" s="38"/>
      <c r="DJ154" s="38"/>
      <c r="DK154" s="38"/>
      <c r="DL154" s="38"/>
      <c r="DM154" s="38"/>
      <c r="DN154" s="38"/>
      <c r="DO154" s="38"/>
      <c r="DP154" s="38"/>
      <c r="DQ154" s="38"/>
      <c r="DR154" s="38"/>
      <c r="DS154" s="38"/>
      <c r="DT154" s="38"/>
      <c r="DU154" s="38"/>
      <c r="DV154" s="38"/>
      <c r="DW154" s="38"/>
      <c r="DX154" s="38"/>
      <c r="DY154" s="38"/>
      <c r="DZ154" s="38"/>
      <c r="EA154" s="38"/>
      <c r="EB154" s="38"/>
      <c r="EC154" s="38"/>
      <c r="ED154" s="38"/>
      <c r="EE154" s="38"/>
      <c r="EF154" s="38"/>
      <c r="EG154" s="38"/>
      <c r="EH154" s="38"/>
      <c r="EI154" s="38"/>
      <c r="EJ154" s="38"/>
      <c r="EK154" s="38"/>
      <c r="EL154" s="38"/>
      <c r="EM154" s="38"/>
      <c r="EN154" s="38"/>
      <c r="EO154" s="38"/>
      <c r="EP154" s="38"/>
      <c r="EQ154" s="38"/>
      <c r="ER154" s="38"/>
      <c r="ES154" s="38"/>
      <c r="ET154" s="38"/>
      <c r="EU154" s="38"/>
      <c r="EV154" s="38"/>
      <c r="EW154" s="38"/>
      <c r="EX154" s="38"/>
      <c r="EY154" s="38"/>
      <c r="EZ154" s="38"/>
      <c r="FA154" s="38"/>
      <c r="FB154" s="38"/>
      <c r="FC154" s="38"/>
      <c r="FD154" s="38"/>
      <c r="FE154" s="38"/>
      <c r="FF154" s="38"/>
      <c r="FG154" s="38"/>
      <c r="FH154" s="38"/>
      <c r="FI154" s="38"/>
      <c r="FJ154" s="38"/>
      <c r="FK154" s="38"/>
      <c r="FL154" s="38"/>
      <c r="FM154" s="38"/>
      <c r="FN154" s="38"/>
      <c r="FO154" s="38"/>
      <c r="FP154" s="38"/>
      <c r="FQ154" s="38"/>
      <c r="FR154" s="38"/>
      <c r="FS154" s="38"/>
      <c r="FT154" s="38"/>
      <c r="FU154" s="38"/>
      <c r="FV154" s="38"/>
      <c r="FW154" s="38"/>
      <c r="FX154" s="38"/>
      <c r="FY154" s="38"/>
      <c r="FZ154" s="38"/>
      <c r="GA154" s="38"/>
      <c r="GB154" s="38"/>
      <c r="GC154" s="38"/>
      <c r="GD154" s="38"/>
      <c r="GE154" s="38"/>
      <c r="GF154" s="38"/>
      <c r="GG154" s="38"/>
      <c r="GH154" s="38"/>
      <c r="GI154" s="38"/>
      <c r="GJ154" s="38"/>
      <c r="GK154" s="38"/>
      <c r="GL154" s="38"/>
      <c r="GM154" s="38"/>
      <c r="GN154" s="38"/>
      <c r="GO154" s="38"/>
      <c r="GP154" s="38"/>
      <c r="GQ154" s="38"/>
      <c r="GR154" s="38"/>
      <c r="GS154" s="38"/>
      <c r="GT154" s="38"/>
      <c r="GU154" s="38"/>
      <c r="GV154" s="38"/>
      <c r="GW154" s="38"/>
      <c r="GX154" s="38"/>
      <c r="GY154" s="38"/>
      <c r="GZ154" s="38"/>
      <c r="HA154" s="38"/>
      <c r="HB154" s="38"/>
      <c r="HC154" s="38"/>
      <c r="HD154" s="38"/>
      <c r="HE154" s="38"/>
      <c r="HF154" s="38"/>
      <c r="HG154" s="38"/>
      <c r="HH154" s="38"/>
      <c r="HI154" s="38"/>
      <c r="HJ154" s="38"/>
      <c r="HK154" s="38"/>
      <c r="HL154" s="38"/>
      <c r="HM154" s="38"/>
      <c r="HN154" s="38"/>
      <c r="HO154" s="38"/>
      <c r="HP154" s="38"/>
      <c r="HQ154" s="38"/>
      <c r="HR154" s="38"/>
      <c r="HS154" s="38"/>
      <c r="HT154" s="38"/>
      <c r="HU154" s="38"/>
      <c r="HV154" s="38"/>
      <c r="HW154" s="38"/>
      <c r="HX154" s="38"/>
      <c r="HY154" s="38"/>
      <c r="HZ154" s="38"/>
      <c r="IA154" s="38"/>
      <c r="IB154" s="38"/>
      <c r="IC154" s="38"/>
      <c r="ID154" s="38"/>
      <c r="IE154" s="38"/>
      <c r="IF154" s="38"/>
      <c r="IG154" s="38"/>
      <c r="IH154" s="38"/>
      <c r="II154" s="38"/>
      <c r="IJ154" s="38"/>
      <c r="IK154" s="38"/>
      <c r="IL154" s="38"/>
      <c r="IM154" s="38"/>
      <c r="IN154" s="38"/>
      <c r="IO154" s="38"/>
      <c r="IP154" s="38"/>
      <c r="IQ154" s="38"/>
      <c r="IR154" s="38"/>
      <c r="IS154" s="38"/>
      <c r="IT154" s="38"/>
      <c r="IU154" s="38"/>
      <c r="IV154" s="38"/>
      <c r="IW154" s="38"/>
      <c r="IX154" s="38"/>
      <c r="IY154" s="38"/>
      <c r="IZ154" s="38"/>
      <c r="JA154" s="38"/>
      <c r="JB154" s="38"/>
      <c r="JC154" s="38"/>
      <c r="JD154" s="38"/>
      <c r="JE154" s="38"/>
      <c r="JF154" s="38"/>
      <c r="JG154" s="38"/>
      <c r="JH154" s="38"/>
      <c r="JI154" s="38"/>
      <c r="JJ154" s="38"/>
      <c r="JK154" s="38"/>
      <c r="JL154" s="38"/>
      <c r="JM154" s="38"/>
      <c r="JN154" s="38"/>
      <c r="JO154" s="38"/>
      <c r="JP154" s="38"/>
      <c r="JQ154" s="38"/>
      <c r="JR154" s="38"/>
      <c r="JS154" s="38"/>
      <c r="JT154" s="38"/>
      <c r="JU154" s="38"/>
      <c r="JV154" s="38"/>
      <c r="JW154" s="38"/>
      <c r="JX154" s="38"/>
      <c r="JY154" s="38"/>
      <c r="JZ154" s="38"/>
      <c r="KA154" s="38"/>
      <c r="KB154" s="38"/>
      <c r="KC154" s="38"/>
      <c r="KD154" s="38"/>
      <c r="KE154" s="38"/>
      <c r="KF154" s="38"/>
      <c r="KG154" s="38"/>
      <c r="KH154" s="38"/>
      <c r="KI154" s="38"/>
      <c r="KJ154" s="38"/>
      <c r="KK154" s="38"/>
      <c r="KL154" s="38"/>
      <c r="KM154" s="38"/>
      <c r="KN154" s="38"/>
      <c r="KO154" s="38"/>
      <c r="KP154" s="38"/>
      <c r="KQ154" s="38"/>
      <c r="KR154" s="38"/>
      <c r="KS154" s="38"/>
      <c r="KT154" s="38"/>
      <c r="KU154" s="38"/>
      <c r="KV154" s="38"/>
      <c r="KW154" s="38"/>
      <c r="KX154" s="38"/>
      <c r="KY154" s="38"/>
      <c r="KZ154" s="38"/>
      <c r="LA154" s="38"/>
      <c r="LB154" s="38"/>
      <c r="LC154" s="38"/>
      <c r="LD154" s="38"/>
      <c r="LE154" s="38"/>
      <c r="LF154" s="38"/>
      <c r="LG154" s="38"/>
      <c r="LH154" s="38"/>
      <c r="LI154" s="38"/>
      <c r="LJ154" s="38"/>
      <c r="LK154" s="38"/>
      <c r="LL154" s="38"/>
      <c r="LM154" s="38"/>
      <c r="LN154" s="38"/>
      <c r="LO154" s="38"/>
      <c r="LP154" s="38"/>
      <c r="LQ154" s="38"/>
      <c r="LR154" s="38"/>
      <c r="LS154" s="38"/>
      <c r="LT154" s="38"/>
      <c r="LU154" s="38"/>
      <c r="LV154" s="38"/>
      <c r="LW154" s="38"/>
      <c r="LX154" s="38"/>
      <c r="LY154" s="38"/>
      <c r="LZ154" s="38"/>
      <c r="MA154" s="38"/>
      <c r="MB154" s="38"/>
      <c r="MC154" s="38"/>
      <c r="MD154" s="38"/>
      <c r="ME154" s="38"/>
      <c r="MF154" s="38"/>
      <c r="MG154" s="38"/>
      <c r="MH154" s="38"/>
      <c r="MI154" s="38"/>
      <c r="MJ154" s="38"/>
      <c r="MK154" s="38"/>
      <c r="ML154" s="38"/>
      <c r="MM154" s="38"/>
      <c r="MN154" s="38"/>
      <c r="MO154" s="38"/>
      <c r="MP154" s="38"/>
      <c r="MQ154" s="38"/>
      <c r="MR154" s="38"/>
      <c r="MS154" s="38"/>
      <c r="MT154" s="38"/>
      <c r="MU154" s="38"/>
      <c r="MV154" s="38"/>
      <c r="MW154" s="38"/>
      <c r="MX154" s="38"/>
      <c r="MY154" s="38"/>
      <c r="MZ154" s="38"/>
      <c r="NA154" s="38"/>
      <c r="NB154" s="38"/>
      <c r="NC154" s="38"/>
      <c r="ND154" s="38"/>
      <c r="NE154" s="38"/>
      <c r="NF154" s="38"/>
      <c r="NG154" s="38"/>
      <c r="NH154" s="38"/>
      <c r="NI154" s="38"/>
      <c r="NJ154" s="38"/>
      <c r="NK154" s="38"/>
      <c r="NL154" s="38"/>
      <c r="NM154" s="38"/>
      <c r="NN154" s="38"/>
      <c r="NO154" s="38"/>
      <c r="NP154" s="38"/>
      <c r="NQ154" s="38"/>
      <c r="NR154" s="38"/>
      <c r="NS154" s="38"/>
      <c r="NT154" s="38"/>
      <c r="NU154" s="38"/>
      <c r="NV154" s="38"/>
      <c r="NW154" s="38"/>
      <c r="NX154" s="38"/>
      <c r="NY154" s="38"/>
      <c r="NZ154" s="38"/>
      <c r="OA154" s="38"/>
      <c r="OB154" s="38"/>
      <c r="OC154" s="38"/>
      <c r="OD154" s="38"/>
      <c r="OE154" s="38"/>
      <c r="OF154" s="38"/>
      <c r="OG154" s="38"/>
      <c r="OH154" s="38"/>
      <c r="OI154" s="38"/>
      <c r="OJ154" s="38"/>
      <c r="OK154" s="38"/>
      <c r="OL154" s="38"/>
      <c r="OM154" s="38"/>
      <c r="ON154" s="38"/>
      <c r="OO154" s="38"/>
      <c r="OP154" s="38"/>
      <c r="OQ154" s="38"/>
      <c r="OR154" s="38"/>
      <c r="OS154" s="38"/>
      <c r="OT154" s="38"/>
      <c r="OU154" s="38"/>
      <c r="OV154" s="38"/>
      <c r="OW154" s="38"/>
      <c r="OX154" s="38"/>
      <c r="OY154" s="38"/>
      <c r="OZ154" s="38"/>
      <c r="PA154" s="38"/>
      <c r="PB154" s="38"/>
      <c r="PC154" s="38"/>
      <c r="PD154" s="38"/>
      <c r="PE154" s="38"/>
      <c r="PF154" s="38"/>
      <c r="PG154" s="38"/>
      <c r="PH154" s="38"/>
      <c r="PI154" s="38"/>
      <c r="PJ154" s="38"/>
      <c r="PK154" s="38"/>
      <c r="PL154" s="38"/>
      <c r="PM154" s="38"/>
      <c r="PN154" s="38"/>
      <c r="PO154" s="38"/>
      <c r="PP154" s="38"/>
      <c r="PQ154" s="38"/>
      <c r="PR154" s="38"/>
      <c r="PS154" s="38"/>
      <c r="PT154" s="38"/>
      <c r="PU154" s="38"/>
      <c r="PV154" s="38"/>
      <c r="PW154" s="38"/>
      <c r="PX154" s="38"/>
      <c r="PY154" s="38"/>
      <c r="PZ154" s="38"/>
      <c r="QA154" s="38"/>
      <c r="QB154" s="38"/>
      <c r="QC154" s="38"/>
      <c r="QD154" s="38"/>
      <c r="QE154" s="38"/>
      <c r="QF154" s="38"/>
      <c r="QG154" s="38"/>
      <c r="QH154" s="38"/>
      <c r="QI154" s="38"/>
      <c r="QJ154" s="38"/>
      <c r="QK154" s="38"/>
      <c r="QL154" s="38"/>
      <c r="QM154" s="38"/>
      <c r="QN154" s="38"/>
      <c r="QO154" s="38"/>
      <c r="QP154" s="38"/>
      <c r="QQ154" s="38"/>
      <c r="QR154" s="38"/>
      <c r="QS154" s="38"/>
      <c r="QT154" s="38"/>
      <c r="QU154" s="38"/>
      <c r="QV154" s="38"/>
      <c r="QW154" s="38"/>
      <c r="QX154" s="38"/>
      <c r="QY154" s="38"/>
      <c r="QZ154" s="38"/>
      <c r="RA154" s="38"/>
      <c r="RB154" s="38"/>
      <c r="RC154" s="38"/>
      <c r="RD154" s="38"/>
      <c r="RE154" s="38"/>
      <c r="RF154" s="38"/>
      <c r="RG154" s="38"/>
      <c r="RH154" s="38"/>
      <c r="RI154" s="38"/>
      <c r="RJ154" s="38"/>
      <c r="RK154" s="38"/>
      <c r="RL154" s="38"/>
      <c r="RM154" s="38"/>
      <c r="RN154" s="38"/>
      <c r="RO154" s="38"/>
      <c r="RP154" s="38"/>
      <c r="RQ154" s="38"/>
      <c r="RR154" s="38"/>
      <c r="RS154" s="38"/>
      <c r="RT154" s="38"/>
      <c r="RU154" s="38"/>
      <c r="RV154" s="38"/>
      <c r="RW154" s="38"/>
      <c r="RX154" s="38"/>
      <c r="RY154" s="38"/>
      <c r="RZ154" s="38"/>
      <c r="SA154" s="38"/>
      <c r="SB154" s="38"/>
      <c r="SC154" s="38"/>
      <c r="SD154" s="38"/>
      <c r="SE154" s="38"/>
      <c r="SF154" s="38"/>
      <c r="SG154" s="38"/>
      <c r="SH154" s="38"/>
      <c r="SI154" s="38"/>
      <c r="SJ154" s="38"/>
      <c r="SK154" s="38"/>
      <c r="SL154" s="38"/>
      <c r="SM154" s="38"/>
      <c r="SN154" s="38"/>
      <c r="SO154" s="38"/>
      <c r="SP154" s="38"/>
      <c r="SQ154" s="38"/>
      <c r="SR154" s="38"/>
      <c r="SS154" s="38"/>
      <c r="ST154" s="38"/>
      <c r="SU154" s="38"/>
      <c r="SV154" s="38"/>
      <c r="SW154" s="38"/>
      <c r="SX154" s="38"/>
      <c r="SY154" s="38"/>
      <c r="SZ154" s="38"/>
      <c r="TA154" s="38"/>
      <c r="TB154" s="38"/>
      <c r="TC154" s="38"/>
      <c r="TD154" s="38"/>
      <c r="TE154" s="38"/>
      <c r="TF154" s="38"/>
      <c r="TG154" s="38"/>
      <c r="TH154" s="38"/>
      <c r="TI154" s="38"/>
      <c r="TJ154" s="38"/>
      <c r="TK154" s="38"/>
      <c r="TL154" s="38"/>
      <c r="TM154" s="38"/>
    </row>
    <row r="155" spans="1:533" s="39" customFormat="1" ht="18.75" x14ac:dyDescent="0.25">
      <c r="B155" s="50">
        <v>125000</v>
      </c>
      <c r="C155" s="41" t="s">
        <v>301</v>
      </c>
      <c r="D155" s="108" t="s">
        <v>302</v>
      </c>
      <c r="E155" s="107" t="s">
        <v>103</v>
      </c>
      <c r="F155" s="109">
        <v>8</v>
      </c>
      <c r="G155" s="58"/>
      <c r="H155" s="71"/>
      <c r="I155" s="104">
        <f t="shared" si="27"/>
        <v>0</v>
      </c>
      <c r="J155" s="98" t="s">
        <v>167</v>
      </c>
      <c r="K155" s="104" t="s">
        <v>168</v>
      </c>
      <c r="L155" s="105"/>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c r="CH155" s="38"/>
      <c r="CI155" s="38"/>
      <c r="CJ155" s="38"/>
      <c r="CK155" s="38"/>
      <c r="CL155" s="38"/>
      <c r="CM155" s="38"/>
      <c r="CN155" s="38"/>
      <c r="CO155" s="38"/>
      <c r="CP155" s="38"/>
      <c r="CQ155" s="38"/>
      <c r="CR155" s="38"/>
      <c r="CS155" s="38"/>
      <c r="CT155" s="38"/>
      <c r="CU155" s="38"/>
      <c r="CV155" s="38"/>
      <c r="CW155" s="38"/>
      <c r="CX155" s="38"/>
      <c r="CY155" s="38"/>
      <c r="CZ155" s="38"/>
      <c r="DA155" s="38"/>
      <c r="DB155" s="38"/>
      <c r="DC155" s="38"/>
      <c r="DD155" s="38"/>
      <c r="DE155" s="38"/>
      <c r="DF155" s="38"/>
      <c r="DG155" s="38"/>
      <c r="DH155" s="38"/>
      <c r="DI155" s="38"/>
      <c r="DJ155" s="38"/>
      <c r="DK155" s="38"/>
      <c r="DL155" s="38"/>
      <c r="DM155" s="38"/>
      <c r="DN155" s="38"/>
      <c r="DO155" s="38"/>
      <c r="DP155" s="38"/>
      <c r="DQ155" s="38"/>
      <c r="DR155" s="38"/>
      <c r="DS155" s="38"/>
      <c r="DT155" s="38"/>
      <c r="DU155" s="38"/>
      <c r="DV155" s="38"/>
      <c r="DW155" s="38"/>
      <c r="DX155" s="38"/>
      <c r="DY155" s="38"/>
      <c r="DZ155" s="38"/>
      <c r="EA155" s="38"/>
      <c r="EB155" s="38"/>
      <c r="EC155" s="38"/>
      <c r="ED155" s="38"/>
      <c r="EE155" s="38"/>
      <c r="EF155" s="38"/>
      <c r="EG155" s="38"/>
      <c r="EH155" s="38"/>
      <c r="EI155" s="38"/>
      <c r="EJ155" s="38"/>
      <c r="EK155" s="38"/>
      <c r="EL155" s="38"/>
      <c r="EM155" s="38"/>
      <c r="EN155" s="38"/>
      <c r="EO155" s="38"/>
      <c r="EP155" s="38"/>
      <c r="EQ155" s="38"/>
      <c r="ER155" s="38"/>
      <c r="ES155" s="38"/>
      <c r="ET155" s="38"/>
      <c r="EU155" s="38"/>
      <c r="EV155" s="38"/>
      <c r="EW155" s="38"/>
      <c r="EX155" s="38"/>
      <c r="EY155" s="38"/>
      <c r="EZ155" s="38"/>
      <c r="FA155" s="38"/>
      <c r="FB155" s="38"/>
      <c r="FC155" s="38"/>
      <c r="FD155" s="38"/>
      <c r="FE155" s="38"/>
      <c r="FF155" s="38"/>
      <c r="FG155" s="38"/>
      <c r="FH155" s="38"/>
      <c r="FI155" s="38"/>
      <c r="FJ155" s="38"/>
      <c r="FK155" s="38"/>
      <c r="FL155" s="38"/>
      <c r="FM155" s="38"/>
      <c r="FN155" s="38"/>
      <c r="FO155" s="38"/>
      <c r="FP155" s="38"/>
      <c r="FQ155" s="38"/>
      <c r="FR155" s="38"/>
      <c r="FS155" s="38"/>
      <c r="FT155" s="38"/>
      <c r="FU155" s="38"/>
      <c r="FV155" s="38"/>
      <c r="FW155" s="38"/>
      <c r="FX155" s="38"/>
      <c r="FY155" s="38"/>
      <c r="FZ155" s="38"/>
      <c r="GA155" s="38"/>
      <c r="GB155" s="38"/>
      <c r="GC155" s="38"/>
      <c r="GD155" s="38"/>
      <c r="GE155" s="38"/>
      <c r="GF155" s="38"/>
      <c r="GG155" s="38"/>
      <c r="GH155" s="38"/>
      <c r="GI155" s="38"/>
      <c r="GJ155" s="38"/>
      <c r="GK155" s="38"/>
      <c r="GL155" s="38"/>
      <c r="GM155" s="38"/>
      <c r="GN155" s="38"/>
      <c r="GO155" s="38"/>
      <c r="GP155" s="38"/>
      <c r="GQ155" s="38"/>
      <c r="GR155" s="38"/>
      <c r="GS155" s="38"/>
      <c r="GT155" s="38"/>
      <c r="GU155" s="38"/>
      <c r="GV155" s="38"/>
      <c r="GW155" s="38"/>
      <c r="GX155" s="38"/>
      <c r="GY155" s="38"/>
      <c r="GZ155" s="38"/>
      <c r="HA155" s="38"/>
      <c r="HB155" s="38"/>
      <c r="HC155" s="38"/>
      <c r="HD155" s="38"/>
      <c r="HE155" s="38"/>
      <c r="HF155" s="38"/>
      <c r="HG155" s="38"/>
      <c r="HH155" s="38"/>
      <c r="HI155" s="38"/>
      <c r="HJ155" s="38"/>
      <c r="HK155" s="38"/>
      <c r="HL155" s="38"/>
      <c r="HM155" s="38"/>
      <c r="HN155" s="38"/>
      <c r="HO155" s="38"/>
      <c r="HP155" s="38"/>
      <c r="HQ155" s="38"/>
      <c r="HR155" s="38"/>
      <c r="HS155" s="38"/>
      <c r="HT155" s="38"/>
      <c r="HU155" s="38"/>
      <c r="HV155" s="38"/>
      <c r="HW155" s="38"/>
      <c r="HX155" s="38"/>
      <c r="HY155" s="38"/>
      <c r="HZ155" s="38"/>
      <c r="IA155" s="38"/>
      <c r="IB155" s="38"/>
      <c r="IC155" s="38"/>
      <c r="ID155" s="38"/>
      <c r="IE155" s="38"/>
      <c r="IF155" s="38"/>
      <c r="IG155" s="38"/>
      <c r="IH155" s="38"/>
      <c r="II155" s="38"/>
      <c r="IJ155" s="38"/>
      <c r="IK155" s="38"/>
      <c r="IL155" s="38"/>
      <c r="IM155" s="38"/>
      <c r="IN155" s="38"/>
      <c r="IO155" s="38"/>
      <c r="IP155" s="38"/>
      <c r="IQ155" s="38"/>
      <c r="IR155" s="38"/>
      <c r="IS155" s="38"/>
      <c r="IT155" s="38"/>
      <c r="IU155" s="38"/>
      <c r="IV155" s="38"/>
      <c r="IW155" s="38"/>
      <c r="IX155" s="38"/>
      <c r="IY155" s="38"/>
      <c r="IZ155" s="38"/>
      <c r="JA155" s="38"/>
      <c r="JB155" s="38"/>
      <c r="JC155" s="38"/>
      <c r="JD155" s="38"/>
      <c r="JE155" s="38"/>
      <c r="JF155" s="38"/>
      <c r="JG155" s="38"/>
      <c r="JH155" s="38"/>
      <c r="JI155" s="38"/>
      <c r="JJ155" s="38"/>
      <c r="JK155" s="38"/>
      <c r="JL155" s="38"/>
      <c r="JM155" s="38"/>
      <c r="JN155" s="38"/>
      <c r="JO155" s="38"/>
      <c r="JP155" s="38"/>
      <c r="JQ155" s="38"/>
      <c r="JR155" s="38"/>
      <c r="JS155" s="38"/>
      <c r="JT155" s="38"/>
      <c r="JU155" s="38"/>
      <c r="JV155" s="38"/>
      <c r="JW155" s="38"/>
      <c r="JX155" s="38"/>
      <c r="JY155" s="38"/>
      <c r="JZ155" s="38"/>
      <c r="KA155" s="38"/>
      <c r="KB155" s="38"/>
      <c r="KC155" s="38"/>
      <c r="KD155" s="38"/>
      <c r="KE155" s="38"/>
      <c r="KF155" s="38"/>
      <c r="KG155" s="38"/>
      <c r="KH155" s="38"/>
      <c r="KI155" s="38"/>
      <c r="KJ155" s="38"/>
      <c r="KK155" s="38"/>
      <c r="KL155" s="38"/>
      <c r="KM155" s="38"/>
      <c r="KN155" s="38"/>
      <c r="KO155" s="38"/>
      <c r="KP155" s="38"/>
      <c r="KQ155" s="38"/>
      <c r="KR155" s="38"/>
      <c r="KS155" s="38"/>
      <c r="KT155" s="38"/>
      <c r="KU155" s="38"/>
      <c r="KV155" s="38"/>
      <c r="KW155" s="38"/>
      <c r="KX155" s="38"/>
      <c r="KY155" s="38"/>
      <c r="KZ155" s="38"/>
      <c r="LA155" s="38"/>
      <c r="LB155" s="38"/>
      <c r="LC155" s="38"/>
      <c r="LD155" s="38"/>
      <c r="LE155" s="38"/>
      <c r="LF155" s="38"/>
      <c r="LG155" s="38"/>
      <c r="LH155" s="38"/>
      <c r="LI155" s="38"/>
      <c r="LJ155" s="38"/>
      <c r="LK155" s="38"/>
      <c r="LL155" s="38"/>
      <c r="LM155" s="38"/>
      <c r="LN155" s="38"/>
      <c r="LO155" s="38"/>
      <c r="LP155" s="38"/>
      <c r="LQ155" s="38"/>
      <c r="LR155" s="38"/>
      <c r="LS155" s="38"/>
      <c r="LT155" s="38"/>
      <c r="LU155" s="38"/>
      <c r="LV155" s="38"/>
      <c r="LW155" s="38"/>
      <c r="LX155" s="38"/>
      <c r="LY155" s="38"/>
      <c r="LZ155" s="38"/>
      <c r="MA155" s="38"/>
      <c r="MB155" s="38"/>
      <c r="MC155" s="38"/>
      <c r="MD155" s="38"/>
      <c r="ME155" s="38"/>
      <c r="MF155" s="38"/>
      <c r="MG155" s="38"/>
      <c r="MH155" s="38"/>
      <c r="MI155" s="38"/>
      <c r="MJ155" s="38"/>
      <c r="MK155" s="38"/>
      <c r="ML155" s="38"/>
      <c r="MM155" s="38"/>
      <c r="MN155" s="38"/>
      <c r="MO155" s="38"/>
      <c r="MP155" s="38"/>
      <c r="MQ155" s="38"/>
      <c r="MR155" s="38"/>
      <c r="MS155" s="38"/>
      <c r="MT155" s="38"/>
      <c r="MU155" s="38"/>
      <c r="MV155" s="38"/>
      <c r="MW155" s="38"/>
      <c r="MX155" s="38"/>
      <c r="MY155" s="38"/>
      <c r="MZ155" s="38"/>
      <c r="NA155" s="38"/>
      <c r="NB155" s="38"/>
      <c r="NC155" s="38"/>
      <c r="ND155" s="38"/>
      <c r="NE155" s="38"/>
      <c r="NF155" s="38"/>
      <c r="NG155" s="38"/>
      <c r="NH155" s="38"/>
      <c r="NI155" s="38"/>
      <c r="NJ155" s="38"/>
      <c r="NK155" s="38"/>
      <c r="NL155" s="38"/>
      <c r="NM155" s="38"/>
      <c r="NN155" s="38"/>
      <c r="NO155" s="38"/>
      <c r="NP155" s="38"/>
      <c r="NQ155" s="38"/>
      <c r="NR155" s="38"/>
      <c r="NS155" s="38"/>
      <c r="NT155" s="38"/>
      <c r="NU155" s="38"/>
      <c r="NV155" s="38"/>
      <c r="NW155" s="38"/>
      <c r="NX155" s="38"/>
      <c r="NY155" s="38"/>
      <c r="NZ155" s="38"/>
      <c r="OA155" s="38"/>
      <c r="OB155" s="38"/>
      <c r="OC155" s="38"/>
      <c r="OD155" s="38"/>
      <c r="OE155" s="38"/>
      <c r="OF155" s="38"/>
      <c r="OG155" s="38"/>
      <c r="OH155" s="38"/>
      <c r="OI155" s="38"/>
      <c r="OJ155" s="38"/>
      <c r="OK155" s="38"/>
      <c r="OL155" s="38"/>
      <c r="OM155" s="38"/>
      <c r="ON155" s="38"/>
      <c r="OO155" s="38"/>
      <c r="OP155" s="38"/>
      <c r="OQ155" s="38"/>
      <c r="OR155" s="38"/>
      <c r="OS155" s="38"/>
      <c r="OT155" s="38"/>
      <c r="OU155" s="38"/>
      <c r="OV155" s="38"/>
      <c r="OW155" s="38"/>
      <c r="OX155" s="38"/>
      <c r="OY155" s="38"/>
      <c r="OZ155" s="38"/>
      <c r="PA155" s="38"/>
      <c r="PB155" s="38"/>
      <c r="PC155" s="38"/>
      <c r="PD155" s="38"/>
      <c r="PE155" s="38"/>
      <c r="PF155" s="38"/>
      <c r="PG155" s="38"/>
      <c r="PH155" s="38"/>
      <c r="PI155" s="38"/>
      <c r="PJ155" s="38"/>
      <c r="PK155" s="38"/>
      <c r="PL155" s="38"/>
      <c r="PM155" s="38"/>
      <c r="PN155" s="38"/>
      <c r="PO155" s="38"/>
      <c r="PP155" s="38"/>
      <c r="PQ155" s="38"/>
      <c r="PR155" s="38"/>
      <c r="PS155" s="38"/>
      <c r="PT155" s="38"/>
      <c r="PU155" s="38"/>
      <c r="PV155" s="38"/>
      <c r="PW155" s="38"/>
      <c r="PX155" s="38"/>
      <c r="PY155" s="38"/>
      <c r="PZ155" s="38"/>
      <c r="QA155" s="38"/>
      <c r="QB155" s="38"/>
      <c r="QC155" s="38"/>
      <c r="QD155" s="38"/>
      <c r="QE155" s="38"/>
      <c r="QF155" s="38"/>
      <c r="QG155" s="38"/>
      <c r="QH155" s="38"/>
      <c r="QI155" s="38"/>
      <c r="QJ155" s="38"/>
      <c r="QK155" s="38"/>
      <c r="QL155" s="38"/>
      <c r="QM155" s="38"/>
      <c r="QN155" s="38"/>
      <c r="QO155" s="38"/>
      <c r="QP155" s="38"/>
      <c r="QQ155" s="38"/>
      <c r="QR155" s="38"/>
      <c r="QS155" s="38"/>
      <c r="QT155" s="38"/>
      <c r="QU155" s="38"/>
      <c r="QV155" s="38"/>
      <c r="QW155" s="38"/>
      <c r="QX155" s="38"/>
      <c r="QY155" s="38"/>
      <c r="QZ155" s="38"/>
      <c r="RA155" s="38"/>
      <c r="RB155" s="38"/>
      <c r="RC155" s="38"/>
      <c r="RD155" s="38"/>
      <c r="RE155" s="38"/>
      <c r="RF155" s="38"/>
      <c r="RG155" s="38"/>
      <c r="RH155" s="38"/>
      <c r="RI155" s="38"/>
      <c r="RJ155" s="38"/>
      <c r="RK155" s="38"/>
      <c r="RL155" s="38"/>
      <c r="RM155" s="38"/>
      <c r="RN155" s="38"/>
      <c r="RO155" s="38"/>
      <c r="RP155" s="38"/>
      <c r="RQ155" s="38"/>
      <c r="RR155" s="38"/>
      <c r="RS155" s="38"/>
      <c r="RT155" s="38"/>
      <c r="RU155" s="38"/>
      <c r="RV155" s="38"/>
      <c r="RW155" s="38"/>
      <c r="RX155" s="38"/>
      <c r="RY155" s="38"/>
      <c r="RZ155" s="38"/>
      <c r="SA155" s="38"/>
      <c r="SB155" s="38"/>
      <c r="SC155" s="38"/>
      <c r="SD155" s="38"/>
      <c r="SE155" s="38"/>
      <c r="SF155" s="38"/>
      <c r="SG155" s="38"/>
      <c r="SH155" s="38"/>
      <c r="SI155" s="38"/>
      <c r="SJ155" s="38"/>
      <c r="SK155" s="38"/>
      <c r="SL155" s="38"/>
      <c r="SM155" s="38"/>
      <c r="SN155" s="38"/>
      <c r="SO155" s="38"/>
      <c r="SP155" s="38"/>
      <c r="SQ155" s="38"/>
      <c r="SR155" s="38"/>
      <c r="SS155" s="38"/>
      <c r="ST155" s="38"/>
      <c r="SU155" s="38"/>
      <c r="SV155" s="38"/>
      <c r="SW155" s="38"/>
      <c r="SX155" s="38"/>
      <c r="SY155" s="38"/>
      <c r="SZ155" s="38"/>
      <c r="TA155" s="38"/>
      <c r="TB155" s="38"/>
      <c r="TC155" s="38"/>
      <c r="TD155" s="38"/>
      <c r="TE155" s="38"/>
      <c r="TF155" s="38"/>
      <c r="TG155" s="38"/>
      <c r="TH155" s="38"/>
      <c r="TI155" s="38"/>
      <c r="TJ155" s="38"/>
      <c r="TK155" s="38"/>
      <c r="TL155" s="38"/>
      <c r="TM155" s="38"/>
    </row>
    <row r="156" spans="1:533" s="39" customFormat="1" ht="18.75" x14ac:dyDescent="0.25">
      <c r="B156" s="50">
        <v>125000</v>
      </c>
      <c r="C156" s="41" t="s">
        <v>303</v>
      </c>
      <c r="D156" s="108" t="s">
        <v>304</v>
      </c>
      <c r="E156" s="107" t="s">
        <v>103</v>
      </c>
      <c r="F156" s="109">
        <v>1</v>
      </c>
      <c r="G156" s="58"/>
      <c r="H156" s="71"/>
      <c r="I156" s="104">
        <f t="shared" si="27"/>
        <v>0</v>
      </c>
      <c r="J156" s="98" t="s">
        <v>167</v>
      </c>
      <c r="K156" s="104" t="s">
        <v>168</v>
      </c>
      <c r="L156" s="105"/>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c r="CV156" s="38"/>
      <c r="CW156" s="38"/>
      <c r="CX156" s="38"/>
      <c r="CY156" s="38"/>
      <c r="CZ156" s="38"/>
      <c r="DA156" s="38"/>
      <c r="DB156" s="38"/>
      <c r="DC156" s="38"/>
      <c r="DD156" s="38"/>
      <c r="DE156" s="38"/>
      <c r="DF156" s="38"/>
      <c r="DG156" s="38"/>
      <c r="DH156" s="38"/>
      <c r="DI156" s="38"/>
      <c r="DJ156" s="38"/>
      <c r="DK156" s="38"/>
      <c r="DL156" s="38"/>
      <c r="DM156" s="38"/>
      <c r="DN156" s="38"/>
      <c r="DO156" s="38"/>
      <c r="DP156" s="38"/>
      <c r="DQ156" s="38"/>
      <c r="DR156" s="38"/>
      <c r="DS156" s="38"/>
      <c r="DT156" s="38"/>
      <c r="DU156" s="38"/>
      <c r="DV156" s="38"/>
      <c r="DW156" s="38"/>
      <c r="DX156" s="38"/>
      <c r="DY156" s="38"/>
      <c r="DZ156" s="38"/>
      <c r="EA156" s="38"/>
      <c r="EB156" s="38"/>
      <c r="EC156" s="38"/>
      <c r="ED156" s="38"/>
      <c r="EE156" s="38"/>
      <c r="EF156" s="38"/>
      <c r="EG156" s="38"/>
      <c r="EH156" s="38"/>
      <c r="EI156" s="38"/>
      <c r="EJ156" s="38"/>
      <c r="EK156" s="38"/>
      <c r="EL156" s="38"/>
      <c r="EM156" s="38"/>
      <c r="EN156" s="38"/>
      <c r="EO156" s="38"/>
      <c r="EP156" s="38"/>
      <c r="EQ156" s="38"/>
      <c r="ER156" s="38"/>
      <c r="ES156" s="38"/>
      <c r="ET156" s="38"/>
      <c r="EU156" s="38"/>
      <c r="EV156" s="38"/>
      <c r="EW156" s="38"/>
      <c r="EX156" s="38"/>
      <c r="EY156" s="38"/>
      <c r="EZ156" s="38"/>
      <c r="FA156" s="38"/>
      <c r="FB156" s="38"/>
      <c r="FC156" s="38"/>
      <c r="FD156" s="38"/>
      <c r="FE156" s="38"/>
      <c r="FF156" s="38"/>
      <c r="FG156" s="38"/>
      <c r="FH156" s="38"/>
      <c r="FI156" s="38"/>
      <c r="FJ156" s="38"/>
      <c r="FK156" s="38"/>
      <c r="FL156" s="38"/>
      <c r="FM156" s="38"/>
      <c r="FN156" s="38"/>
      <c r="FO156" s="38"/>
      <c r="FP156" s="38"/>
      <c r="FQ156" s="38"/>
      <c r="FR156" s="38"/>
      <c r="FS156" s="38"/>
      <c r="FT156" s="38"/>
      <c r="FU156" s="38"/>
      <c r="FV156" s="38"/>
      <c r="FW156" s="38"/>
      <c r="FX156" s="38"/>
      <c r="FY156" s="38"/>
      <c r="FZ156" s="38"/>
      <c r="GA156" s="38"/>
      <c r="GB156" s="38"/>
      <c r="GC156" s="38"/>
      <c r="GD156" s="38"/>
      <c r="GE156" s="38"/>
      <c r="GF156" s="38"/>
      <c r="GG156" s="38"/>
      <c r="GH156" s="38"/>
      <c r="GI156" s="38"/>
      <c r="GJ156" s="38"/>
      <c r="GK156" s="38"/>
      <c r="GL156" s="38"/>
      <c r="GM156" s="38"/>
      <c r="GN156" s="38"/>
      <c r="GO156" s="38"/>
      <c r="GP156" s="38"/>
      <c r="GQ156" s="38"/>
      <c r="GR156" s="38"/>
      <c r="GS156" s="38"/>
      <c r="GT156" s="38"/>
      <c r="GU156" s="38"/>
      <c r="GV156" s="38"/>
      <c r="GW156" s="38"/>
      <c r="GX156" s="38"/>
      <c r="GY156" s="38"/>
      <c r="GZ156" s="38"/>
      <c r="HA156" s="38"/>
      <c r="HB156" s="38"/>
      <c r="HC156" s="38"/>
      <c r="HD156" s="38"/>
      <c r="HE156" s="38"/>
      <c r="HF156" s="38"/>
      <c r="HG156" s="38"/>
      <c r="HH156" s="38"/>
      <c r="HI156" s="38"/>
      <c r="HJ156" s="38"/>
      <c r="HK156" s="38"/>
      <c r="HL156" s="38"/>
      <c r="HM156" s="38"/>
      <c r="HN156" s="38"/>
      <c r="HO156" s="38"/>
      <c r="HP156" s="38"/>
      <c r="HQ156" s="38"/>
      <c r="HR156" s="38"/>
      <c r="HS156" s="38"/>
      <c r="HT156" s="38"/>
      <c r="HU156" s="38"/>
      <c r="HV156" s="38"/>
      <c r="HW156" s="38"/>
      <c r="HX156" s="38"/>
      <c r="HY156" s="38"/>
      <c r="HZ156" s="38"/>
      <c r="IA156" s="38"/>
      <c r="IB156" s="38"/>
      <c r="IC156" s="38"/>
      <c r="ID156" s="38"/>
      <c r="IE156" s="38"/>
      <c r="IF156" s="38"/>
      <c r="IG156" s="38"/>
      <c r="IH156" s="38"/>
      <c r="II156" s="38"/>
      <c r="IJ156" s="38"/>
      <c r="IK156" s="38"/>
      <c r="IL156" s="38"/>
      <c r="IM156" s="38"/>
      <c r="IN156" s="38"/>
      <c r="IO156" s="38"/>
      <c r="IP156" s="38"/>
      <c r="IQ156" s="38"/>
      <c r="IR156" s="38"/>
      <c r="IS156" s="38"/>
      <c r="IT156" s="38"/>
      <c r="IU156" s="38"/>
      <c r="IV156" s="38"/>
      <c r="IW156" s="38"/>
      <c r="IX156" s="38"/>
      <c r="IY156" s="38"/>
      <c r="IZ156" s="38"/>
      <c r="JA156" s="38"/>
      <c r="JB156" s="38"/>
      <c r="JC156" s="38"/>
      <c r="JD156" s="38"/>
      <c r="JE156" s="38"/>
      <c r="JF156" s="38"/>
      <c r="JG156" s="38"/>
      <c r="JH156" s="38"/>
      <c r="JI156" s="38"/>
      <c r="JJ156" s="38"/>
      <c r="JK156" s="38"/>
      <c r="JL156" s="38"/>
      <c r="JM156" s="38"/>
      <c r="JN156" s="38"/>
      <c r="JO156" s="38"/>
      <c r="JP156" s="38"/>
      <c r="JQ156" s="38"/>
      <c r="JR156" s="38"/>
      <c r="JS156" s="38"/>
      <c r="JT156" s="38"/>
      <c r="JU156" s="38"/>
      <c r="JV156" s="38"/>
      <c r="JW156" s="38"/>
      <c r="JX156" s="38"/>
      <c r="JY156" s="38"/>
      <c r="JZ156" s="38"/>
      <c r="KA156" s="38"/>
      <c r="KB156" s="38"/>
      <c r="KC156" s="38"/>
      <c r="KD156" s="38"/>
      <c r="KE156" s="38"/>
      <c r="KF156" s="38"/>
      <c r="KG156" s="38"/>
      <c r="KH156" s="38"/>
      <c r="KI156" s="38"/>
      <c r="KJ156" s="38"/>
      <c r="KK156" s="38"/>
      <c r="KL156" s="38"/>
      <c r="KM156" s="38"/>
      <c r="KN156" s="38"/>
      <c r="KO156" s="38"/>
      <c r="KP156" s="38"/>
      <c r="KQ156" s="38"/>
      <c r="KR156" s="38"/>
      <c r="KS156" s="38"/>
      <c r="KT156" s="38"/>
      <c r="KU156" s="38"/>
      <c r="KV156" s="38"/>
      <c r="KW156" s="38"/>
      <c r="KX156" s="38"/>
      <c r="KY156" s="38"/>
      <c r="KZ156" s="38"/>
      <c r="LA156" s="38"/>
      <c r="LB156" s="38"/>
      <c r="LC156" s="38"/>
      <c r="LD156" s="38"/>
      <c r="LE156" s="38"/>
      <c r="LF156" s="38"/>
      <c r="LG156" s="38"/>
      <c r="LH156" s="38"/>
      <c r="LI156" s="38"/>
      <c r="LJ156" s="38"/>
      <c r="LK156" s="38"/>
      <c r="LL156" s="38"/>
      <c r="LM156" s="38"/>
      <c r="LN156" s="38"/>
      <c r="LO156" s="38"/>
      <c r="LP156" s="38"/>
      <c r="LQ156" s="38"/>
      <c r="LR156" s="38"/>
      <c r="LS156" s="38"/>
      <c r="LT156" s="38"/>
      <c r="LU156" s="38"/>
      <c r="LV156" s="38"/>
      <c r="LW156" s="38"/>
      <c r="LX156" s="38"/>
      <c r="LY156" s="38"/>
      <c r="LZ156" s="38"/>
      <c r="MA156" s="38"/>
      <c r="MB156" s="38"/>
      <c r="MC156" s="38"/>
      <c r="MD156" s="38"/>
      <c r="ME156" s="38"/>
      <c r="MF156" s="38"/>
      <c r="MG156" s="38"/>
      <c r="MH156" s="38"/>
      <c r="MI156" s="38"/>
      <c r="MJ156" s="38"/>
      <c r="MK156" s="38"/>
      <c r="ML156" s="38"/>
      <c r="MM156" s="38"/>
      <c r="MN156" s="38"/>
      <c r="MO156" s="38"/>
      <c r="MP156" s="38"/>
      <c r="MQ156" s="38"/>
      <c r="MR156" s="38"/>
      <c r="MS156" s="38"/>
      <c r="MT156" s="38"/>
      <c r="MU156" s="38"/>
      <c r="MV156" s="38"/>
      <c r="MW156" s="38"/>
      <c r="MX156" s="38"/>
      <c r="MY156" s="38"/>
      <c r="MZ156" s="38"/>
      <c r="NA156" s="38"/>
      <c r="NB156" s="38"/>
      <c r="NC156" s="38"/>
      <c r="ND156" s="38"/>
      <c r="NE156" s="38"/>
      <c r="NF156" s="38"/>
      <c r="NG156" s="38"/>
      <c r="NH156" s="38"/>
      <c r="NI156" s="38"/>
      <c r="NJ156" s="38"/>
      <c r="NK156" s="38"/>
      <c r="NL156" s="38"/>
      <c r="NM156" s="38"/>
      <c r="NN156" s="38"/>
      <c r="NO156" s="38"/>
      <c r="NP156" s="38"/>
      <c r="NQ156" s="38"/>
      <c r="NR156" s="38"/>
      <c r="NS156" s="38"/>
      <c r="NT156" s="38"/>
      <c r="NU156" s="38"/>
      <c r="NV156" s="38"/>
      <c r="NW156" s="38"/>
      <c r="NX156" s="38"/>
      <c r="NY156" s="38"/>
      <c r="NZ156" s="38"/>
      <c r="OA156" s="38"/>
      <c r="OB156" s="38"/>
      <c r="OC156" s="38"/>
      <c r="OD156" s="38"/>
      <c r="OE156" s="38"/>
      <c r="OF156" s="38"/>
      <c r="OG156" s="38"/>
      <c r="OH156" s="38"/>
      <c r="OI156" s="38"/>
      <c r="OJ156" s="38"/>
      <c r="OK156" s="38"/>
      <c r="OL156" s="38"/>
      <c r="OM156" s="38"/>
      <c r="ON156" s="38"/>
      <c r="OO156" s="38"/>
      <c r="OP156" s="38"/>
      <c r="OQ156" s="38"/>
      <c r="OR156" s="38"/>
      <c r="OS156" s="38"/>
      <c r="OT156" s="38"/>
      <c r="OU156" s="38"/>
      <c r="OV156" s="38"/>
      <c r="OW156" s="38"/>
      <c r="OX156" s="38"/>
      <c r="OY156" s="38"/>
      <c r="OZ156" s="38"/>
      <c r="PA156" s="38"/>
      <c r="PB156" s="38"/>
      <c r="PC156" s="38"/>
      <c r="PD156" s="38"/>
      <c r="PE156" s="38"/>
      <c r="PF156" s="38"/>
      <c r="PG156" s="38"/>
      <c r="PH156" s="38"/>
      <c r="PI156" s="38"/>
      <c r="PJ156" s="38"/>
      <c r="PK156" s="38"/>
      <c r="PL156" s="38"/>
      <c r="PM156" s="38"/>
      <c r="PN156" s="38"/>
      <c r="PO156" s="38"/>
      <c r="PP156" s="38"/>
      <c r="PQ156" s="38"/>
      <c r="PR156" s="38"/>
      <c r="PS156" s="38"/>
      <c r="PT156" s="38"/>
      <c r="PU156" s="38"/>
      <c r="PV156" s="38"/>
      <c r="PW156" s="38"/>
      <c r="PX156" s="38"/>
      <c r="PY156" s="38"/>
      <c r="PZ156" s="38"/>
      <c r="QA156" s="38"/>
      <c r="QB156" s="38"/>
      <c r="QC156" s="38"/>
      <c r="QD156" s="38"/>
      <c r="QE156" s="38"/>
      <c r="QF156" s="38"/>
      <c r="QG156" s="38"/>
      <c r="QH156" s="38"/>
      <c r="QI156" s="38"/>
      <c r="QJ156" s="38"/>
      <c r="QK156" s="38"/>
      <c r="QL156" s="38"/>
      <c r="QM156" s="38"/>
      <c r="QN156" s="38"/>
      <c r="QO156" s="38"/>
      <c r="QP156" s="38"/>
      <c r="QQ156" s="38"/>
      <c r="QR156" s="38"/>
      <c r="QS156" s="38"/>
      <c r="QT156" s="38"/>
      <c r="QU156" s="38"/>
      <c r="QV156" s="38"/>
      <c r="QW156" s="38"/>
      <c r="QX156" s="38"/>
      <c r="QY156" s="38"/>
      <c r="QZ156" s="38"/>
      <c r="RA156" s="38"/>
      <c r="RB156" s="38"/>
      <c r="RC156" s="38"/>
      <c r="RD156" s="38"/>
      <c r="RE156" s="38"/>
      <c r="RF156" s="38"/>
      <c r="RG156" s="38"/>
      <c r="RH156" s="38"/>
      <c r="RI156" s="38"/>
      <c r="RJ156" s="38"/>
      <c r="RK156" s="38"/>
      <c r="RL156" s="38"/>
      <c r="RM156" s="38"/>
      <c r="RN156" s="38"/>
      <c r="RO156" s="38"/>
      <c r="RP156" s="38"/>
      <c r="RQ156" s="38"/>
      <c r="RR156" s="38"/>
      <c r="RS156" s="38"/>
      <c r="RT156" s="38"/>
      <c r="RU156" s="38"/>
      <c r="RV156" s="38"/>
      <c r="RW156" s="38"/>
      <c r="RX156" s="38"/>
      <c r="RY156" s="38"/>
      <c r="RZ156" s="38"/>
      <c r="SA156" s="38"/>
      <c r="SB156" s="38"/>
      <c r="SC156" s="38"/>
      <c r="SD156" s="38"/>
      <c r="SE156" s="38"/>
      <c r="SF156" s="38"/>
      <c r="SG156" s="38"/>
      <c r="SH156" s="38"/>
      <c r="SI156" s="38"/>
      <c r="SJ156" s="38"/>
      <c r="SK156" s="38"/>
      <c r="SL156" s="38"/>
      <c r="SM156" s="38"/>
      <c r="SN156" s="38"/>
      <c r="SO156" s="38"/>
      <c r="SP156" s="38"/>
      <c r="SQ156" s="38"/>
      <c r="SR156" s="38"/>
      <c r="SS156" s="38"/>
      <c r="ST156" s="38"/>
      <c r="SU156" s="38"/>
      <c r="SV156" s="38"/>
      <c r="SW156" s="38"/>
      <c r="SX156" s="38"/>
      <c r="SY156" s="38"/>
      <c r="SZ156" s="38"/>
      <c r="TA156" s="38"/>
      <c r="TB156" s="38"/>
      <c r="TC156" s="38"/>
      <c r="TD156" s="38"/>
      <c r="TE156" s="38"/>
      <c r="TF156" s="38"/>
      <c r="TG156" s="38"/>
      <c r="TH156" s="38"/>
      <c r="TI156" s="38"/>
      <c r="TJ156" s="38"/>
      <c r="TK156" s="38"/>
      <c r="TL156" s="38"/>
      <c r="TM156" s="38"/>
    </row>
    <row r="157" spans="1:533" s="39" customFormat="1" ht="18.75" x14ac:dyDescent="0.25">
      <c r="B157" s="50">
        <v>125000</v>
      </c>
      <c r="C157" s="41" t="s">
        <v>305</v>
      </c>
      <c r="D157" s="108" t="s">
        <v>306</v>
      </c>
      <c r="E157" s="107" t="s">
        <v>103</v>
      </c>
      <c r="F157" s="109">
        <v>2</v>
      </c>
      <c r="G157" s="58"/>
      <c r="H157" s="71"/>
      <c r="I157" s="104">
        <f t="shared" si="27"/>
        <v>0</v>
      </c>
      <c r="J157" s="98" t="s">
        <v>167</v>
      </c>
      <c r="K157" s="104" t="s">
        <v>168</v>
      </c>
      <c r="L157" s="105"/>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c r="CD157" s="38"/>
      <c r="CE157" s="38"/>
      <c r="CF157" s="38"/>
      <c r="CG157" s="38"/>
      <c r="CH157" s="38"/>
      <c r="CI157" s="38"/>
      <c r="CJ157" s="38"/>
      <c r="CK157" s="38"/>
      <c r="CL157" s="38"/>
      <c r="CM157" s="38"/>
      <c r="CN157" s="38"/>
      <c r="CO157" s="38"/>
      <c r="CP157" s="38"/>
      <c r="CQ157" s="38"/>
      <c r="CR157" s="38"/>
      <c r="CS157" s="38"/>
      <c r="CT157" s="38"/>
      <c r="CU157" s="38"/>
      <c r="CV157" s="38"/>
      <c r="CW157" s="38"/>
      <c r="CX157" s="38"/>
      <c r="CY157" s="38"/>
      <c r="CZ157" s="38"/>
      <c r="DA157" s="38"/>
      <c r="DB157" s="38"/>
      <c r="DC157" s="38"/>
      <c r="DD157" s="38"/>
      <c r="DE157" s="38"/>
      <c r="DF157" s="38"/>
      <c r="DG157" s="38"/>
      <c r="DH157" s="38"/>
      <c r="DI157" s="38"/>
      <c r="DJ157" s="38"/>
      <c r="DK157" s="38"/>
      <c r="DL157" s="38"/>
      <c r="DM157" s="38"/>
      <c r="DN157" s="38"/>
      <c r="DO157" s="38"/>
      <c r="DP157" s="38"/>
      <c r="DQ157" s="38"/>
      <c r="DR157" s="38"/>
      <c r="DS157" s="38"/>
      <c r="DT157" s="38"/>
      <c r="DU157" s="38"/>
      <c r="DV157" s="38"/>
      <c r="DW157" s="38"/>
      <c r="DX157" s="38"/>
      <c r="DY157" s="38"/>
      <c r="DZ157" s="38"/>
      <c r="EA157" s="38"/>
      <c r="EB157" s="38"/>
      <c r="EC157" s="38"/>
      <c r="ED157" s="38"/>
      <c r="EE157" s="38"/>
      <c r="EF157" s="38"/>
      <c r="EG157" s="38"/>
      <c r="EH157" s="38"/>
      <c r="EI157" s="38"/>
      <c r="EJ157" s="38"/>
      <c r="EK157" s="38"/>
      <c r="EL157" s="38"/>
      <c r="EM157" s="38"/>
      <c r="EN157" s="38"/>
      <c r="EO157" s="38"/>
      <c r="EP157" s="38"/>
      <c r="EQ157" s="38"/>
      <c r="ER157" s="38"/>
      <c r="ES157" s="38"/>
      <c r="ET157" s="38"/>
      <c r="EU157" s="38"/>
      <c r="EV157" s="38"/>
      <c r="EW157" s="38"/>
      <c r="EX157" s="38"/>
      <c r="EY157" s="38"/>
      <c r="EZ157" s="38"/>
      <c r="FA157" s="38"/>
      <c r="FB157" s="38"/>
      <c r="FC157" s="38"/>
      <c r="FD157" s="38"/>
      <c r="FE157" s="38"/>
      <c r="FF157" s="38"/>
      <c r="FG157" s="38"/>
      <c r="FH157" s="38"/>
      <c r="FI157" s="38"/>
      <c r="FJ157" s="38"/>
      <c r="FK157" s="38"/>
      <c r="FL157" s="38"/>
      <c r="FM157" s="38"/>
      <c r="FN157" s="38"/>
      <c r="FO157" s="38"/>
      <c r="FP157" s="38"/>
      <c r="FQ157" s="38"/>
      <c r="FR157" s="38"/>
      <c r="FS157" s="38"/>
      <c r="FT157" s="38"/>
      <c r="FU157" s="38"/>
      <c r="FV157" s="38"/>
      <c r="FW157" s="38"/>
      <c r="FX157" s="38"/>
      <c r="FY157" s="38"/>
      <c r="FZ157" s="38"/>
      <c r="GA157" s="38"/>
      <c r="GB157" s="38"/>
      <c r="GC157" s="38"/>
      <c r="GD157" s="38"/>
      <c r="GE157" s="38"/>
      <c r="GF157" s="38"/>
      <c r="GG157" s="38"/>
      <c r="GH157" s="38"/>
      <c r="GI157" s="38"/>
      <c r="GJ157" s="38"/>
      <c r="GK157" s="38"/>
      <c r="GL157" s="38"/>
      <c r="GM157" s="38"/>
      <c r="GN157" s="38"/>
      <c r="GO157" s="38"/>
      <c r="GP157" s="38"/>
      <c r="GQ157" s="38"/>
      <c r="GR157" s="38"/>
      <c r="GS157" s="38"/>
      <c r="GT157" s="38"/>
      <c r="GU157" s="38"/>
      <c r="GV157" s="38"/>
      <c r="GW157" s="38"/>
      <c r="GX157" s="38"/>
      <c r="GY157" s="38"/>
      <c r="GZ157" s="38"/>
      <c r="HA157" s="38"/>
      <c r="HB157" s="38"/>
      <c r="HC157" s="38"/>
      <c r="HD157" s="38"/>
      <c r="HE157" s="38"/>
      <c r="HF157" s="38"/>
      <c r="HG157" s="38"/>
      <c r="HH157" s="38"/>
      <c r="HI157" s="38"/>
      <c r="HJ157" s="38"/>
      <c r="HK157" s="38"/>
      <c r="HL157" s="38"/>
      <c r="HM157" s="38"/>
      <c r="HN157" s="38"/>
      <c r="HO157" s="38"/>
      <c r="HP157" s="38"/>
      <c r="HQ157" s="38"/>
      <c r="HR157" s="38"/>
      <c r="HS157" s="38"/>
      <c r="HT157" s="38"/>
      <c r="HU157" s="38"/>
      <c r="HV157" s="38"/>
      <c r="HW157" s="38"/>
      <c r="HX157" s="38"/>
      <c r="HY157" s="38"/>
      <c r="HZ157" s="38"/>
      <c r="IA157" s="38"/>
      <c r="IB157" s="38"/>
      <c r="IC157" s="38"/>
      <c r="ID157" s="38"/>
      <c r="IE157" s="38"/>
      <c r="IF157" s="38"/>
      <c r="IG157" s="38"/>
      <c r="IH157" s="38"/>
      <c r="II157" s="38"/>
      <c r="IJ157" s="38"/>
      <c r="IK157" s="38"/>
      <c r="IL157" s="38"/>
      <c r="IM157" s="38"/>
      <c r="IN157" s="38"/>
      <c r="IO157" s="38"/>
      <c r="IP157" s="38"/>
      <c r="IQ157" s="38"/>
      <c r="IR157" s="38"/>
      <c r="IS157" s="38"/>
      <c r="IT157" s="38"/>
      <c r="IU157" s="38"/>
      <c r="IV157" s="38"/>
      <c r="IW157" s="38"/>
      <c r="IX157" s="38"/>
      <c r="IY157" s="38"/>
      <c r="IZ157" s="38"/>
      <c r="JA157" s="38"/>
      <c r="JB157" s="38"/>
      <c r="JC157" s="38"/>
      <c r="JD157" s="38"/>
      <c r="JE157" s="38"/>
      <c r="JF157" s="38"/>
      <c r="JG157" s="38"/>
      <c r="JH157" s="38"/>
      <c r="JI157" s="38"/>
      <c r="JJ157" s="38"/>
      <c r="JK157" s="38"/>
      <c r="JL157" s="38"/>
      <c r="JM157" s="38"/>
      <c r="JN157" s="38"/>
      <c r="JO157" s="38"/>
      <c r="JP157" s="38"/>
      <c r="JQ157" s="38"/>
      <c r="JR157" s="38"/>
      <c r="JS157" s="38"/>
      <c r="JT157" s="38"/>
      <c r="JU157" s="38"/>
      <c r="JV157" s="38"/>
      <c r="JW157" s="38"/>
      <c r="JX157" s="38"/>
      <c r="JY157" s="38"/>
      <c r="JZ157" s="38"/>
      <c r="KA157" s="38"/>
      <c r="KB157" s="38"/>
      <c r="KC157" s="38"/>
      <c r="KD157" s="38"/>
      <c r="KE157" s="38"/>
      <c r="KF157" s="38"/>
      <c r="KG157" s="38"/>
      <c r="KH157" s="38"/>
      <c r="KI157" s="38"/>
      <c r="KJ157" s="38"/>
      <c r="KK157" s="38"/>
      <c r="KL157" s="38"/>
      <c r="KM157" s="38"/>
      <c r="KN157" s="38"/>
      <c r="KO157" s="38"/>
      <c r="KP157" s="38"/>
      <c r="KQ157" s="38"/>
      <c r="KR157" s="38"/>
      <c r="KS157" s="38"/>
      <c r="KT157" s="38"/>
      <c r="KU157" s="38"/>
      <c r="KV157" s="38"/>
      <c r="KW157" s="38"/>
      <c r="KX157" s="38"/>
      <c r="KY157" s="38"/>
      <c r="KZ157" s="38"/>
      <c r="LA157" s="38"/>
      <c r="LB157" s="38"/>
      <c r="LC157" s="38"/>
      <c r="LD157" s="38"/>
      <c r="LE157" s="38"/>
      <c r="LF157" s="38"/>
      <c r="LG157" s="38"/>
      <c r="LH157" s="38"/>
      <c r="LI157" s="38"/>
      <c r="LJ157" s="38"/>
      <c r="LK157" s="38"/>
      <c r="LL157" s="38"/>
      <c r="LM157" s="38"/>
      <c r="LN157" s="38"/>
      <c r="LO157" s="38"/>
      <c r="LP157" s="38"/>
      <c r="LQ157" s="38"/>
      <c r="LR157" s="38"/>
      <c r="LS157" s="38"/>
      <c r="LT157" s="38"/>
      <c r="LU157" s="38"/>
      <c r="LV157" s="38"/>
      <c r="LW157" s="38"/>
      <c r="LX157" s="38"/>
      <c r="LY157" s="38"/>
      <c r="LZ157" s="38"/>
      <c r="MA157" s="38"/>
      <c r="MB157" s="38"/>
      <c r="MC157" s="38"/>
      <c r="MD157" s="38"/>
      <c r="ME157" s="38"/>
      <c r="MF157" s="38"/>
      <c r="MG157" s="38"/>
      <c r="MH157" s="38"/>
      <c r="MI157" s="38"/>
      <c r="MJ157" s="38"/>
      <c r="MK157" s="38"/>
      <c r="ML157" s="38"/>
      <c r="MM157" s="38"/>
      <c r="MN157" s="38"/>
      <c r="MO157" s="38"/>
      <c r="MP157" s="38"/>
      <c r="MQ157" s="38"/>
      <c r="MR157" s="38"/>
      <c r="MS157" s="38"/>
      <c r="MT157" s="38"/>
      <c r="MU157" s="38"/>
      <c r="MV157" s="38"/>
      <c r="MW157" s="38"/>
      <c r="MX157" s="38"/>
      <c r="MY157" s="38"/>
      <c r="MZ157" s="38"/>
      <c r="NA157" s="38"/>
      <c r="NB157" s="38"/>
      <c r="NC157" s="38"/>
      <c r="ND157" s="38"/>
      <c r="NE157" s="38"/>
      <c r="NF157" s="38"/>
      <c r="NG157" s="38"/>
      <c r="NH157" s="38"/>
      <c r="NI157" s="38"/>
      <c r="NJ157" s="38"/>
      <c r="NK157" s="38"/>
      <c r="NL157" s="38"/>
      <c r="NM157" s="38"/>
      <c r="NN157" s="38"/>
      <c r="NO157" s="38"/>
      <c r="NP157" s="38"/>
      <c r="NQ157" s="38"/>
      <c r="NR157" s="38"/>
      <c r="NS157" s="38"/>
      <c r="NT157" s="38"/>
      <c r="NU157" s="38"/>
      <c r="NV157" s="38"/>
      <c r="NW157" s="38"/>
      <c r="NX157" s="38"/>
      <c r="NY157" s="38"/>
      <c r="NZ157" s="38"/>
      <c r="OA157" s="38"/>
      <c r="OB157" s="38"/>
      <c r="OC157" s="38"/>
      <c r="OD157" s="38"/>
      <c r="OE157" s="38"/>
      <c r="OF157" s="38"/>
      <c r="OG157" s="38"/>
      <c r="OH157" s="38"/>
      <c r="OI157" s="38"/>
      <c r="OJ157" s="38"/>
      <c r="OK157" s="38"/>
      <c r="OL157" s="38"/>
      <c r="OM157" s="38"/>
      <c r="ON157" s="38"/>
      <c r="OO157" s="38"/>
      <c r="OP157" s="38"/>
      <c r="OQ157" s="38"/>
      <c r="OR157" s="38"/>
      <c r="OS157" s="38"/>
      <c r="OT157" s="38"/>
      <c r="OU157" s="38"/>
      <c r="OV157" s="38"/>
      <c r="OW157" s="38"/>
      <c r="OX157" s="38"/>
      <c r="OY157" s="38"/>
      <c r="OZ157" s="38"/>
      <c r="PA157" s="38"/>
      <c r="PB157" s="38"/>
      <c r="PC157" s="38"/>
      <c r="PD157" s="38"/>
      <c r="PE157" s="38"/>
      <c r="PF157" s="38"/>
      <c r="PG157" s="38"/>
      <c r="PH157" s="38"/>
      <c r="PI157" s="38"/>
      <c r="PJ157" s="38"/>
      <c r="PK157" s="38"/>
      <c r="PL157" s="38"/>
      <c r="PM157" s="38"/>
      <c r="PN157" s="38"/>
      <c r="PO157" s="38"/>
      <c r="PP157" s="38"/>
      <c r="PQ157" s="38"/>
      <c r="PR157" s="38"/>
      <c r="PS157" s="38"/>
      <c r="PT157" s="38"/>
      <c r="PU157" s="38"/>
      <c r="PV157" s="38"/>
      <c r="PW157" s="38"/>
      <c r="PX157" s="38"/>
      <c r="PY157" s="38"/>
      <c r="PZ157" s="38"/>
      <c r="QA157" s="38"/>
      <c r="QB157" s="38"/>
      <c r="QC157" s="38"/>
      <c r="QD157" s="38"/>
      <c r="QE157" s="38"/>
      <c r="QF157" s="38"/>
      <c r="QG157" s="38"/>
      <c r="QH157" s="38"/>
      <c r="QI157" s="38"/>
      <c r="QJ157" s="38"/>
      <c r="QK157" s="38"/>
      <c r="QL157" s="38"/>
      <c r="QM157" s="38"/>
      <c r="QN157" s="38"/>
      <c r="QO157" s="38"/>
      <c r="QP157" s="38"/>
      <c r="QQ157" s="38"/>
      <c r="QR157" s="38"/>
      <c r="QS157" s="38"/>
      <c r="QT157" s="38"/>
      <c r="QU157" s="38"/>
      <c r="QV157" s="38"/>
      <c r="QW157" s="38"/>
      <c r="QX157" s="38"/>
      <c r="QY157" s="38"/>
      <c r="QZ157" s="38"/>
      <c r="RA157" s="38"/>
      <c r="RB157" s="38"/>
      <c r="RC157" s="38"/>
      <c r="RD157" s="38"/>
      <c r="RE157" s="38"/>
      <c r="RF157" s="38"/>
      <c r="RG157" s="38"/>
      <c r="RH157" s="38"/>
      <c r="RI157" s="38"/>
      <c r="RJ157" s="38"/>
      <c r="RK157" s="38"/>
      <c r="RL157" s="38"/>
      <c r="RM157" s="38"/>
      <c r="RN157" s="38"/>
      <c r="RO157" s="38"/>
      <c r="RP157" s="38"/>
      <c r="RQ157" s="38"/>
      <c r="RR157" s="38"/>
      <c r="RS157" s="38"/>
      <c r="RT157" s="38"/>
      <c r="RU157" s="38"/>
      <c r="RV157" s="38"/>
      <c r="RW157" s="38"/>
      <c r="RX157" s="38"/>
      <c r="RY157" s="38"/>
      <c r="RZ157" s="38"/>
      <c r="SA157" s="38"/>
      <c r="SB157" s="38"/>
      <c r="SC157" s="38"/>
      <c r="SD157" s="38"/>
      <c r="SE157" s="38"/>
      <c r="SF157" s="38"/>
      <c r="SG157" s="38"/>
      <c r="SH157" s="38"/>
      <c r="SI157" s="38"/>
      <c r="SJ157" s="38"/>
      <c r="SK157" s="38"/>
      <c r="SL157" s="38"/>
      <c r="SM157" s="38"/>
      <c r="SN157" s="38"/>
      <c r="SO157" s="38"/>
      <c r="SP157" s="38"/>
      <c r="SQ157" s="38"/>
      <c r="SR157" s="38"/>
      <c r="SS157" s="38"/>
      <c r="ST157" s="38"/>
      <c r="SU157" s="38"/>
      <c r="SV157" s="38"/>
      <c r="SW157" s="38"/>
      <c r="SX157" s="38"/>
      <c r="SY157" s="38"/>
      <c r="SZ157" s="38"/>
      <c r="TA157" s="38"/>
      <c r="TB157" s="38"/>
      <c r="TC157" s="38"/>
      <c r="TD157" s="38"/>
      <c r="TE157" s="38"/>
      <c r="TF157" s="38"/>
      <c r="TG157" s="38"/>
      <c r="TH157" s="38"/>
      <c r="TI157" s="38"/>
      <c r="TJ157" s="38"/>
      <c r="TK157" s="38"/>
      <c r="TL157" s="38"/>
      <c r="TM157" s="38"/>
    </row>
    <row r="158" spans="1:533" s="39" customFormat="1" ht="18.75" x14ac:dyDescent="0.25">
      <c r="B158" s="50">
        <v>125000</v>
      </c>
      <c r="C158" s="41" t="s">
        <v>307</v>
      </c>
      <c r="D158" s="108" t="s">
        <v>308</v>
      </c>
      <c r="E158" s="107" t="s">
        <v>103</v>
      </c>
      <c r="F158" s="109">
        <v>1</v>
      </c>
      <c r="G158" s="58"/>
      <c r="H158" s="71"/>
      <c r="I158" s="104">
        <f t="shared" si="27"/>
        <v>0</v>
      </c>
      <c r="J158" s="98" t="s">
        <v>167</v>
      </c>
      <c r="K158" s="104" t="s">
        <v>168</v>
      </c>
      <c r="L158" s="105"/>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c r="CD158" s="38"/>
      <c r="CE158" s="38"/>
      <c r="CF158" s="38"/>
      <c r="CG158" s="38"/>
      <c r="CH158" s="38"/>
      <c r="CI158" s="38"/>
      <c r="CJ158" s="38"/>
      <c r="CK158" s="38"/>
      <c r="CL158" s="38"/>
      <c r="CM158" s="38"/>
      <c r="CN158" s="38"/>
      <c r="CO158" s="38"/>
      <c r="CP158" s="38"/>
      <c r="CQ158" s="38"/>
      <c r="CR158" s="38"/>
      <c r="CS158" s="38"/>
      <c r="CT158" s="38"/>
      <c r="CU158" s="38"/>
      <c r="CV158" s="38"/>
      <c r="CW158" s="38"/>
      <c r="CX158" s="38"/>
      <c r="CY158" s="38"/>
      <c r="CZ158" s="38"/>
      <c r="DA158" s="38"/>
      <c r="DB158" s="38"/>
      <c r="DC158" s="38"/>
      <c r="DD158" s="38"/>
      <c r="DE158" s="38"/>
      <c r="DF158" s="38"/>
      <c r="DG158" s="38"/>
      <c r="DH158" s="38"/>
      <c r="DI158" s="38"/>
      <c r="DJ158" s="38"/>
      <c r="DK158" s="38"/>
      <c r="DL158" s="38"/>
      <c r="DM158" s="38"/>
      <c r="DN158" s="38"/>
      <c r="DO158" s="38"/>
      <c r="DP158" s="38"/>
      <c r="DQ158" s="38"/>
      <c r="DR158" s="38"/>
      <c r="DS158" s="38"/>
      <c r="DT158" s="38"/>
      <c r="DU158" s="38"/>
      <c r="DV158" s="38"/>
      <c r="DW158" s="38"/>
      <c r="DX158" s="38"/>
      <c r="DY158" s="38"/>
      <c r="DZ158" s="38"/>
      <c r="EA158" s="38"/>
      <c r="EB158" s="38"/>
      <c r="EC158" s="38"/>
      <c r="ED158" s="38"/>
      <c r="EE158" s="38"/>
      <c r="EF158" s="38"/>
      <c r="EG158" s="38"/>
      <c r="EH158" s="38"/>
      <c r="EI158" s="38"/>
      <c r="EJ158" s="38"/>
      <c r="EK158" s="38"/>
      <c r="EL158" s="38"/>
      <c r="EM158" s="38"/>
      <c r="EN158" s="38"/>
      <c r="EO158" s="38"/>
      <c r="EP158" s="38"/>
      <c r="EQ158" s="38"/>
      <c r="ER158" s="38"/>
      <c r="ES158" s="38"/>
      <c r="ET158" s="38"/>
      <c r="EU158" s="38"/>
      <c r="EV158" s="38"/>
      <c r="EW158" s="38"/>
      <c r="EX158" s="38"/>
      <c r="EY158" s="38"/>
      <c r="EZ158" s="38"/>
      <c r="FA158" s="38"/>
      <c r="FB158" s="38"/>
      <c r="FC158" s="38"/>
      <c r="FD158" s="38"/>
      <c r="FE158" s="38"/>
      <c r="FF158" s="38"/>
      <c r="FG158" s="38"/>
      <c r="FH158" s="38"/>
      <c r="FI158" s="38"/>
      <c r="FJ158" s="38"/>
      <c r="FK158" s="38"/>
      <c r="FL158" s="38"/>
      <c r="FM158" s="38"/>
      <c r="FN158" s="38"/>
      <c r="FO158" s="38"/>
      <c r="FP158" s="38"/>
      <c r="FQ158" s="38"/>
      <c r="FR158" s="38"/>
      <c r="FS158" s="38"/>
      <c r="FT158" s="38"/>
      <c r="FU158" s="38"/>
      <c r="FV158" s="38"/>
      <c r="FW158" s="38"/>
      <c r="FX158" s="38"/>
      <c r="FY158" s="38"/>
      <c r="FZ158" s="38"/>
      <c r="GA158" s="38"/>
      <c r="GB158" s="38"/>
      <c r="GC158" s="38"/>
      <c r="GD158" s="38"/>
      <c r="GE158" s="38"/>
      <c r="GF158" s="38"/>
      <c r="GG158" s="38"/>
      <c r="GH158" s="38"/>
      <c r="GI158" s="38"/>
      <c r="GJ158" s="38"/>
      <c r="GK158" s="38"/>
      <c r="GL158" s="38"/>
      <c r="GM158" s="38"/>
      <c r="GN158" s="38"/>
      <c r="GO158" s="38"/>
      <c r="GP158" s="38"/>
      <c r="GQ158" s="38"/>
      <c r="GR158" s="38"/>
      <c r="GS158" s="38"/>
      <c r="GT158" s="38"/>
      <c r="GU158" s="38"/>
      <c r="GV158" s="38"/>
      <c r="GW158" s="38"/>
      <c r="GX158" s="38"/>
      <c r="GY158" s="38"/>
      <c r="GZ158" s="38"/>
      <c r="HA158" s="38"/>
      <c r="HB158" s="38"/>
      <c r="HC158" s="38"/>
      <c r="HD158" s="38"/>
      <c r="HE158" s="38"/>
      <c r="HF158" s="38"/>
      <c r="HG158" s="38"/>
      <c r="HH158" s="38"/>
      <c r="HI158" s="38"/>
      <c r="HJ158" s="38"/>
      <c r="HK158" s="38"/>
      <c r="HL158" s="38"/>
      <c r="HM158" s="38"/>
      <c r="HN158" s="38"/>
      <c r="HO158" s="38"/>
      <c r="HP158" s="38"/>
      <c r="HQ158" s="38"/>
      <c r="HR158" s="38"/>
      <c r="HS158" s="38"/>
      <c r="HT158" s="38"/>
      <c r="HU158" s="38"/>
      <c r="HV158" s="38"/>
      <c r="HW158" s="38"/>
      <c r="HX158" s="38"/>
      <c r="HY158" s="38"/>
      <c r="HZ158" s="38"/>
      <c r="IA158" s="38"/>
      <c r="IB158" s="38"/>
      <c r="IC158" s="38"/>
      <c r="ID158" s="38"/>
      <c r="IE158" s="38"/>
      <c r="IF158" s="38"/>
      <c r="IG158" s="38"/>
      <c r="IH158" s="38"/>
      <c r="II158" s="38"/>
      <c r="IJ158" s="38"/>
      <c r="IK158" s="38"/>
      <c r="IL158" s="38"/>
      <c r="IM158" s="38"/>
      <c r="IN158" s="38"/>
      <c r="IO158" s="38"/>
      <c r="IP158" s="38"/>
      <c r="IQ158" s="38"/>
      <c r="IR158" s="38"/>
      <c r="IS158" s="38"/>
      <c r="IT158" s="38"/>
      <c r="IU158" s="38"/>
      <c r="IV158" s="38"/>
      <c r="IW158" s="38"/>
      <c r="IX158" s="38"/>
      <c r="IY158" s="38"/>
      <c r="IZ158" s="38"/>
      <c r="JA158" s="38"/>
      <c r="JB158" s="38"/>
      <c r="JC158" s="38"/>
      <c r="JD158" s="38"/>
      <c r="JE158" s="38"/>
      <c r="JF158" s="38"/>
      <c r="JG158" s="38"/>
      <c r="JH158" s="38"/>
      <c r="JI158" s="38"/>
      <c r="JJ158" s="38"/>
      <c r="JK158" s="38"/>
      <c r="JL158" s="38"/>
      <c r="JM158" s="38"/>
      <c r="JN158" s="38"/>
      <c r="JO158" s="38"/>
      <c r="JP158" s="38"/>
      <c r="JQ158" s="38"/>
      <c r="JR158" s="38"/>
      <c r="JS158" s="38"/>
      <c r="JT158" s="38"/>
      <c r="JU158" s="38"/>
      <c r="JV158" s="38"/>
      <c r="JW158" s="38"/>
      <c r="JX158" s="38"/>
      <c r="JY158" s="38"/>
      <c r="JZ158" s="38"/>
      <c r="KA158" s="38"/>
      <c r="KB158" s="38"/>
      <c r="KC158" s="38"/>
      <c r="KD158" s="38"/>
      <c r="KE158" s="38"/>
      <c r="KF158" s="38"/>
      <c r="KG158" s="38"/>
      <c r="KH158" s="38"/>
      <c r="KI158" s="38"/>
      <c r="KJ158" s="38"/>
      <c r="KK158" s="38"/>
      <c r="KL158" s="38"/>
      <c r="KM158" s="38"/>
      <c r="KN158" s="38"/>
      <c r="KO158" s="38"/>
      <c r="KP158" s="38"/>
      <c r="KQ158" s="38"/>
      <c r="KR158" s="38"/>
      <c r="KS158" s="38"/>
      <c r="KT158" s="38"/>
      <c r="KU158" s="38"/>
      <c r="KV158" s="38"/>
      <c r="KW158" s="38"/>
      <c r="KX158" s="38"/>
      <c r="KY158" s="38"/>
      <c r="KZ158" s="38"/>
      <c r="LA158" s="38"/>
      <c r="LB158" s="38"/>
      <c r="LC158" s="38"/>
      <c r="LD158" s="38"/>
      <c r="LE158" s="38"/>
      <c r="LF158" s="38"/>
      <c r="LG158" s="38"/>
      <c r="LH158" s="38"/>
      <c r="LI158" s="38"/>
      <c r="LJ158" s="38"/>
      <c r="LK158" s="38"/>
      <c r="LL158" s="38"/>
      <c r="LM158" s="38"/>
      <c r="LN158" s="38"/>
      <c r="LO158" s="38"/>
      <c r="LP158" s="38"/>
      <c r="LQ158" s="38"/>
      <c r="LR158" s="38"/>
      <c r="LS158" s="38"/>
      <c r="LT158" s="38"/>
      <c r="LU158" s="38"/>
      <c r="LV158" s="38"/>
      <c r="LW158" s="38"/>
      <c r="LX158" s="38"/>
      <c r="LY158" s="38"/>
      <c r="LZ158" s="38"/>
      <c r="MA158" s="38"/>
      <c r="MB158" s="38"/>
      <c r="MC158" s="38"/>
      <c r="MD158" s="38"/>
      <c r="ME158" s="38"/>
      <c r="MF158" s="38"/>
      <c r="MG158" s="38"/>
      <c r="MH158" s="38"/>
      <c r="MI158" s="38"/>
      <c r="MJ158" s="38"/>
      <c r="MK158" s="38"/>
      <c r="ML158" s="38"/>
      <c r="MM158" s="38"/>
      <c r="MN158" s="38"/>
      <c r="MO158" s="38"/>
      <c r="MP158" s="38"/>
      <c r="MQ158" s="38"/>
      <c r="MR158" s="38"/>
      <c r="MS158" s="38"/>
      <c r="MT158" s="38"/>
      <c r="MU158" s="38"/>
      <c r="MV158" s="38"/>
      <c r="MW158" s="38"/>
      <c r="MX158" s="38"/>
      <c r="MY158" s="38"/>
      <c r="MZ158" s="38"/>
      <c r="NA158" s="38"/>
      <c r="NB158" s="38"/>
      <c r="NC158" s="38"/>
      <c r="ND158" s="38"/>
      <c r="NE158" s="38"/>
      <c r="NF158" s="38"/>
      <c r="NG158" s="38"/>
      <c r="NH158" s="38"/>
      <c r="NI158" s="38"/>
      <c r="NJ158" s="38"/>
      <c r="NK158" s="38"/>
      <c r="NL158" s="38"/>
      <c r="NM158" s="38"/>
      <c r="NN158" s="38"/>
      <c r="NO158" s="38"/>
      <c r="NP158" s="38"/>
      <c r="NQ158" s="38"/>
      <c r="NR158" s="38"/>
      <c r="NS158" s="38"/>
      <c r="NT158" s="38"/>
      <c r="NU158" s="38"/>
      <c r="NV158" s="38"/>
      <c r="NW158" s="38"/>
      <c r="NX158" s="38"/>
      <c r="NY158" s="38"/>
      <c r="NZ158" s="38"/>
      <c r="OA158" s="38"/>
      <c r="OB158" s="38"/>
      <c r="OC158" s="38"/>
      <c r="OD158" s="38"/>
      <c r="OE158" s="38"/>
      <c r="OF158" s="38"/>
      <c r="OG158" s="38"/>
      <c r="OH158" s="38"/>
      <c r="OI158" s="38"/>
      <c r="OJ158" s="38"/>
      <c r="OK158" s="38"/>
      <c r="OL158" s="38"/>
      <c r="OM158" s="38"/>
      <c r="ON158" s="38"/>
      <c r="OO158" s="38"/>
      <c r="OP158" s="38"/>
      <c r="OQ158" s="38"/>
      <c r="OR158" s="38"/>
      <c r="OS158" s="38"/>
      <c r="OT158" s="38"/>
      <c r="OU158" s="38"/>
      <c r="OV158" s="38"/>
      <c r="OW158" s="38"/>
      <c r="OX158" s="38"/>
      <c r="OY158" s="38"/>
      <c r="OZ158" s="38"/>
      <c r="PA158" s="38"/>
      <c r="PB158" s="38"/>
      <c r="PC158" s="38"/>
      <c r="PD158" s="38"/>
      <c r="PE158" s="38"/>
      <c r="PF158" s="38"/>
      <c r="PG158" s="38"/>
      <c r="PH158" s="38"/>
      <c r="PI158" s="38"/>
      <c r="PJ158" s="38"/>
      <c r="PK158" s="38"/>
      <c r="PL158" s="38"/>
      <c r="PM158" s="38"/>
      <c r="PN158" s="38"/>
      <c r="PO158" s="38"/>
      <c r="PP158" s="38"/>
      <c r="PQ158" s="38"/>
      <c r="PR158" s="38"/>
      <c r="PS158" s="38"/>
      <c r="PT158" s="38"/>
      <c r="PU158" s="38"/>
      <c r="PV158" s="38"/>
      <c r="PW158" s="38"/>
      <c r="PX158" s="38"/>
      <c r="PY158" s="38"/>
      <c r="PZ158" s="38"/>
      <c r="QA158" s="38"/>
      <c r="QB158" s="38"/>
      <c r="QC158" s="38"/>
      <c r="QD158" s="38"/>
      <c r="QE158" s="38"/>
      <c r="QF158" s="38"/>
      <c r="QG158" s="38"/>
      <c r="QH158" s="38"/>
      <c r="QI158" s="38"/>
      <c r="QJ158" s="38"/>
      <c r="QK158" s="38"/>
      <c r="QL158" s="38"/>
      <c r="QM158" s="38"/>
      <c r="QN158" s="38"/>
      <c r="QO158" s="38"/>
      <c r="QP158" s="38"/>
      <c r="QQ158" s="38"/>
      <c r="QR158" s="38"/>
      <c r="QS158" s="38"/>
      <c r="QT158" s="38"/>
      <c r="QU158" s="38"/>
      <c r="QV158" s="38"/>
      <c r="QW158" s="38"/>
      <c r="QX158" s="38"/>
      <c r="QY158" s="38"/>
      <c r="QZ158" s="38"/>
      <c r="RA158" s="38"/>
      <c r="RB158" s="38"/>
      <c r="RC158" s="38"/>
      <c r="RD158" s="38"/>
      <c r="RE158" s="38"/>
      <c r="RF158" s="38"/>
      <c r="RG158" s="38"/>
      <c r="RH158" s="38"/>
      <c r="RI158" s="38"/>
      <c r="RJ158" s="38"/>
      <c r="RK158" s="38"/>
      <c r="RL158" s="38"/>
      <c r="RM158" s="38"/>
      <c r="RN158" s="38"/>
      <c r="RO158" s="38"/>
      <c r="RP158" s="38"/>
      <c r="RQ158" s="38"/>
      <c r="RR158" s="38"/>
      <c r="RS158" s="38"/>
      <c r="RT158" s="38"/>
      <c r="RU158" s="38"/>
      <c r="RV158" s="38"/>
      <c r="RW158" s="38"/>
      <c r="RX158" s="38"/>
      <c r="RY158" s="38"/>
      <c r="RZ158" s="38"/>
      <c r="SA158" s="38"/>
      <c r="SB158" s="38"/>
      <c r="SC158" s="38"/>
      <c r="SD158" s="38"/>
      <c r="SE158" s="38"/>
      <c r="SF158" s="38"/>
      <c r="SG158" s="38"/>
      <c r="SH158" s="38"/>
      <c r="SI158" s="38"/>
      <c r="SJ158" s="38"/>
      <c r="SK158" s="38"/>
      <c r="SL158" s="38"/>
      <c r="SM158" s="38"/>
      <c r="SN158" s="38"/>
      <c r="SO158" s="38"/>
      <c r="SP158" s="38"/>
      <c r="SQ158" s="38"/>
      <c r="SR158" s="38"/>
      <c r="SS158" s="38"/>
      <c r="ST158" s="38"/>
      <c r="SU158" s="38"/>
      <c r="SV158" s="38"/>
      <c r="SW158" s="38"/>
      <c r="SX158" s="38"/>
      <c r="SY158" s="38"/>
      <c r="SZ158" s="38"/>
      <c r="TA158" s="38"/>
      <c r="TB158" s="38"/>
      <c r="TC158" s="38"/>
      <c r="TD158" s="38"/>
      <c r="TE158" s="38"/>
      <c r="TF158" s="38"/>
      <c r="TG158" s="38"/>
      <c r="TH158" s="38"/>
      <c r="TI158" s="38"/>
      <c r="TJ158" s="38"/>
      <c r="TK158" s="38"/>
      <c r="TL158" s="38"/>
      <c r="TM158" s="38"/>
    </row>
    <row r="159" spans="1:533" s="39" customFormat="1" ht="18.75" x14ac:dyDescent="0.25">
      <c r="B159" s="50">
        <v>125000</v>
      </c>
      <c r="C159" s="41" t="s">
        <v>309</v>
      </c>
      <c r="D159" s="108" t="s">
        <v>310</v>
      </c>
      <c r="E159" s="107" t="s">
        <v>103</v>
      </c>
      <c r="F159" s="109">
        <v>1</v>
      </c>
      <c r="G159" s="58"/>
      <c r="H159" s="71"/>
      <c r="I159" s="104">
        <f t="shared" si="27"/>
        <v>0</v>
      </c>
      <c r="J159" s="98" t="s">
        <v>167</v>
      </c>
      <c r="K159" s="104" t="s">
        <v>168</v>
      </c>
      <c r="L159" s="105"/>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c r="CD159" s="38"/>
      <c r="CE159" s="38"/>
      <c r="CF159" s="38"/>
      <c r="CG159" s="38"/>
      <c r="CH159" s="38"/>
      <c r="CI159" s="38"/>
      <c r="CJ159" s="38"/>
      <c r="CK159" s="38"/>
      <c r="CL159" s="38"/>
      <c r="CM159" s="38"/>
      <c r="CN159" s="38"/>
      <c r="CO159" s="38"/>
      <c r="CP159" s="38"/>
      <c r="CQ159" s="38"/>
      <c r="CR159" s="38"/>
      <c r="CS159" s="38"/>
      <c r="CT159" s="38"/>
      <c r="CU159" s="38"/>
      <c r="CV159" s="38"/>
      <c r="CW159" s="38"/>
      <c r="CX159" s="38"/>
      <c r="CY159" s="38"/>
      <c r="CZ159" s="38"/>
      <c r="DA159" s="38"/>
      <c r="DB159" s="38"/>
      <c r="DC159" s="38"/>
      <c r="DD159" s="38"/>
      <c r="DE159" s="38"/>
      <c r="DF159" s="38"/>
      <c r="DG159" s="38"/>
      <c r="DH159" s="38"/>
      <c r="DI159" s="38"/>
      <c r="DJ159" s="38"/>
      <c r="DK159" s="38"/>
      <c r="DL159" s="38"/>
      <c r="DM159" s="38"/>
      <c r="DN159" s="38"/>
      <c r="DO159" s="38"/>
      <c r="DP159" s="38"/>
      <c r="DQ159" s="38"/>
      <c r="DR159" s="38"/>
      <c r="DS159" s="38"/>
      <c r="DT159" s="38"/>
      <c r="DU159" s="38"/>
      <c r="DV159" s="38"/>
      <c r="DW159" s="38"/>
      <c r="DX159" s="38"/>
      <c r="DY159" s="38"/>
      <c r="DZ159" s="38"/>
      <c r="EA159" s="38"/>
      <c r="EB159" s="38"/>
      <c r="EC159" s="38"/>
      <c r="ED159" s="38"/>
      <c r="EE159" s="38"/>
      <c r="EF159" s="38"/>
      <c r="EG159" s="38"/>
      <c r="EH159" s="38"/>
      <c r="EI159" s="38"/>
      <c r="EJ159" s="38"/>
      <c r="EK159" s="38"/>
      <c r="EL159" s="38"/>
      <c r="EM159" s="38"/>
      <c r="EN159" s="38"/>
      <c r="EO159" s="38"/>
      <c r="EP159" s="38"/>
      <c r="EQ159" s="38"/>
      <c r="ER159" s="38"/>
      <c r="ES159" s="38"/>
      <c r="ET159" s="38"/>
      <c r="EU159" s="38"/>
      <c r="EV159" s="38"/>
      <c r="EW159" s="38"/>
      <c r="EX159" s="38"/>
      <c r="EY159" s="38"/>
      <c r="EZ159" s="38"/>
      <c r="FA159" s="38"/>
      <c r="FB159" s="38"/>
      <c r="FC159" s="38"/>
      <c r="FD159" s="38"/>
      <c r="FE159" s="38"/>
      <c r="FF159" s="38"/>
      <c r="FG159" s="38"/>
      <c r="FH159" s="38"/>
      <c r="FI159" s="38"/>
      <c r="FJ159" s="38"/>
      <c r="FK159" s="38"/>
      <c r="FL159" s="38"/>
      <c r="FM159" s="38"/>
      <c r="FN159" s="38"/>
      <c r="FO159" s="38"/>
      <c r="FP159" s="38"/>
      <c r="FQ159" s="38"/>
      <c r="FR159" s="38"/>
      <c r="FS159" s="38"/>
      <c r="FT159" s="38"/>
      <c r="FU159" s="38"/>
      <c r="FV159" s="38"/>
      <c r="FW159" s="38"/>
      <c r="FX159" s="38"/>
      <c r="FY159" s="38"/>
      <c r="FZ159" s="38"/>
      <c r="GA159" s="38"/>
      <c r="GB159" s="38"/>
      <c r="GC159" s="38"/>
      <c r="GD159" s="38"/>
      <c r="GE159" s="38"/>
      <c r="GF159" s="38"/>
      <c r="GG159" s="38"/>
      <c r="GH159" s="38"/>
      <c r="GI159" s="38"/>
      <c r="GJ159" s="38"/>
      <c r="GK159" s="38"/>
      <c r="GL159" s="38"/>
      <c r="GM159" s="38"/>
      <c r="GN159" s="38"/>
      <c r="GO159" s="38"/>
      <c r="GP159" s="38"/>
      <c r="GQ159" s="38"/>
      <c r="GR159" s="38"/>
      <c r="GS159" s="38"/>
      <c r="GT159" s="38"/>
      <c r="GU159" s="38"/>
      <c r="GV159" s="38"/>
      <c r="GW159" s="38"/>
      <c r="GX159" s="38"/>
      <c r="GY159" s="38"/>
      <c r="GZ159" s="38"/>
      <c r="HA159" s="38"/>
      <c r="HB159" s="38"/>
      <c r="HC159" s="38"/>
      <c r="HD159" s="38"/>
      <c r="HE159" s="38"/>
      <c r="HF159" s="38"/>
      <c r="HG159" s="38"/>
      <c r="HH159" s="38"/>
      <c r="HI159" s="38"/>
      <c r="HJ159" s="38"/>
      <c r="HK159" s="38"/>
      <c r="HL159" s="38"/>
      <c r="HM159" s="38"/>
      <c r="HN159" s="38"/>
      <c r="HO159" s="38"/>
      <c r="HP159" s="38"/>
      <c r="HQ159" s="38"/>
      <c r="HR159" s="38"/>
      <c r="HS159" s="38"/>
      <c r="HT159" s="38"/>
      <c r="HU159" s="38"/>
      <c r="HV159" s="38"/>
      <c r="HW159" s="38"/>
      <c r="HX159" s="38"/>
      <c r="HY159" s="38"/>
      <c r="HZ159" s="38"/>
      <c r="IA159" s="38"/>
      <c r="IB159" s="38"/>
      <c r="IC159" s="38"/>
      <c r="ID159" s="38"/>
      <c r="IE159" s="38"/>
      <c r="IF159" s="38"/>
      <c r="IG159" s="38"/>
      <c r="IH159" s="38"/>
      <c r="II159" s="38"/>
      <c r="IJ159" s="38"/>
      <c r="IK159" s="38"/>
      <c r="IL159" s="38"/>
      <c r="IM159" s="38"/>
      <c r="IN159" s="38"/>
      <c r="IO159" s="38"/>
      <c r="IP159" s="38"/>
      <c r="IQ159" s="38"/>
      <c r="IR159" s="38"/>
      <c r="IS159" s="38"/>
      <c r="IT159" s="38"/>
      <c r="IU159" s="38"/>
      <c r="IV159" s="38"/>
      <c r="IW159" s="38"/>
      <c r="IX159" s="38"/>
      <c r="IY159" s="38"/>
      <c r="IZ159" s="38"/>
      <c r="JA159" s="38"/>
      <c r="JB159" s="38"/>
      <c r="JC159" s="38"/>
      <c r="JD159" s="38"/>
      <c r="JE159" s="38"/>
      <c r="JF159" s="38"/>
      <c r="JG159" s="38"/>
      <c r="JH159" s="38"/>
      <c r="JI159" s="38"/>
      <c r="JJ159" s="38"/>
      <c r="JK159" s="38"/>
      <c r="JL159" s="38"/>
      <c r="JM159" s="38"/>
      <c r="JN159" s="38"/>
      <c r="JO159" s="38"/>
      <c r="JP159" s="38"/>
      <c r="JQ159" s="38"/>
      <c r="JR159" s="38"/>
      <c r="JS159" s="38"/>
      <c r="JT159" s="38"/>
      <c r="JU159" s="38"/>
      <c r="JV159" s="38"/>
      <c r="JW159" s="38"/>
      <c r="JX159" s="38"/>
      <c r="JY159" s="38"/>
      <c r="JZ159" s="38"/>
      <c r="KA159" s="38"/>
      <c r="KB159" s="38"/>
      <c r="KC159" s="38"/>
      <c r="KD159" s="38"/>
      <c r="KE159" s="38"/>
      <c r="KF159" s="38"/>
      <c r="KG159" s="38"/>
      <c r="KH159" s="38"/>
      <c r="KI159" s="38"/>
      <c r="KJ159" s="38"/>
      <c r="KK159" s="38"/>
      <c r="KL159" s="38"/>
      <c r="KM159" s="38"/>
      <c r="KN159" s="38"/>
      <c r="KO159" s="38"/>
      <c r="KP159" s="38"/>
      <c r="KQ159" s="38"/>
      <c r="KR159" s="38"/>
      <c r="KS159" s="38"/>
      <c r="KT159" s="38"/>
      <c r="KU159" s="38"/>
      <c r="KV159" s="38"/>
      <c r="KW159" s="38"/>
      <c r="KX159" s="38"/>
      <c r="KY159" s="38"/>
      <c r="KZ159" s="38"/>
      <c r="LA159" s="38"/>
      <c r="LB159" s="38"/>
      <c r="LC159" s="38"/>
      <c r="LD159" s="38"/>
      <c r="LE159" s="38"/>
      <c r="LF159" s="38"/>
      <c r="LG159" s="38"/>
      <c r="LH159" s="38"/>
      <c r="LI159" s="38"/>
      <c r="LJ159" s="38"/>
      <c r="LK159" s="38"/>
      <c r="LL159" s="38"/>
      <c r="LM159" s="38"/>
      <c r="LN159" s="38"/>
      <c r="LO159" s="38"/>
      <c r="LP159" s="38"/>
      <c r="LQ159" s="38"/>
      <c r="LR159" s="38"/>
      <c r="LS159" s="38"/>
      <c r="LT159" s="38"/>
      <c r="LU159" s="38"/>
      <c r="LV159" s="38"/>
      <c r="LW159" s="38"/>
      <c r="LX159" s="38"/>
      <c r="LY159" s="38"/>
      <c r="LZ159" s="38"/>
      <c r="MA159" s="38"/>
      <c r="MB159" s="38"/>
      <c r="MC159" s="38"/>
      <c r="MD159" s="38"/>
      <c r="ME159" s="38"/>
      <c r="MF159" s="38"/>
      <c r="MG159" s="38"/>
      <c r="MH159" s="38"/>
      <c r="MI159" s="38"/>
      <c r="MJ159" s="38"/>
      <c r="MK159" s="38"/>
      <c r="ML159" s="38"/>
      <c r="MM159" s="38"/>
      <c r="MN159" s="38"/>
      <c r="MO159" s="38"/>
      <c r="MP159" s="38"/>
      <c r="MQ159" s="38"/>
      <c r="MR159" s="38"/>
      <c r="MS159" s="38"/>
      <c r="MT159" s="38"/>
      <c r="MU159" s="38"/>
      <c r="MV159" s="38"/>
      <c r="MW159" s="38"/>
      <c r="MX159" s="38"/>
      <c r="MY159" s="38"/>
      <c r="MZ159" s="38"/>
      <c r="NA159" s="38"/>
      <c r="NB159" s="38"/>
      <c r="NC159" s="38"/>
      <c r="ND159" s="38"/>
      <c r="NE159" s="38"/>
      <c r="NF159" s="38"/>
      <c r="NG159" s="38"/>
      <c r="NH159" s="38"/>
      <c r="NI159" s="38"/>
      <c r="NJ159" s="38"/>
      <c r="NK159" s="38"/>
      <c r="NL159" s="38"/>
      <c r="NM159" s="38"/>
      <c r="NN159" s="38"/>
      <c r="NO159" s="38"/>
      <c r="NP159" s="38"/>
      <c r="NQ159" s="38"/>
      <c r="NR159" s="38"/>
      <c r="NS159" s="38"/>
      <c r="NT159" s="38"/>
      <c r="NU159" s="38"/>
      <c r="NV159" s="38"/>
      <c r="NW159" s="38"/>
      <c r="NX159" s="38"/>
      <c r="NY159" s="38"/>
      <c r="NZ159" s="38"/>
      <c r="OA159" s="38"/>
      <c r="OB159" s="38"/>
      <c r="OC159" s="38"/>
      <c r="OD159" s="38"/>
      <c r="OE159" s="38"/>
      <c r="OF159" s="38"/>
      <c r="OG159" s="38"/>
      <c r="OH159" s="38"/>
      <c r="OI159" s="38"/>
      <c r="OJ159" s="38"/>
      <c r="OK159" s="38"/>
      <c r="OL159" s="38"/>
      <c r="OM159" s="38"/>
      <c r="ON159" s="38"/>
      <c r="OO159" s="38"/>
      <c r="OP159" s="38"/>
      <c r="OQ159" s="38"/>
      <c r="OR159" s="38"/>
      <c r="OS159" s="38"/>
      <c r="OT159" s="38"/>
      <c r="OU159" s="38"/>
      <c r="OV159" s="38"/>
      <c r="OW159" s="38"/>
      <c r="OX159" s="38"/>
      <c r="OY159" s="38"/>
      <c r="OZ159" s="38"/>
      <c r="PA159" s="38"/>
      <c r="PB159" s="38"/>
      <c r="PC159" s="38"/>
      <c r="PD159" s="38"/>
      <c r="PE159" s="38"/>
      <c r="PF159" s="38"/>
      <c r="PG159" s="38"/>
      <c r="PH159" s="38"/>
      <c r="PI159" s="38"/>
      <c r="PJ159" s="38"/>
      <c r="PK159" s="38"/>
      <c r="PL159" s="38"/>
      <c r="PM159" s="38"/>
      <c r="PN159" s="38"/>
      <c r="PO159" s="38"/>
      <c r="PP159" s="38"/>
      <c r="PQ159" s="38"/>
      <c r="PR159" s="38"/>
      <c r="PS159" s="38"/>
      <c r="PT159" s="38"/>
      <c r="PU159" s="38"/>
      <c r="PV159" s="38"/>
      <c r="PW159" s="38"/>
      <c r="PX159" s="38"/>
      <c r="PY159" s="38"/>
      <c r="PZ159" s="38"/>
      <c r="QA159" s="38"/>
      <c r="QB159" s="38"/>
      <c r="QC159" s="38"/>
      <c r="QD159" s="38"/>
      <c r="QE159" s="38"/>
      <c r="QF159" s="38"/>
      <c r="QG159" s="38"/>
      <c r="QH159" s="38"/>
      <c r="QI159" s="38"/>
      <c r="QJ159" s="38"/>
      <c r="QK159" s="38"/>
      <c r="QL159" s="38"/>
      <c r="QM159" s="38"/>
      <c r="QN159" s="38"/>
      <c r="QO159" s="38"/>
      <c r="QP159" s="38"/>
      <c r="QQ159" s="38"/>
      <c r="QR159" s="38"/>
      <c r="QS159" s="38"/>
      <c r="QT159" s="38"/>
      <c r="QU159" s="38"/>
      <c r="QV159" s="38"/>
      <c r="QW159" s="38"/>
      <c r="QX159" s="38"/>
      <c r="QY159" s="38"/>
      <c r="QZ159" s="38"/>
      <c r="RA159" s="38"/>
      <c r="RB159" s="38"/>
      <c r="RC159" s="38"/>
      <c r="RD159" s="38"/>
      <c r="RE159" s="38"/>
      <c r="RF159" s="38"/>
      <c r="RG159" s="38"/>
      <c r="RH159" s="38"/>
      <c r="RI159" s="38"/>
      <c r="RJ159" s="38"/>
      <c r="RK159" s="38"/>
      <c r="RL159" s="38"/>
      <c r="RM159" s="38"/>
      <c r="RN159" s="38"/>
      <c r="RO159" s="38"/>
      <c r="RP159" s="38"/>
      <c r="RQ159" s="38"/>
      <c r="RR159" s="38"/>
      <c r="RS159" s="38"/>
      <c r="RT159" s="38"/>
      <c r="RU159" s="38"/>
      <c r="RV159" s="38"/>
      <c r="RW159" s="38"/>
      <c r="RX159" s="38"/>
      <c r="RY159" s="38"/>
      <c r="RZ159" s="38"/>
      <c r="SA159" s="38"/>
      <c r="SB159" s="38"/>
      <c r="SC159" s="38"/>
      <c r="SD159" s="38"/>
      <c r="SE159" s="38"/>
      <c r="SF159" s="38"/>
      <c r="SG159" s="38"/>
      <c r="SH159" s="38"/>
      <c r="SI159" s="38"/>
      <c r="SJ159" s="38"/>
      <c r="SK159" s="38"/>
      <c r="SL159" s="38"/>
      <c r="SM159" s="38"/>
      <c r="SN159" s="38"/>
      <c r="SO159" s="38"/>
      <c r="SP159" s="38"/>
      <c r="SQ159" s="38"/>
      <c r="SR159" s="38"/>
      <c r="SS159" s="38"/>
      <c r="ST159" s="38"/>
      <c r="SU159" s="38"/>
      <c r="SV159" s="38"/>
      <c r="SW159" s="38"/>
      <c r="SX159" s="38"/>
      <c r="SY159" s="38"/>
      <c r="SZ159" s="38"/>
      <c r="TA159" s="38"/>
      <c r="TB159" s="38"/>
      <c r="TC159" s="38"/>
      <c r="TD159" s="38"/>
      <c r="TE159" s="38"/>
      <c r="TF159" s="38"/>
      <c r="TG159" s="38"/>
      <c r="TH159" s="38"/>
      <c r="TI159" s="38"/>
      <c r="TJ159" s="38"/>
      <c r="TK159" s="38"/>
      <c r="TL159" s="38"/>
      <c r="TM159" s="38"/>
    </row>
    <row r="160" spans="1:533" s="39" customFormat="1" ht="18.75" x14ac:dyDescent="0.25">
      <c r="B160" s="50">
        <v>125000</v>
      </c>
      <c r="C160" s="41" t="s">
        <v>311</v>
      </c>
      <c r="D160" s="108" t="s">
        <v>312</v>
      </c>
      <c r="E160" s="107" t="s">
        <v>103</v>
      </c>
      <c r="F160" s="109">
        <v>3</v>
      </c>
      <c r="G160" s="58"/>
      <c r="H160" s="71"/>
      <c r="I160" s="104">
        <f t="shared" si="27"/>
        <v>0</v>
      </c>
      <c r="J160" s="98" t="s">
        <v>167</v>
      </c>
      <c r="K160" s="104" t="s">
        <v>168</v>
      </c>
      <c r="L160" s="105"/>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c r="BZ160" s="38"/>
      <c r="CA160" s="38"/>
      <c r="CB160" s="38"/>
      <c r="CC160" s="38"/>
      <c r="CD160" s="38"/>
      <c r="CE160" s="38"/>
      <c r="CF160" s="38"/>
      <c r="CG160" s="38"/>
      <c r="CH160" s="38"/>
      <c r="CI160" s="38"/>
      <c r="CJ160" s="38"/>
      <c r="CK160" s="38"/>
      <c r="CL160" s="38"/>
      <c r="CM160" s="38"/>
      <c r="CN160" s="38"/>
      <c r="CO160" s="38"/>
      <c r="CP160" s="38"/>
      <c r="CQ160" s="38"/>
      <c r="CR160" s="38"/>
      <c r="CS160" s="38"/>
      <c r="CT160" s="38"/>
      <c r="CU160" s="38"/>
      <c r="CV160" s="38"/>
      <c r="CW160" s="38"/>
      <c r="CX160" s="38"/>
      <c r="CY160" s="38"/>
      <c r="CZ160" s="38"/>
      <c r="DA160" s="38"/>
      <c r="DB160" s="38"/>
      <c r="DC160" s="38"/>
      <c r="DD160" s="38"/>
      <c r="DE160" s="38"/>
      <c r="DF160" s="38"/>
      <c r="DG160" s="38"/>
      <c r="DH160" s="38"/>
      <c r="DI160" s="38"/>
      <c r="DJ160" s="38"/>
      <c r="DK160" s="38"/>
      <c r="DL160" s="38"/>
      <c r="DM160" s="38"/>
      <c r="DN160" s="38"/>
      <c r="DO160" s="38"/>
      <c r="DP160" s="38"/>
      <c r="DQ160" s="38"/>
      <c r="DR160" s="38"/>
      <c r="DS160" s="38"/>
      <c r="DT160" s="38"/>
      <c r="DU160" s="38"/>
      <c r="DV160" s="38"/>
      <c r="DW160" s="38"/>
      <c r="DX160" s="38"/>
      <c r="DY160" s="38"/>
      <c r="DZ160" s="38"/>
      <c r="EA160" s="38"/>
      <c r="EB160" s="38"/>
      <c r="EC160" s="38"/>
      <c r="ED160" s="38"/>
      <c r="EE160" s="38"/>
      <c r="EF160" s="38"/>
      <c r="EG160" s="38"/>
      <c r="EH160" s="38"/>
      <c r="EI160" s="38"/>
      <c r="EJ160" s="38"/>
      <c r="EK160" s="38"/>
      <c r="EL160" s="38"/>
      <c r="EM160" s="38"/>
      <c r="EN160" s="38"/>
      <c r="EO160" s="38"/>
      <c r="EP160" s="38"/>
      <c r="EQ160" s="38"/>
      <c r="ER160" s="38"/>
      <c r="ES160" s="38"/>
      <c r="ET160" s="38"/>
      <c r="EU160" s="38"/>
      <c r="EV160" s="38"/>
      <c r="EW160" s="38"/>
      <c r="EX160" s="38"/>
      <c r="EY160" s="38"/>
      <c r="EZ160" s="38"/>
      <c r="FA160" s="38"/>
      <c r="FB160" s="38"/>
      <c r="FC160" s="38"/>
      <c r="FD160" s="38"/>
      <c r="FE160" s="38"/>
      <c r="FF160" s="38"/>
      <c r="FG160" s="38"/>
      <c r="FH160" s="38"/>
      <c r="FI160" s="38"/>
      <c r="FJ160" s="38"/>
      <c r="FK160" s="38"/>
      <c r="FL160" s="38"/>
      <c r="FM160" s="38"/>
      <c r="FN160" s="38"/>
      <c r="FO160" s="38"/>
      <c r="FP160" s="38"/>
      <c r="FQ160" s="38"/>
      <c r="FR160" s="38"/>
      <c r="FS160" s="38"/>
      <c r="FT160" s="38"/>
      <c r="FU160" s="38"/>
      <c r="FV160" s="38"/>
      <c r="FW160" s="38"/>
      <c r="FX160" s="38"/>
      <c r="FY160" s="38"/>
      <c r="FZ160" s="38"/>
      <c r="GA160" s="38"/>
      <c r="GB160" s="38"/>
      <c r="GC160" s="38"/>
      <c r="GD160" s="38"/>
      <c r="GE160" s="38"/>
      <c r="GF160" s="38"/>
      <c r="GG160" s="38"/>
      <c r="GH160" s="38"/>
      <c r="GI160" s="38"/>
      <c r="GJ160" s="38"/>
      <c r="GK160" s="38"/>
      <c r="GL160" s="38"/>
      <c r="GM160" s="38"/>
      <c r="GN160" s="38"/>
      <c r="GO160" s="38"/>
      <c r="GP160" s="38"/>
      <c r="GQ160" s="38"/>
      <c r="GR160" s="38"/>
      <c r="GS160" s="38"/>
      <c r="GT160" s="38"/>
      <c r="GU160" s="38"/>
      <c r="GV160" s="38"/>
      <c r="GW160" s="38"/>
      <c r="GX160" s="38"/>
      <c r="GY160" s="38"/>
      <c r="GZ160" s="38"/>
      <c r="HA160" s="38"/>
      <c r="HB160" s="38"/>
      <c r="HC160" s="38"/>
      <c r="HD160" s="38"/>
      <c r="HE160" s="38"/>
      <c r="HF160" s="38"/>
      <c r="HG160" s="38"/>
      <c r="HH160" s="38"/>
      <c r="HI160" s="38"/>
      <c r="HJ160" s="38"/>
      <c r="HK160" s="38"/>
      <c r="HL160" s="38"/>
      <c r="HM160" s="38"/>
      <c r="HN160" s="38"/>
      <c r="HO160" s="38"/>
      <c r="HP160" s="38"/>
      <c r="HQ160" s="38"/>
      <c r="HR160" s="38"/>
      <c r="HS160" s="38"/>
      <c r="HT160" s="38"/>
      <c r="HU160" s="38"/>
      <c r="HV160" s="38"/>
      <c r="HW160" s="38"/>
      <c r="HX160" s="38"/>
      <c r="HY160" s="38"/>
      <c r="HZ160" s="38"/>
      <c r="IA160" s="38"/>
      <c r="IB160" s="38"/>
      <c r="IC160" s="38"/>
      <c r="ID160" s="38"/>
      <c r="IE160" s="38"/>
      <c r="IF160" s="38"/>
      <c r="IG160" s="38"/>
      <c r="IH160" s="38"/>
      <c r="II160" s="38"/>
      <c r="IJ160" s="38"/>
      <c r="IK160" s="38"/>
      <c r="IL160" s="38"/>
      <c r="IM160" s="38"/>
      <c r="IN160" s="38"/>
      <c r="IO160" s="38"/>
      <c r="IP160" s="38"/>
      <c r="IQ160" s="38"/>
      <c r="IR160" s="38"/>
      <c r="IS160" s="38"/>
      <c r="IT160" s="38"/>
      <c r="IU160" s="38"/>
      <c r="IV160" s="38"/>
      <c r="IW160" s="38"/>
      <c r="IX160" s="38"/>
      <c r="IY160" s="38"/>
      <c r="IZ160" s="38"/>
      <c r="JA160" s="38"/>
      <c r="JB160" s="38"/>
      <c r="JC160" s="38"/>
      <c r="JD160" s="38"/>
      <c r="JE160" s="38"/>
      <c r="JF160" s="38"/>
      <c r="JG160" s="38"/>
      <c r="JH160" s="38"/>
      <c r="JI160" s="38"/>
      <c r="JJ160" s="38"/>
      <c r="JK160" s="38"/>
      <c r="JL160" s="38"/>
      <c r="JM160" s="38"/>
      <c r="JN160" s="38"/>
      <c r="JO160" s="38"/>
      <c r="JP160" s="38"/>
      <c r="JQ160" s="38"/>
      <c r="JR160" s="38"/>
      <c r="JS160" s="38"/>
      <c r="JT160" s="38"/>
      <c r="JU160" s="38"/>
      <c r="JV160" s="38"/>
      <c r="JW160" s="38"/>
      <c r="JX160" s="38"/>
      <c r="JY160" s="38"/>
      <c r="JZ160" s="38"/>
      <c r="KA160" s="38"/>
      <c r="KB160" s="38"/>
      <c r="KC160" s="38"/>
      <c r="KD160" s="38"/>
      <c r="KE160" s="38"/>
      <c r="KF160" s="38"/>
      <c r="KG160" s="38"/>
      <c r="KH160" s="38"/>
      <c r="KI160" s="38"/>
      <c r="KJ160" s="38"/>
      <c r="KK160" s="38"/>
      <c r="KL160" s="38"/>
      <c r="KM160" s="38"/>
      <c r="KN160" s="38"/>
      <c r="KO160" s="38"/>
      <c r="KP160" s="38"/>
      <c r="KQ160" s="38"/>
      <c r="KR160" s="38"/>
      <c r="KS160" s="38"/>
      <c r="KT160" s="38"/>
      <c r="KU160" s="38"/>
      <c r="KV160" s="38"/>
      <c r="KW160" s="38"/>
      <c r="KX160" s="38"/>
      <c r="KY160" s="38"/>
      <c r="KZ160" s="38"/>
      <c r="LA160" s="38"/>
      <c r="LB160" s="38"/>
      <c r="LC160" s="38"/>
      <c r="LD160" s="38"/>
      <c r="LE160" s="38"/>
      <c r="LF160" s="38"/>
      <c r="LG160" s="38"/>
      <c r="LH160" s="38"/>
      <c r="LI160" s="38"/>
      <c r="LJ160" s="38"/>
      <c r="LK160" s="38"/>
      <c r="LL160" s="38"/>
      <c r="LM160" s="38"/>
      <c r="LN160" s="38"/>
      <c r="LO160" s="38"/>
      <c r="LP160" s="38"/>
      <c r="LQ160" s="38"/>
      <c r="LR160" s="38"/>
      <c r="LS160" s="38"/>
      <c r="LT160" s="38"/>
      <c r="LU160" s="38"/>
      <c r="LV160" s="38"/>
      <c r="LW160" s="38"/>
      <c r="LX160" s="38"/>
      <c r="LY160" s="38"/>
      <c r="LZ160" s="38"/>
      <c r="MA160" s="38"/>
      <c r="MB160" s="38"/>
      <c r="MC160" s="38"/>
      <c r="MD160" s="38"/>
      <c r="ME160" s="38"/>
      <c r="MF160" s="38"/>
      <c r="MG160" s="38"/>
      <c r="MH160" s="38"/>
      <c r="MI160" s="38"/>
      <c r="MJ160" s="38"/>
      <c r="MK160" s="38"/>
      <c r="ML160" s="38"/>
      <c r="MM160" s="38"/>
      <c r="MN160" s="38"/>
      <c r="MO160" s="38"/>
      <c r="MP160" s="38"/>
      <c r="MQ160" s="38"/>
      <c r="MR160" s="38"/>
      <c r="MS160" s="38"/>
      <c r="MT160" s="38"/>
      <c r="MU160" s="38"/>
      <c r="MV160" s="38"/>
      <c r="MW160" s="38"/>
      <c r="MX160" s="38"/>
      <c r="MY160" s="38"/>
      <c r="MZ160" s="38"/>
      <c r="NA160" s="38"/>
      <c r="NB160" s="38"/>
      <c r="NC160" s="38"/>
      <c r="ND160" s="38"/>
      <c r="NE160" s="38"/>
      <c r="NF160" s="38"/>
      <c r="NG160" s="38"/>
      <c r="NH160" s="38"/>
      <c r="NI160" s="38"/>
      <c r="NJ160" s="38"/>
      <c r="NK160" s="38"/>
      <c r="NL160" s="38"/>
      <c r="NM160" s="38"/>
      <c r="NN160" s="38"/>
      <c r="NO160" s="38"/>
      <c r="NP160" s="38"/>
      <c r="NQ160" s="38"/>
      <c r="NR160" s="38"/>
      <c r="NS160" s="38"/>
      <c r="NT160" s="38"/>
      <c r="NU160" s="38"/>
      <c r="NV160" s="38"/>
      <c r="NW160" s="38"/>
      <c r="NX160" s="38"/>
      <c r="NY160" s="38"/>
      <c r="NZ160" s="38"/>
      <c r="OA160" s="38"/>
      <c r="OB160" s="38"/>
      <c r="OC160" s="38"/>
      <c r="OD160" s="38"/>
      <c r="OE160" s="38"/>
      <c r="OF160" s="38"/>
      <c r="OG160" s="38"/>
      <c r="OH160" s="38"/>
      <c r="OI160" s="38"/>
      <c r="OJ160" s="38"/>
      <c r="OK160" s="38"/>
      <c r="OL160" s="38"/>
      <c r="OM160" s="38"/>
      <c r="ON160" s="38"/>
      <c r="OO160" s="38"/>
      <c r="OP160" s="38"/>
      <c r="OQ160" s="38"/>
      <c r="OR160" s="38"/>
      <c r="OS160" s="38"/>
      <c r="OT160" s="38"/>
      <c r="OU160" s="38"/>
      <c r="OV160" s="38"/>
      <c r="OW160" s="38"/>
      <c r="OX160" s="38"/>
      <c r="OY160" s="38"/>
      <c r="OZ160" s="38"/>
      <c r="PA160" s="38"/>
      <c r="PB160" s="38"/>
      <c r="PC160" s="38"/>
      <c r="PD160" s="38"/>
      <c r="PE160" s="38"/>
      <c r="PF160" s="38"/>
      <c r="PG160" s="38"/>
      <c r="PH160" s="38"/>
      <c r="PI160" s="38"/>
      <c r="PJ160" s="38"/>
      <c r="PK160" s="38"/>
      <c r="PL160" s="38"/>
      <c r="PM160" s="38"/>
      <c r="PN160" s="38"/>
      <c r="PO160" s="38"/>
      <c r="PP160" s="38"/>
      <c r="PQ160" s="38"/>
      <c r="PR160" s="38"/>
      <c r="PS160" s="38"/>
      <c r="PT160" s="38"/>
      <c r="PU160" s="38"/>
      <c r="PV160" s="38"/>
      <c r="PW160" s="38"/>
      <c r="PX160" s="38"/>
      <c r="PY160" s="38"/>
      <c r="PZ160" s="38"/>
      <c r="QA160" s="38"/>
      <c r="QB160" s="38"/>
      <c r="QC160" s="38"/>
      <c r="QD160" s="38"/>
      <c r="QE160" s="38"/>
      <c r="QF160" s="38"/>
      <c r="QG160" s="38"/>
      <c r="QH160" s="38"/>
      <c r="QI160" s="38"/>
      <c r="QJ160" s="38"/>
      <c r="QK160" s="38"/>
      <c r="QL160" s="38"/>
      <c r="QM160" s="38"/>
      <c r="QN160" s="38"/>
      <c r="QO160" s="38"/>
      <c r="QP160" s="38"/>
      <c r="QQ160" s="38"/>
      <c r="QR160" s="38"/>
      <c r="QS160" s="38"/>
      <c r="QT160" s="38"/>
      <c r="QU160" s="38"/>
      <c r="QV160" s="38"/>
      <c r="QW160" s="38"/>
      <c r="QX160" s="38"/>
      <c r="QY160" s="38"/>
      <c r="QZ160" s="38"/>
      <c r="RA160" s="38"/>
      <c r="RB160" s="38"/>
      <c r="RC160" s="38"/>
      <c r="RD160" s="38"/>
      <c r="RE160" s="38"/>
      <c r="RF160" s="38"/>
      <c r="RG160" s="38"/>
      <c r="RH160" s="38"/>
      <c r="RI160" s="38"/>
      <c r="RJ160" s="38"/>
      <c r="RK160" s="38"/>
      <c r="RL160" s="38"/>
      <c r="RM160" s="38"/>
      <c r="RN160" s="38"/>
      <c r="RO160" s="38"/>
      <c r="RP160" s="38"/>
      <c r="RQ160" s="38"/>
      <c r="RR160" s="38"/>
      <c r="RS160" s="38"/>
      <c r="RT160" s="38"/>
      <c r="RU160" s="38"/>
      <c r="RV160" s="38"/>
      <c r="RW160" s="38"/>
      <c r="RX160" s="38"/>
      <c r="RY160" s="38"/>
      <c r="RZ160" s="38"/>
      <c r="SA160" s="38"/>
      <c r="SB160" s="38"/>
      <c r="SC160" s="38"/>
      <c r="SD160" s="38"/>
      <c r="SE160" s="38"/>
      <c r="SF160" s="38"/>
      <c r="SG160" s="38"/>
      <c r="SH160" s="38"/>
      <c r="SI160" s="38"/>
      <c r="SJ160" s="38"/>
      <c r="SK160" s="38"/>
      <c r="SL160" s="38"/>
      <c r="SM160" s="38"/>
      <c r="SN160" s="38"/>
      <c r="SO160" s="38"/>
      <c r="SP160" s="38"/>
      <c r="SQ160" s="38"/>
      <c r="SR160" s="38"/>
      <c r="SS160" s="38"/>
      <c r="ST160" s="38"/>
      <c r="SU160" s="38"/>
      <c r="SV160" s="38"/>
      <c r="SW160" s="38"/>
      <c r="SX160" s="38"/>
      <c r="SY160" s="38"/>
      <c r="SZ160" s="38"/>
      <c r="TA160" s="38"/>
      <c r="TB160" s="38"/>
      <c r="TC160" s="38"/>
      <c r="TD160" s="38"/>
      <c r="TE160" s="38"/>
      <c r="TF160" s="38"/>
      <c r="TG160" s="38"/>
      <c r="TH160" s="38"/>
      <c r="TI160" s="38"/>
      <c r="TJ160" s="38"/>
      <c r="TK160" s="38"/>
      <c r="TL160" s="38"/>
      <c r="TM160" s="38"/>
    </row>
    <row r="161" spans="2:533" s="39" customFormat="1" ht="18.75" x14ac:dyDescent="0.25">
      <c r="B161" s="50">
        <v>125000</v>
      </c>
      <c r="C161" s="41" t="s">
        <v>313</v>
      </c>
      <c r="D161" s="108" t="s">
        <v>314</v>
      </c>
      <c r="E161" s="107" t="s">
        <v>103</v>
      </c>
      <c r="F161" s="109">
        <v>3</v>
      </c>
      <c r="G161" s="58"/>
      <c r="H161" s="71"/>
      <c r="I161" s="104">
        <f t="shared" si="27"/>
        <v>0</v>
      </c>
      <c r="J161" s="98" t="s">
        <v>167</v>
      </c>
      <c r="K161" s="104" t="s">
        <v>168</v>
      </c>
      <c r="L161" s="105"/>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c r="CV161" s="38"/>
      <c r="CW161" s="38"/>
      <c r="CX161" s="38"/>
      <c r="CY161" s="38"/>
      <c r="CZ161" s="38"/>
      <c r="DA161" s="38"/>
      <c r="DB161" s="38"/>
      <c r="DC161" s="38"/>
      <c r="DD161" s="38"/>
      <c r="DE161" s="38"/>
      <c r="DF161" s="38"/>
      <c r="DG161" s="38"/>
      <c r="DH161" s="38"/>
      <c r="DI161" s="38"/>
      <c r="DJ161" s="38"/>
      <c r="DK161" s="38"/>
      <c r="DL161" s="38"/>
      <c r="DM161" s="38"/>
      <c r="DN161" s="38"/>
      <c r="DO161" s="38"/>
      <c r="DP161" s="38"/>
      <c r="DQ161" s="38"/>
      <c r="DR161" s="38"/>
      <c r="DS161" s="38"/>
      <c r="DT161" s="38"/>
      <c r="DU161" s="38"/>
      <c r="DV161" s="38"/>
      <c r="DW161" s="38"/>
      <c r="DX161" s="38"/>
      <c r="DY161" s="38"/>
      <c r="DZ161" s="38"/>
      <c r="EA161" s="38"/>
      <c r="EB161" s="38"/>
      <c r="EC161" s="38"/>
      <c r="ED161" s="38"/>
      <c r="EE161" s="38"/>
      <c r="EF161" s="38"/>
      <c r="EG161" s="38"/>
      <c r="EH161" s="38"/>
      <c r="EI161" s="38"/>
      <c r="EJ161" s="38"/>
      <c r="EK161" s="38"/>
      <c r="EL161" s="38"/>
      <c r="EM161" s="38"/>
      <c r="EN161" s="38"/>
      <c r="EO161" s="38"/>
      <c r="EP161" s="38"/>
      <c r="EQ161" s="38"/>
      <c r="ER161" s="38"/>
      <c r="ES161" s="38"/>
      <c r="ET161" s="38"/>
      <c r="EU161" s="38"/>
      <c r="EV161" s="38"/>
      <c r="EW161" s="38"/>
      <c r="EX161" s="38"/>
      <c r="EY161" s="38"/>
      <c r="EZ161" s="38"/>
      <c r="FA161" s="38"/>
      <c r="FB161" s="38"/>
      <c r="FC161" s="38"/>
      <c r="FD161" s="38"/>
      <c r="FE161" s="38"/>
      <c r="FF161" s="38"/>
      <c r="FG161" s="38"/>
      <c r="FH161" s="38"/>
      <c r="FI161" s="38"/>
      <c r="FJ161" s="38"/>
      <c r="FK161" s="38"/>
      <c r="FL161" s="38"/>
      <c r="FM161" s="38"/>
      <c r="FN161" s="38"/>
      <c r="FO161" s="38"/>
      <c r="FP161" s="38"/>
      <c r="FQ161" s="38"/>
      <c r="FR161" s="38"/>
      <c r="FS161" s="38"/>
      <c r="FT161" s="38"/>
      <c r="FU161" s="38"/>
      <c r="FV161" s="38"/>
      <c r="FW161" s="38"/>
      <c r="FX161" s="38"/>
      <c r="FY161" s="38"/>
      <c r="FZ161" s="38"/>
      <c r="GA161" s="38"/>
      <c r="GB161" s="38"/>
      <c r="GC161" s="38"/>
      <c r="GD161" s="38"/>
      <c r="GE161" s="38"/>
      <c r="GF161" s="38"/>
      <c r="GG161" s="38"/>
      <c r="GH161" s="38"/>
      <c r="GI161" s="38"/>
      <c r="GJ161" s="38"/>
      <c r="GK161" s="38"/>
      <c r="GL161" s="38"/>
      <c r="GM161" s="38"/>
      <c r="GN161" s="38"/>
      <c r="GO161" s="38"/>
      <c r="GP161" s="38"/>
      <c r="GQ161" s="38"/>
      <c r="GR161" s="38"/>
      <c r="GS161" s="38"/>
      <c r="GT161" s="38"/>
      <c r="GU161" s="38"/>
      <c r="GV161" s="38"/>
      <c r="GW161" s="38"/>
      <c r="GX161" s="38"/>
      <c r="GY161" s="38"/>
      <c r="GZ161" s="38"/>
      <c r="HA161" s="38"/>
      <c r="HB161" s="38"/>
      <c r="HC161" s="38"/>
      <c r="HD161" s="38"/>
      <c r="HE161" s="38"/>
      <c r="HF161" s="38"/>
      <c r="HG161" s="38"/>
      <c r="HH161" s="38"/>
      <c r="HI161" s="38"/>
      <c r="HJ161" s="38"/>
      <c r="HK161" s="38"/>
      <c r="HL161" s="38"/>
      <c r="HM161" s="38"/>
      <c r="HN161" s="38"/>
      <c r="HO161" s="38"/>
      <c r="HP161" s="38"/>
      <c r="HQ161" s="38"/>
      <c r="HR161" s="38"/>
      <c r="HS161" s="38"/>
      <c r="HT161" s="38"/>
      <c r="HU161" s="38"/>
      <c r="HV161" s="38"/>
      <c r="HW161" s="38"/>
      <c r="HX161" s="38"/>
      <c r="HY161" s="38"/>
      <c r="HZ161" s="38"/>
      <c r="IA161" s="38"/>
      <c r="IB161" s="38"/>
      <c r="IC161" s="38"/>
      <c r="ID161" s="38"/>
      <c r="IE161" s="38"/>
      <c r="IF161" s="38"/>
      <c r="IG161" s="38"/>
      <c r="IH161" s="38"/>
      <c r="II161" s="38"/>
      <c r="IJ161" s="38"/>
      <c r="IK161" s="38"/>
      <c r="IL161" s="38"/>
      <c r="IM161" s="38"/>
      <c r="IN161" s="38"/>
      <c r="IO161" s="38"/>
      <c r="IP161" s="38"/>
      <c r="IQ161" s="38"/>
      <c r="IR161" s="38"/>
      <c r="IS161" s="38"/>
      <c r="IT161" s="38"/>
      <c r="IU161" s="38"/>
      <c r="IV161" s="38"/>
      <c r="IW161" s="38"/>
      <c r="IX161" s="38"/>
      <c r="IY161" s="38"/>
      <c r="IZ161" s="38"/>
      <c r="JA161" s="38"/>
      <c r="JB161" s="38"/>
      <c r="JC161" s="38"/>
      <c r="JD161" s="38"/>
      <c r="JE161" s="38"/>
      <c r="JF161" s="38"/>
      <c r="JG161" s="38"/>
      <c r="JH161" s="38"/>
      <c r="JI161" s="38"/>
      <c r="JJ161" s="38"/>
      <c r="JK161" s="38"/>
      <c r="JL161" s="38"/>
      <c r="JM161" s="38"/>
      <c r="JN161" s="38"/>
      <c r="JO161" s="38"/>
      <c r="JP161" s="38"/>
      <c r="JQ161" s="38"/>
      <c r="JR161" s="38"/>
      <c r="JS161" s="38"/>
      <c r="JT161" s="38"/>
      <c r="JU161" s="38"/>
      <c r="JV161" s="38"/>
      <c r="JW161" s="38"/>
      <c r="JX161" s="38"/>
      <c r="JY161" s="38"/>
      <c r="JZ161" s="38"/>
      <c r="KA161" s="38"/>
      <c r="KB161" s="38"/>
      <c r="KC161" s="38"/>
      <c r="KD161" s="38"/>
      <c r="KE161" s="38"/>
      <c r="KF161" s="38"/>
      <c r="KG161" s="38"/>
      <c r="KH161" s="38"/>
      <c r="KI161" s="38"/>
      <c r="KJ161" s="38"/>
      <c r="KK161" s="38"/>
      <c r="KL161" s="38"/>
      <c r="KM161" s="38"/>
      <c r="KN161" s="38"/>
      <c r="KO161" s="38"/>
      <c r="KP161" s="38"/>
      <c r="KQ161" s="38"/>
      <c r="KR161" s="38"/>
      <c r="KS161" s="38"/>
      <c r="KT161" s="38"/>
      <c r="KU161" s="38"/>
      <c r="KV161" s="38"/>
      <c r="KW161" s="38"/>
      <c r="KX161" s="38"/>
      <c r="KY161" s="38"/>
      <c r="KZ161" s="38"/>
      <c r="LA161" s="38"/>
      <c r="LB161" s="38"/>
      <c r="LC161" s="38"/>
      <c r="LD161" s="38"/>
      <c r="LE161" s="38"/>
      <c r="LF161" s="38"/>
      <c r="LG161" s="38"/>
      <c r="LH161" s="38"/>
      <c r="LI161" s="38"/>
      <c r="LJ161" s="38"/>
      <c r="LK161" s="38"/>
      <c r="LL161" s="38"/>
      <c r="LM161" s="38"/>
      <c r="LN161" s="38"/>
      <c r="LO161" s="38"/>
      <c r="LP161" s="38"/>
      <c r="LQ161" s="38"/>
      <c r="LR161" s="38"/>
      <c r="LS161" s="38"/>
      <c r="LT161" s="38"/>
      <c r="LU161" s="38"/>
      <c r="LV161" s="38"/>
      <c r="LW161" s="38"/>
      <c r="LX161" s="38"/>
      <c r="LY161" s="38"/>
      <c r="LZ161" s="38"/>
      <c r="MA161" s="38"/>
      <c r="MB161" s="38"/>
      <c r="MC161" s="38"/>
      <c r="MD161" s="38"/>
      <c r="ME161" s="38"/>
      <c r="MF161" s="38"/>
      <c r="MG161" s="38"/>
      <c r="MH161" s="38"/>
      <c r="MI161" s="38"/>
      <c r="MJ161" s="38"/>
      <c r="MK161" s="38"/>
      <c r="ML161" s="38"/>
      <c r="MM161" s="38"/>
      <c r="MN161" s="38"/>
      <c r="MO161" s="38"/>
      <c r="MP161" s="38"/>
      <c r="MQ161" s="38"/>
      <c r="MR161" s="38"/>
      <c r="MS161" s="38"/>
      <c r="MT161" s="38"/>
      <c r="MU161" s="38"/>
      <c r="MV161" s="38"/>
      <c r="MW161" s="38"/>
      <c r="MX161" s="38"/>
      <c r="MY161" s="38"/>
      <c r="MZ161" s="38"/>
      <c r="NA161" s="38"/>
      <c r="NB161" s="38"/>
      <c r="NC161" s="38"/>
      <c r="ND161" s="38"/>
      <c r="NE161" s="38"/>
      <c r="NF161" s="38"/>
      <c r="NG161" s="38"/>
      <c r="NH161" s="38"/>
      <c r="NI161" s="38"/>
      <c r="NJ161" s="38"/>
      <c r="NK161" s="38"/>
      <c r="NL161" s="38"/>
      <c r="NM161" s="38"/>
      <c r="NN161" s="38"/>
      <c r="NO161" s="38"/>
      <c r="NP161" s="38"/>
      <c r="NQ161" s="38"/>
      <c r="NR161" s="38"/>
      <c r="NS161" s="38"/>
      <c r="NT161" s="38"/>
      <c r="NU161" s="38"/>
      <c r="NV161" s="38"/>
      <c r="NW161" s="38"/>
      <c r="NX161" s="38"/>
      <c r="NY161" s="38"/>
      <c r="NZ161" s="38"/>
      <c r="OA161" s="38"/>
      <c r="OB161" s="38"/>
      <c r="OC161" s="38"/>
      <c r="OD161" s="38"/>
      <c r="OE161" s="38"/>
      <c r="OF161" s="38"/>
      <c r="OG161" s="38"/>
      <c r="OH161" s="38"/>
      <c r="OI161" s="38"/>
      <c r="OJ161" s="38"/>
      <c r="OK161" s="38"/>
      <c r="OL161" s="38"/>
      <c r="OM161" s="38"/>
      <c r="ON161" s="38"/>
      <c r="OO161" s="38"/>
      <c r="OP161" s="38"/>
      <c r="OQ161" s="38"/>
      <c r="OR161" s="38"/>
      <c r="OS161" s="38"/>
      <c r="OT161" s="38"/>
      <c r="OU161" s="38"/>
      <c r="OV161" s="38"/>
      <c r="OW161" s="38"/>
      <c r="OX161" s="38"/>
      <c r="OY161" s="38"/>
      <c r="OZ161" s="38"/>
      <c r="PA161" s="38"/>
      <c r="PB161" s="38"/>
      <c r="PC161" s="38"/>
      <c r="PD161" s="38"/>
      <c r="PE161" s="38"/>
      <c r="PF161" s="38"/>
      <c r="PG161" s="38"/>
      <c r="PH161" s="38"/>
      <c r="PI161" s="38"/>
      <c r="PJ161" s="38"/>
      <c r="PK161" s="38"/>
      <c r="PL161" s="38"/>
      <c r="PM161" s="38"/>
      <c r="PN161" s="38"/>
      <c r="PO161" s="38"/>
      <c r="PP161" s="38"/>
      <c r="PQ161" s="38"/>
      <c r="PR161" s="38"/>
      <c r="PS161" s="38"/>
      <c r="PT161" s="38"/>
      <c r="PU161" s="38"/>
      <c r="PV161" s="38"/>
      <c r="PW161" s="38"/>
      <c r="PX161" s="38"/>
      <c r="PY161" s="38"/>
      <c r="PZ161" s="38"/>
      <c r="QA161" s="38"/>
      <c r="QB161" s="38"/>
      <c r="QC161" s="38"/>
      <c r="QD161" s="38"/>
      <c r="QE161" s="38"/>
      <c r="QF161" s="38"/>
      <c r="QG161" s="38"/>
      <c r="QH161" s="38"/>
      <c r="QI161" s="38"/>
      <c r="QJ161" s="38"/>
      <c r="QK161" s="38"/>
      <c r="QL161" s="38"/>
      <c r="QM161" s="38"/>
      <c r="QN161" s="38"/>
      <c r="QO161" s="38"/>
      <c r="QP161" s="38"/>
      <c r="QQ161" s="38"/>
      <c r="QR161" s="38"/>
      <c r="QS161" s="38"/>
      <c r="QT161" s="38"/>
      <c r="QU161" s="38"/>
      <c r="QV161" s="38"/>
      <c r="QW161" s="38"/>
      <c r="QX161" s="38"/>
      <c r="QY161" s="38"/>
      <c r="QZ161" s="38"/>
      <c r="RA161" s="38"/>
      <c r="RB161" s="38"/>
      <c r="RC161" s="38"/>
      <c r="RD161" s="38"/>
      <c r="RE161" s="38"/>
      <c r="RF161" s="38"/>
      <c r="RG161" s="38"/>
      <c r="RH161" s="38"/>
      <c r="RI161" s="38"/>
      <c r="RJ161" s="38"/>
      <c r="RK161" s="38"/>
      <c r="RL161" s="38"/>
      <c r="RM161" s="38"/>
      <c r="RN161" s="38"/>
      <c r="RO161" s="38"/>
      <c r="RP161" s="38"/>
      <c r="RQ161" s="38"/>
      <c r="RR161" s="38"/>
      <c r="RS161" s="38"/>
      <c r="RT161" s="38"/>
      <c r="RU161" s="38"/>
      <c r="RV161" s="38"/>
      <c r="RW161" s="38"/>
      <c r="RX161" s="38"/>
      <c r="RY161" s="38"/>
      <c r="RZ161" s="38"/>
      <c r="SA161" s="38"/>
      <c r="SB161" s="38"/>
      <c r="SC161" s="38"/>
      <c r="SD161" s="38"/>
      <c r="SE161" s="38"/>
      <c r="SF161" s="38"/>
      <c r="SG161" s="38"/>
      <c r="SH161" s="38"/>
      <c r="SI161" s="38"/>
      <c r="SJ161" s="38"/>
      <c r="SK161" s="38"/>
      <c r="SL161" s="38"/>
      <c r="SM161" s="38"/>
      <c r="SN161" s="38"/>
      <c r="SO161" s="38"/>
      <c r="SP161" s="38"/>
      <c r="SQ161" s="38"/>
      <c r="SR161" s="38"/>
      <c r="SS161" s="38"/>
      <c r="ST161" s="38"/>
      <c r="SU161" s="38"/>
      <c r="SV161" s="38"/>
      <c r="SW161" s="38"/>
      <c r="SX161" s="38"/>
      <c r="SY161" s="38"/>
      <c r="SZ161" s="38"/>
      <c r="TA161" s="38"/>
      <c r="TB161" s="38"/>
      <c r="TC161" s="38"/>
      <c r="TD161" s="38"/>
      <c r="TE161" s="38"/>
      <c r="TF161" s="38"/>
      <c r="TG161" s="38"/>
      <c r="TH161" s="38"/>
      <c r="TI161" s="38"/>
      <c r="TJ161" s="38"/>
      <c r="TK161" s="38"/>
      <c r="TL161" s="38"/>
      <c r="TM161" s="38"/>
    </row>
    <row r="162" spans="2:533" s="39" customFormat="1" ht="18.75" x14ac:dyDescent="0.25">
      <c r="B162" s="50">
        <v>125000</v>
      </c>
      <c r="C162" s="41" t="s">
        <v>315</v>
      </c>
      <c r="D162" s="108" t="s">
        <v>316</v>
      </c>
      <c r="E162" s="107" t="s">
        <v>103</v>
      </c>
      <c r="F162" s="109">
        <v>2</v>
      </c>
      <c r="G162" s="58"/>
      <c r="H162" s="71"/>
      <c r="I162" s="104">
        <f t="shared" si="27"/>
        <v>0</v>
      </c>
      <c r="J162" s="98" t="s">
        <v>167</v>
      </c>
      <c r="K162" s="104" t="s">
        <v>168</v>
      </c>
      <c r="L162" s="105"/>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c r="CH162" s="38"/>
      <c r="CI162" s="38"/>
      <c r="CJ162" s="38"/>
      <c r="CK162" s="38"/>
      <c r="CL162" s="38"/>
      <c r="CM162" s="38"/>
      <c r="CN162" s="38"/>
      <c r="CO162" s="38"/>
      <c r="CP162" s="38"/>
      <c r="CQ162" s="38"/>
      <c r="CR162" s="38"/>
      <c r="CS162" s="38"/>
      <c r="CT162" s="38"/>
      <c r="CU162" s="38"/>
      <c r="CV162" s="38"/>
      <c r="CW162" s="38"/>
      <c r="CX162" s="38"/>
      <c r="CY162" s="38"/>
      <c r="CZ162" s="38"/>
      <c r="DA162" s="38"/>
      <c r="DB162" s="38"/>
      <c r="DC162" s="38"/>
      <c r="DD162" s="38"/>
      <c r="DE162" s="38"/>
      <c r="DF162" s="38"/>
      <c r="DG162" s="38"/>
      <c r="DH162" s="38"/>
      <c r="DI162" s="38"/>
      <c r="DJ162" s="38"/>
      <c r="DK162" s="38"/>
      <c r="DL162" s="38"/>
      <c r="DM162" s="38"/>
      <c r="DN162" s="38"/>
      <c r="DO162" s="38"/>
      <c r="DP162" s="38"/>
      <c r="DQ162" s="38"/>
      <c r="DR162" s="38"/>
      <c r="DS162" s="38"/>
      <c r="DT162" s="38"/>
      <c r="DU162" s="38"/>
      <c r="DV162" s="38"/>
      <c r="DW162" s="38"/>
      <c r="DX162" s="38"/>
      <c r="DY162" s="38"/>
      <c r="DZ162" s="38"/>
      <c r="EA162" s="38"/>
      <c r="EB162" s="38"/>
      <c r="EC162" s="38"/>
      <c r="ED162" s="38"/>
      <c r="EE162" s="38"/>
      <c r="EF162" s="38"/>
      <c r="EG162" s="38"/>
      <c r="EH162" s="38"/>
      <c r="EI162" s="38"/>
      <c r="EJ162" s="38"/>
      <c r="EK162" s="38"/>
      <c r="EL162" s="38"/>
      <c r="EM162" s="38"/>
      <c r="EN162" s="38"/>
      <c r="EO162" s="38"/>
      <c r="EP162" s="38"/>
      <c r="EQ162" s="38"/>
      <c r="ER162" s="38"/>
      <c r="ES162" s="38"/>
      <c r="ET162" s="38"/>
      <c r="EU162" s="38"/>
      <c r="EV162" s="38"/>
      <c r="EW162" s="38"/>
      <c r="EX162" s="38"/>
      <c r="EY162" s="38"/>
      <c r="EZ162" s="38"/>
      <c r="FA162" s="38"/>
      <c r="FB162" s="38"/>
      <c r="FC162" s="38"/>
      <c r="FD162" s="38"/>
      <c r="FE162" s="38"/>
      <c r="FF162" s="38"/>
      <c r="FG162" s="38"/>
      <c r="FH162" s="38"/>
      <c r="FI162" s="38"/>
      <c r="FJ162" s="38"/>
      <c r="FK162" s="38"/>
      <c r="FL162" s="38"/>
      <c r="FM162" s="38"/>
      <c r="FN162" s="38"/>
      <c r="FO162" s="38"/>
      <c r="FP162" s="38"/>
      <c r="FQ162" s="38"/>
      <c r="FR162" s="38"/>
      <c r="FS162" s="38"/>
      <c r="FT162" s="38"/>
      <c r="FU162" s="38"/>
      <c r="FV162" s="38"/>
      <c r="FW162" s="38"/>
      <c r="FX162" s="38"/>
      <c r="FY162" s="38"/>
      <c r="FZ162" s="38"/>
      <c r="GA162" s="38"/>
      <c r="GB162" s="38"/>
      <c r="GC162" s="38"/>
      <c r="GD162" s="38"/>
      <c r="GE162" s="38"/>
      <c r="GF162" s="38"/>
      <c r="GG162" s="38"/>
      <c r="GH162" s="38"/>
      <c r="GI162" s="38"/>
      <c r="GJ162" s="38"/>
      <c r="GK162" s="38"/>
      <c r="GL162" s="38"/>
      <c r="GM162" s="38"/>
      <c r="GN162" s="38"/>
      <c r="GO162" s="38"/>
      <c r="GP162" s="38"/>
      <c r="GQ162" s="38"/>
      <c r="GR162" s="38"/>
      <c r="GS162" s="38"/>
      <c r="GT162" s="38"/>
      <c r="GU162" s="38"/>
      <c r="GV162" s="38"/>
      <c r="GW162" s="38"/>
      <c r="GX162" s="38"/>
      <c r="GY162" s="38"/>
      <c r="GZ162" s="38"/>
      <c r="HA162" s="38"/>
      <c r="HB162" s="38"/>
      <c r="HC162" s="38"/>
      <c r="HD162" s="38"/>
      <c r="HE162" s="38"/>
      <c r="HF162" s="38"/>
      <c r="HG162" s="38"/>
      <c r="HH162" s="38"/>
      <c r="HI162" s="38"/>
      <c r="HJ162" s="38"/>
      <c r="HK162" s="38"/>
      <c r="HL162" s="38"/>
      <c r="HM162" s="38"/>
      <c r="HN162" s="38"/>
      <c r="HO162" s="38"/>
      <c r="HP162" s="38"/>
      <c r="HQ162" s="38"/>
      <c r="HR162" s="38"/>
      <c r="HS162" s="38"/>
      <c r="HT162" s="38"/>
      <c r="HU162" s="38"/>
      <c r="HV162" s="38"/>
      <c r="HW162" s="38"/>
      <c r="HX162" s="38"/>
      <c r="HY162" s="38"/>
      <c r="HZ162" s="38"/>
      <c r="IA162" s="38"/>
      <c r="IB162" s="38"/>
      <c r="IC162" s="38"/>
      <c r="ID162" s="38"/>
      <c r="IE162" s="38"/>
      <c r="IF162" s="38"/>
      <c r="IG162" s="38"/>
      <c r="IH162" s="38"/>
      <c r="II162" s="38"/>
      <c r="IJ162" s="38"/>
      <c r="IK162" s="38"/>
      <c r="IL162" s="38"/>
      <c r="IM162" s="38"/>
      <c r="IN162" s="38"/>
      <c r="IO162" s="38"/>
      <c r="IP162" s="38"/>
      <c r="IQ162" s="38"/>
      <c r="IR162" s="38"/>
      <c r="IS162" s="38"/>
      <c r="IT162" s="38"/>
      <c r="IU162" s="38"/>
      <c r="IV162" s="38"/>
      <c r="IW162" s="38"/>
      <c r="IX162" s="38"/>
      <c r="IY162" s="38"/>
      <c r="IZ162" s="38"/>
      <c r="JA162" s="38"/>
      <c r="JB162" s="38"/>
      <c r="JC162" s="38"/>
      <c r="JD162" s="38"/>
      <c r="JE162" s="38"/>
      <c r="JF162" s="38"/>
      <c r="JG162" s="38"/>
      <c r="JH162" s="38"/>
      <c r="JI162" s="38"/>
      <c r="JJ162" s="38"/>
      <c r="JK162" s="38"/>
      <c r="JL162" s="38"/>
      <c r="JM162" s="38"/>
      <c r="JN162" s="38"/>
      <c r="JO162" s="38"/>
      <c r="JP162" s="38"/>
      <c r="JQ162" s="38"/>
      <c r="JR162" s="38"/>
      <c r="JS162" s="38"/>
      <c r="JT162" s="38"/>
      <c r="JU162" s="38"/>
      <c r="JV162" s="38"/>
      <c r="JW162" s="38"/>
      <c r="JX162" s="38"/>
      <c r="JY162" s="38"/>
      <c r="JZ162" s="38"/>
      <c r="KA162" s="38"/>
      <c r="KB162" s="38"/>
      <c r="KC162" s="38"/>
      <c r="KD162" s="38"/>
      <c r="KE162" s="38"/>
      <c r="KF162" s="38"/>
      <c r="KG162" s="38"/>
      <c r="KH162" s="38"/>
      <c r="KI162" s="38"/>
      <c r="KJ162" s="38"/>
      <c r="KK162" s="38"/>
      <c r="KL162" s="38"/>
      <c r="KM162" s="38"/>
      <c r="KN162" s="38"/>
      <c r="KO162" s="38"/>
      <c r="KP162" s="38"/>
      <c r="KQ162" s="38"/>
      <c r="KR162" s="38"/>
      <c r="KS162" s="38"/>
      <c r="KT162" s="38"/>
      <c r="KU162" s="38"/>
      <c r="KV162" s="38"/>
      <c r="KW162" s="38"/>
      <c r="KX162" s="38"/>
      <c r="KY162" s="38"/>
      <c r="KZ162" s="38"/>
      <c r="LA162" s="38"/>
      <c r="LB162" s="38"/>
      <c r="LC162" s="38"/>
      <c r="LD162" s="38"/>
      <c r="LE162" s="38"/>
      <c r="LF162" s="38"/>
      <c r="LG162" s="38"/>
      <c r="LH162" s="38"/>
      <c r="LI162" s="38"/>
      <c r="LJ162" s="38"/>
      <c r="LK162" s="38"/>
      <c r="LL162" s="38"/>
      <c r="LM162" s="38"/>
      <c r="LN162" s="38"/>
      <c r="LO162" s="38"/>
      <c r="LP162" s="38"/>
      <c r="LQ162" s="38"/>
      <c r="LR162" s="38"/>
      <c r="LS162" s="38"/>
      <c r="LT162" s="38"/>
      <c r="LU162" s="38"/>
      <c r="LV162" s="38"/>
      <c r="LW162" s="38"/>
      <c r="LX162" s="38"/>
      <c r="LY162" s="38"/>
      <c r="LZ162" s="38"/>
      <c r="MA162" s="38"/>
      <c r="MB162" s="38"/>
      <c r="MC162" s="38"/>
      <c r="MD162" s="38"/>
      <c r="ME162" s="38"/>
      <c r="MF162" s="38"/>
      <c r="MG162" s="38"/>
      <c r="MH162" s="38"/>
      <c r="MI162" s="38"/>
      <c r="MJ162" s="38"/>
      <c r="MK162" s="38"/>
      <c r="ML162" s="38"/>
      <c r="MM162" s="38"/>
      <c r="MN162" s="38"/>
      <c r="MO162" s="38"/>
      <c r="MP162" s="38"/>
      <c r="MQ162" s="38"/>
      <c r="MR162" s="38"/>
      <c r="MS162" s="38"/>
      <c r="MT162" s="38"/>
      <c r="MU162" s="38"/>
      <c r="MV162" s="38"/>
      <c r="MW162" s="38"/>
      <c r="MX162" s="38"/>
      <c r="MY162" s="38"/>
      <c r="MZ162" s="38"/>
      <c r="NA162" s="38"/>
      <c r="NB162" s="38"/>
      <c r="NC162" s="38"/>
      <c r="ND162" s="38"/>
      <c r="NE162" s="38"/>
      <c r="NF162" s="38"/>
      <c r="NG162" s="38"/>
      <c r="NH162" s="38"/>
      <c r="NI162" s="38"/>
      <c r="NJ162" s="38"/>
      <c r="NK162" s="38"/>
      <c r="NL162" s="38"/>
      <c r="NM162" s="38"/>
      <c r="NN162" s="38"/>
      <c r="NO162" s="38"/>
      <c r="NP162" s="38"/>
      <c r="NQ162" s="38"/>
      <c r="NR162" s="38"/>
      <c r="NS162" s="38"/>
      <c r="NT162" s="38"/>
      <c r="NU162" s="38"/>
      <c r="NV162" s="38"/>
      <c r="NW162" s="38"/>
      <c r="NX162" s="38"/>
      <c r="NY162" s="38"/>
      <c r="NZ162" s="38"/>
      <c r="OA162" s="38"/>
      <c r="OB162" s="38"/>
      <c r="OC162" s="38"/>
      <c r="OD162" s="38"/>
      <c r="OE162" s="38"/>
      <c r="OF162" s="38"/>
      <c r="OG162" s="38"/>
      <c r="OH162" s="38"/>
      <c r="OI162" s="38"/>
      <c r="OJ162" s="38"/>
      <c r="OK162" s="38"/>
      <c r="OL162" s="38"/>
      <c r="OM162" s="38"/>
      <c r="ON162" s="38"/>
      <c r="OO162" s="38"/>
      <c r="OP162" s="38"/>
      <c r="OQ162" s="38"/>
      <c r="OR162" s="38"/>
      <c r="OS162" s="38"/>
      <c r="OT162" s="38"/>
      <c r="OU162" s="38"/>
      <c r="OV162" s="38"/>
      <c r="OW162" s="38"/>
      <c r="OX162" s="38"/>
      <c r="OY162" s="38"/>
      <c r="OZ162" s="38"/>
      <c r="PA162" s="38"/>
      <c r="PB162" s="38"/>
      <c r="PC162" s="38"/>
      <c r="PD162" s="38"/>
      <c r="PE162" s="38"/>
      <c r="PF162" s="38"/>
      <c r="PG162" s="38"/>
      <c r="PH162" s="38"/>
      <c r="PI162" s="38"/>
      <c r="PJ162" s="38"/>
      <c r="PK162" s="38"/>
      <c r="PL162" s="38"/>
      <c r="PM162" s="38"/>
      <c r="PN162" s="38"/>
      <c r="PO162" s="38"/>
      <c r="PP162" s="38"/>
      <c r="PQ162" s="38"/>
      <c r="PR162" s="38"/>
      <c r="PS162" s="38"/>
      <c r="PT162" s="38"/>
      <c r="PU162" s="38"/>
      <c r="PV162" s="38"/>
      <c r="PW162" s="38"/>
      <c r="PX162" s="38"/>
      <c r="PY162" s="38"/>
      <c r="PZ162" s="38"/>
      <c r="QA162" s="38"/>
      <c r="QB162" s="38"/>
      <c r="QC162" s="38"/>
      <c r="QD162" s="38"/>
      <c r="QE162" s="38"/>
      <c r="QF162" s="38"/>
      <c r="QG162" s="38"/>
      <c r="QH162" s="38"/>
      <c r="QI162" s="38"/>
      <c r="QJ162" s="38"/>
      <c r="QK162" s="38"/>
      <c r="QL162" s="38"/>
      <c r="QM162" s="38"/>
      <c r="QN162" s="38"/>
      <c r="QO162" s="38"/>
      <c r="QP162" s="38"/>
      <c r="QQ162" s="38"/>
      <c r="QR162" s="38"/>
      <c r="QS162" s="38"/>
      <c r="QT162" s="38"/>
      <c r="QU162" s="38"/>
      <c r="QV162" s="38"/>
      <c r="QW162" s="38"/>
      <c r="QX162" s="38"/>
      <c r="QY162" s="38"/>
      <c r="QZ162" s="38"/>
      <c r="RA162" s="38"/>
      <c r="RB162" s="38"/>
      <c r="RC162" s="38"/>
      <c r="RD162" s="38"/>
      <c r="RE162" s="38"/>
      <c r="RF162" s="38"/>
      <c r="RG162" s="38"/>
      <c r="RH162" s="38"/>
      <c r="RI162" s="38"/>
      <c r="RJ162" s="38"/>
      <c r="RK162" s="38"/>
      <c r="RL162" s="38"/>
      <c r="RM162" s="38"/>
      <c r="RN162" s="38"/>
      <c r="RO162" s="38"/>
      <c r="RP162" s="38"/>
      <c r="RQ162" s="38"/>
      <c r="RR162" s="38"/>
      <c r="RS162" s="38"/>
      <c r="RT162" s="38"/>
      <c r="RU162" s="38"/>
      <c r="RV162" s="38"/>
      <c r="RW162" s="38"/>
      <c r="RX162" s="38"/>
      <c r="RY162" s="38"/>
      <c r="RZ162" s="38"/>
      <c r="SA162" s="38"/>
      <c r="SB162" s="38"/>
      <c r="SC162" s="38"/>
      <c r="SD162" s="38"/>
      <c r="SE162" s="38"/>
      <c r="SF162" s="38"/>
      <c r="SG162" s="38"/>
      <c r="SH162" s="38"/>
      <c r="SI162" s="38"/>
      <c r="SJ162" s="38"/>
      <c r="SK162" s="38"/>
      <c r="SL162" s="38"/>
      <c r="SM162" s="38"/>
      <c r="SN162" s="38"/>
      <c r="SO162" s="38"/>
      <c r="SP162" s="38"/>
      <c r="SQ162" s="38"/>
      <c r="SR162" s="38"/>
      <c r="SS162" s="38"/>
      <c r="ST162" s="38"/>
      <c r="SU162" s="38"/>
      <c r="SV162" s="38"/>
      <c r="SW162" s="38"/>
      <c r="SX162" s="38"/>
      <c r="SY162" s="38"/>
      <c r="SZ162" s="38"/>
      <c r="TA162" s="38"/>
      <c r="TB162" s="38"/>
      <c r="TC162" s="38"/>
      <c r="TD162" s="38"/>
      <c r="TE162" s="38"/>
      <c r="TF162" s="38"/>
      <c r="TG162" s="38"/>
      <c r="TH162" s="38"/>
      <c r="TI162" s="38"/>
      <c r="TJ162" s="38"/>
      <c r="TK162" s="38"/>
      <c r="TL162" s="38"/>
      <c r="TM162" s="38"/>
    </row>
    <row r="163" spans="2:533" s="39" customFormat="1" ht="18.75" x14ac:dyDescent="0.25">
      <c r="B163" s="50">
        <v>125000</v>
      </c>
      <c r="C163" s="41" t="s">
        <v>317</v>
      </c>
      <c r="D163" s="108" t="s">
        <v>318</v>
      </c>
      <c r="E163" s="107" t="s">
        <v>103</v>
      </c>
      <c r="F163" s="109">
        <v>1</v>
      </c>
      <c r="G163" s="58"/>
      <c r="H163" s="71"/>
      <c r="I163" s="104">
        <f t="shared" si="27"/>
        <v>0</v>
      </c>
      <c r="J163" s="98" t="s">
        <v>167</v>
      </c>
      <c r="K163" s="104" t="s">
        <v>168</v>
      </c>
      <c r="L163" s="105"/>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c r="CH163" s="38"/>
      <c r="CI163" s="38"/>
      <c r="CJ163" s="38"/>
      <c r="CK163" s="38"/>
      <c r="CL163" s="38"/>
      <c r="CM163" s="38"/>
      <c r="CN163" s="38"/>
      <c r="CO163" s="38"/>
      <c r="CP163" s="38"/>
      <c r="CQ163" s="38"/>
      <c r="CR163" s="38"/>
      <c r="CS163" s="38"/>
      <c r="CT163" s="38"/>
      <c r="CU163" s="38"/>
      <c r="CV163" s="38"/>
      <c r="CW163" s="38"/>
      <c r="CX163" s="38"/>
      <c r="CY163" s="38"/>
      <c r="CZ163" s="38"/>
      <c r="DA163" s="38"/>
      <c r="DB163" s="38"/>
      <c r="DC163" s="38"/>
      <c r="DD163" s="38"/>
      <c r="DE163" s="38"/>
      <c r="DF163" s="38"/>
      <c r="DG163" s="38"/>
      <c r="DH163" s="38"/>
      <c r="DI163" s="38"/>
      <c r="DJ163" s="38"/>
      <c r="DK163" s="38"/>
      <c r="DL163" s="38"/>
      <c r="DM163" s="38"/>
      <c r="DN163" s="38"/>
      <c r="DO163" s="38"/>
      <c r="DP163" s="38"/>
      <c r="DQ163" s="38"/>
      <c r="DR163" s="38"/>
      <c r="DS163" s="38"/>
      <c r="DT163" s="38"/>
      <c r="DU163" s="38"/>
      <c r="DV163" s="38"/>
      <c r="DW163" s="38"/>
      <c r="DX163" s="38"/>
      <c r="DY163" s="38"/>
      <c r="DZ163" s="38"/>
      <c r="EA163" s="38"/>
      <c r="EB163" s="38"/>
      <c r="EC163" s="38"/>
      <c r="ED163" s="38"/>
      <c r="EE163" s="38"/>
      <c r="EF163" s="38"/>
      <c r="EG163" s="38"/>
      <c r="EH163" s="38"/>
      <c r="EI163" s="38"/>
      <c r="EJ163" s="38"/>
      <c r="EK163" s="38"/>
      <c r="EL163" s="38"/>
      <c r="EM163" s="38"/>
      <c r="EN163" s="38"/>
      <c r="EO163" s="38"/>
      <c r="EP163" s="38"/>
      <c r="EQ163" s="38"/>
      <c r="ER163" s="38"/>
      <c r="ES163" s="38"/>
      <c r="ET163" s="38"/>
      <c r="EU163" s="38"/>
      <c r="EV163" s="38"/>
      <c r="EW163" s="38"/>
      <c r="EX163" s="38"/>
      <c r="EY163" s="38"/>
      <c r="EZ163" s="38"/>
      <c r="FA163" s="38"/>
      <c r="FB163" s="38"/>
      <c r="FC163" s="38"/>
      <c r="FD163" s="38"/>
      <c r="FE163" s="38"/>
      <c r="FF163" s="38"/>
      <c r="FG163" s="38"/>
      <c r="FH163" s="38"/>
      <c r="FI163" s="38"/>
      <c r="FJ163" s="38"/>
      <c r="FK163" s="38"/>
      <c r="FL163" s="38"/>
      <c r="FM163" s="38"/>
      <c r="FN163" s="38"/>
      <c r="FO163" s="38"/>
      <c r="FP163" s="38"/>
      <c r="FQ163" s="38"/>
      <c r="FR163" s="38"/>
      <c r="FS163" s="38"/>
      <c r="FT163" s="38"/>
      <c r="FU163" s="38"/>
      <c r="FV163" s="38"/>
      <c r="FW163" s="38"/>
      <c r="FX163" s="38"/>
      <c r="FY163" s="38"/>
      <c r="FZ163" s="38"/>
      <c r="GA163" s="38"/>
      <c r="GB163" s="38"/>
      <c r="GC163" s="38"/>
      <c r="GD163" s="38"/>
      <c r="GE163" s="38"/>
      <c r="GF163" s="38"/>
      <c r="GG163" s="38"/>
      <c r="GH163" s="38"/>
      <c r="GI163" s="38"/>
      <c r="GJ163" s="38"/>
      <c r="GK163" s="38"/>
      <c r="GL163" s="38"/>
      <c r="GM163" s="38"/>
      <c r="GN163" s="38"/>
      <c r="GO163" s="38"/>
      <c r="GP163" s="38"/>
      <c r="GQ163" s="38"/>
      <c r="GR163" s="38"/>
      <c r="GS163" s="38"/>
      <c r="GT163" s="38"/>
      <c r="GU163" s="38"/>
      <c r="GV163" s="38"/>
      <c r="GW163" s="38"/>
      <c r="GX163" s="38"/>
      <c r="GY163" s="38"/>
      <c r="GZ163" s="38"/>
      <c r="HA163" s="38"/>
      <c r="HB163" s="38"/>
      <c r="HC163" s="38"/>
      <c r="HD163" s="38"/>
      <c r="HE163" s="38"/>
      <c r="HF163" s="38"/>
      <c r="HG163" s="38"/>
      <c r="HH163" s="38"/>
      <c r="HI163" s="38"/>
      <c r="HJ163" s="38"/>
      <c r="HK163" s="38"/>
      <c r="HL163" s="38"/>
      <c r="HM163" s="38"/>
      <c r="HN163" s="38"/>
      <c r="HO163" s="38"/>
      <c r="HP163" s="38"/>
      <c r="HQ163" s="38"/>
      <c r="HR163" s="38"/>
      <c r="HS163" s="38"/>
      <c r="HT163" s="38"/>
      <c r="HU163" s="38"/>
      <c r="HV163" s="38"/>
      <c r="HW163" s="38"/>
      <c r="HX163" s="38"/>
      <c r="HY163" s="38"/>
      <c r="HZ163" s="38"/>
      <c r="IA163" s="38"/>
      <c r="IB163" s="38"/>
      <c r="IC163" s="38"/>
      <c r="ID163" s="38"/>
      <c r="IE163" s="38"/>
      <c r="IF163" s="38"/>
      <c r="IG163" s="38"/>
      <c r="IH163" s="38"/>
      <c r="II163" s="38"/>
      <c r="IJ163" s="38"/>
      <c r="IK163" s="38"/>
      <c r="IL163" s="38"/>
      <c r="IM163" s="38"/>
      <c r="IN163" s="38"/>
      <c r="IO163" s="38"/>
      <c r="IP163" s="38"/>
      <c r="IQ163" s="38"/>
      <c r="IR163" s="38"/>
      <c r="IS163" s="38"/>
      <c r="IT163" s="38"/>
      <c r="IU163" s="38"/>
      <c r="IV163" s="38"/>
      <c r="IW163" s="38"/>
      <c r="IX163" s="38"/>
      <c r="IY163" s="38"/>
      <c r="IZ163" s="38"/>
      <c r="JA163" s="38"/>
      <c r="JB163" s="38"/>
      <c r="JC163" s="38"/>
      <c r="JD163" s="38"/>
      <c r="JE163" s="38"/>
      <c r="JF163" s="38"/>
      <c r="JG163" s="38"/>
      <c r="JH163" s="38"/>
      <c r="JI163" s="38"/>
      <c r="JJ163" s="38"/>
      <c r="JK163" s="38"/>
      <c r="JL163" s="38"/>
      <c r="JM163" s="38"/>
      <c r="JN163" s="38"/>
      <c r="JO163" s="38"/>
      <c r="JP163" s="38"/>
      <c r="JQ163" s="38"/>
      <c r="JR163" s="38"/>
      <c r="JS163" s="38"/>
      <c r="JT163" s="38"/>
      <c r="JU163" s="38"/>
      <c r="JV163" s="38"/>
      <c r="JW163" s="38"/>
      <c r="JX163" s="38"/>
      <c r="JY163" s="38"/>
      <c r="JZ163" s="38"/>
      <c r="KA163" s="38"/>
      <c r="KB163" s="38"/>
      <c r="KC163" s="38"/>
      <c r="KD163" s="38"/>
      <c r="KE163" s="38"/>
      <c r="KF163" s="38"/>
      <c r="KG163" s="38"/>
      <c r="KH163" s="38"/>
      <c r="KI163" s="38"/>
      <c r="KJ163" s="38"/>
      <c r="KK163" s="38"/>
      <c r="KL163" s="38"/>
      <c r="KM163" s="38"/>
      <c r="KN163" s="38"/>
      <c r="KO163" s="38"/>
      <c r="KP163" s="38"/>
      <c r="KQ163" s="38"/>
      <c r="KR163" s="38"/>
      <c r="KS163" s="38"/>
      <c r="KT163" s="38"/>
      <c r="KU163" s="38"/>
      <c r="KV163" s="38"/>
      <c r="KW163" s="38"/>
      <c r="KX163" s="38"/>
      <c r="KY163" s="38"/>
      <c r="KZ163" s="38"/>
      <c r="LA163" s="38"/>
      <c r="LB163" s="38"/>
      <c r="LC163" s="38"/>
      <c r="LD163" s="38"/>
      <c r="LE163" s="38"/>
      <c r="LF163" s="38"/>
      <c r="LG163" s="38"/>
      <c r="LH163" s="38"/>
      <c r="LI163" s="38"/>
      <c r="LJ163" s="38"/>
      <c r="LK163" s="38"/>
      <c r="LL163" s="38"/>
      <c r="LM163" s="38"/>
      <c r="LN163" s="38"/>
      <c r="LO163" s="38"/>
      <c r="LP163" s="38"/>
      <c r="LQ163" s="38"/>
      <c r="LR163" s="38"/>
      <c r="LS163" s="38"/>
      <c r="LT163" s="38"/>
      <c r="LU163" s="38"/>
      <c r="LV163" s="38"/>
      <c r="LW163" s="38"/>
      <c r="LX163" s="38"/>
      <c r="LY163" s="38"/>
      <c r="LZ163" s="38"/>
      <c r="MA163" s="38"/>
      <c r="MB163" s="38"/>
      <c r="MC163" s="38"/>
      <c r="MD163" s="38"/>
      <c r="ME163" s="38"/>
      <c r="MF163" s="38"/>
      <c r="MG163" s="38"/>
      <c r="MH163" s="38"/>
      <c r="MI163" s="38"/>
      <c r="MJ163" s="38"/>
      <c r="MK163" s="38"/>
      <c r="ML163" s="38"/>
      <c r="MM163" s="38"/>
      <c r="MN163" s="38"/>
      <c r="MO163" s="38"/>
      <c r="MP163" s="38"/>
      <c r="MQ163" s="38"/>
      <c r="MR163" s="38"/>
      <c r="MS163" s="38"/>
      <c r="MT163" s="38"/>
      <c r="MU163" s="38"/>
      <c r="MV163" s="38"/>
      <c r="MW163" s="38"/>
      <c r="MX163" s="38"/>
      <c r="MY163" s="38"/>
      <c r="MZ163" s="38"/>
      <c r="NA163" s="38"/>
      <c r="NB163" s="38"/>
      <c r="NC163" s="38"/>
      <c r="ND163" s="38"/>
      <c r="NE163" s="38"/>
      <c r="NF163" s="38"/>
      <c r="NG163" s="38"/>
      <c r="NH163" s="38"/>
      <c r="NI163" s="38"/>
      <c r="NJ163" s="38"/>
      <c r="NK163" s="38"/>
      <c r="NL163" s="38"/>
      <c r="NM163" s="38"/>
      <c r="NN163" s="38"/>
      <c r="NO163" s="38"/>
      <c r="NP163" s="38"/>
      <c r="NQ163" s="38"/>
      <c r="NR163" s="38"/>
      <c r="NS163" s="38"/>
      <c r="NT163" s="38"/>
      <c r="NU163" s="38"/>
      <c r="NV163" s="38"/>
      <c r="NW163" s="38"/>
      <c r="NX163" s="38"/>
      <c r="NY163" s="38"/>
      <c r="NZ163" s="38"/>
      <c r="OA163" s="38"/>
      <c r="OB163" s="38"/>
      <c r="OC163" s="38"/>
      <c r="OD163" s="38"/>
      <c r="OE163" s="38"/>
      <c r="OF163" s="38"/>
      <c r="OG163" s="38"/>
      <c r="OH163" s="38"/>
      <c r="OI163" s="38"/>
      <c r="OJ163" s="38"/>
      <c r="OK163" s="38"/>
      <c r="OL163" s="38"/>
      <c r="OM163" s="38"/>
      <c r="ON163" s="38"/>
      <c r="OO163" s="38"/>
      <c r="OP163" s="38"/>
      <c r="OQ163" s="38"/>
      <c r="OR163" s="38"/>
      <c r="OS163" s="38"/>
      <c r="OT163" s="38"/>
      <c r="OU163" s="38"/>
      <c r="OV163" s="38"/>
      <c r="OW163" s="38"/>
      <c r="OX163" s="38"/>
      <c r="OY163" s="38"/>
      <c r="OZ163" s="38"/>
      <c r="PA163" s="38"/>
      <c r="PB163" s="38"/>
      <c r="PC163" s="38"/>
      <c r="PD163" s="38"/>
      <c r="PE163" s="38"/>
      <c r="PF163" s="38"/>
      <c r="PG163" s="38"/>
      <c r="PH163" s="38"/>
      <c r="PI163" s="38"/>
      <c r="PJ163" s="38"/>
      <c r="PK163" s="38"/>
      <c r="PL163" s="38"/>
      <c r="PM163" s="38"/>
      <c r="PN163" s="38"/>
      <c r="PO163" s="38"/>
      <c r="PP163" s="38"/>
      <c r="PQ163" s="38"/>
      <c r="PR163" s="38"/>
      <c r="PS163" s="38"/>
      <c r="PT163" s="38"/>
      <c r="PU163" s="38"/>
      <c r="PV163" s="38"/>
      <c r="PW163" s="38"/>
      <c r="PX163" s="38"/>
      <c r="PY163" s="38"/>
      <c r="PZ163" s="38"/>
      <c r="QA163" s="38"/>
      <c r="QB163" s="38"/>
      <c r="QC163" s="38"/>
      <c r="QD163" s="38"/>
      <c r="QE163" s="38"/>
      <c r="QF163" s="38"/>
      <c r="QG163" s="38"/>
      <c r="QH163" s="38"/>
      <c r="QI163" s="38"/>
      <c r="QJ163" s="38"/>
      <c r="QK163" s="38"/>
      <c r="QL163" s="38"/>
      <c r="QM163" s="38"/>
      <c r="QN163" s="38"/>
      <c r="QO163" s="38"/>
      <c r="QP163" s="38"/>
      <c r="QQ163" s="38"/>
      <c r="QR163" s="38"/>
      <c r="QS163" s="38"/>
      <c r="QT163" s="38"/>
      <c r="QU163" s="38"/>
      <c r="QV163" s="38"/>
      <c r="QW163" s="38"/>
      <c r="QX163" s="38"/>
      <c r="QY163" s="38"/>
      <c r="QZ163" s="38"/>
      <c r="RA163" s="38"/>
      <c r="RB163" s="38"/>
      <c r="RC163" s="38"/>
      <c r="RD163" s="38"/>
      <c r="RE163" s="38"/>
      <c r="RF163" s="38"/>
      <c r="RG163" s="38"/>
      <c r="RH163" s="38"/>
      <c r="RI163" s="38"/>
      <c r="RJ163" s="38"/>
      <c r="RK163" s="38"/>
      <c r="RL163" s="38"/>
      <c r="RM163" s="38"/>
      <c r="RN163" s="38"/>
      <c r="RO163" s="38"/>
      <c r="RP163" s="38"/>
      <c r="RQ163" s="38"/>
      <c r="RR163" s="38"/>
      <c r="RS163" s="38"/>
      <c r="RT163" s="38"/>
      <c r="RU163" s="38"/>
      <c r="RV163" s="38"/>
      <c r="RW163" s="38"/>
      <c r="RX163" s="38"/>
      <c r="RY163" s="38"/>
      <c r="RZ163" s="38"/>
      <c r="SA163" s="38"/>
      <c r="SB163" s="38"/>
      <c r="SC163" s="38"/>
      <c r="SD163" s="38"/>
      <c r="SE163" s="38"/>
      <c r="SF163" s="38"/>
      <c r="SG163" s="38"/>
      <c r="SH163" s="38"/>
      <c r="SI163" s="38"/>
      <c r="SJ163" s="38"/>
      <c r="SK163" s="38"/>
      <c r="SL163" s="38"/>
      <c r="SM163" s="38"/>
      <c r="SN163" s="38"/>
      <c r="SO163" s="38"/>
      <c r="SP163" s="38"/>
      <c r="SQ163" s="38"/>
      <c r="SR163" s="38"/>
      <c r="SS163" s="38"/>
      <c r="ST163" s="38"/>
      <c r="SU163" s="38"/>
      <c r="SV163" s="38"/>
      <c r="SW163" s="38"/>
      <c r="SX163" s="38"/>
      <c r="SY163" s="38"/>
      <c r="SZ163" s="38"/>
      <c r="TA163" s="38"/>
      <c r="TB163" s="38"/>
      <c r="TC163" s="38"/>
      <c r="TD163" s="38"/>
      <c r="TE163" s="38"/>
      <c r="TF163" s="38"/>
      <c r="TG163" s="38"/>
      <c r="TH163" s="38"/>
      <c r="TI163" s="38"/>
      <c r="TJ163" s="38"/>
      <c r="TK163" s="38"/>
      <c r="TL163" s="38"/>
      <c r="TM163" s="38"/>
    </row>
    <row r="164" spans="2:533" s="39" customFormat="1" ht="18.75" x14ac:dyDescent="0.25">
      <c r="B164" s="50">
        <v>125000</v>
      </c>
      <c r="C164" s="41" t="s">
        <v>319</v>
      </c>
      <c r="D164" s="108" t="s">
        <v>320</v>
      </c>
      <c r="E164" s="107" t="s">
        <v>103</v>
      </c>
      <c r="F164" s="109">
        <v>9</v>
      </c>
      <c r="G164" s="58"/>
      <c r="H164" s="71"/>
      <c r="I164" s="104">
        <f t="shared" si="27"/>
        <v>0</v>
      </c>
      <c r="J164" s="98" t="s">
        <v>167</v>
      </c>
      <c r="K164" s="104" t="s">
        <v>168</v>
      </c>
      <c r="L164" s="105"/>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8"/>
      <c r="CM164" s="38"/>
      <c r="CN164" s="38"/>
      <c r="CO164" s="38"/>
      <c r="CP164" s="38"/>
      <c r="CQ164" s="38"/>
      <c r="CR164" s="38"/>
      <c r="CS164" s="38"/>
      <c r="CT164" s="38"/>
      <c r="CU164" s="38"/>
      <c r="CV164" s="38"/>
      <c r="CW164" s="38"/>
      <c r="CX164" s="38"/>
      <c r="CY164" s="38"/>
      <c r="CZ164" s="38"/>
      <c r="DA164" s="38"/>
      <c r="DB164" s="38"/>
      <c r="DC164" s="38"/>
      <c r="DD164" s="38"/>
      <c r="DE164" s="38"/>
      <c r="DF164" s="38"/>
      <c r="DG164" s="38"/>
      <c r="DH164" s="38"/>
      <c r="DI164" s="38"/>
      <c r="DJ164" s="38"/>
      <c r="DK164" s="38"/>
      <c r="DL164" s="38"/>
      <c r="DM164" s="38"/>
      <c r="DN164" s="38"/>
      <c r="DO164" s="38"/>
      <c r="DP164" s="38"/>
      <c r="DQ164" s="38"/>
      <c r="DR164" s="38"/>
      <c r="DS164" s="38"/>
      <c r="DT164" s="38"/>
      <c r="DU164" s="38"/>
      <c r="DV164" s="38"/>
      <c r="DW164" s="38"/>
      <c r="DX164" s="38"/>
      <c r="DY164" s="38"/>
      <c r="DZ164" s="38"/>
      <c r="EA164" s="38"/>
      <c r="EB164" s="38"/>
      <c r="EC164" s="38"/>
      <c r="ED164" s="38"/>
      <c r="EE164" s="38"/>
      <c r="EF164" s="38"/>
      <c r="EG164" s="38"/>
      <c r="EH164" s="38"/>
      <c r="EI164" s="38"/>
      <c r="EJ164" s="38"/>
      <c r="EK164" s="38"/>
      <c r="EL164" s="38"/>
      <c r="EM164" s="38"/>
      <c r="EN164" s="38"/>
      <c r="EO164" s="38"/>
      <c r="EP164" s="38"/>
      <c r="EQ164" s="38"/>
      <c r="ER164" s="38"/>
      <c r="ES164" s="38"/>
      <c r="ET164" s="38"/>
      <c r="EU164" s="38"/>
      <c r="EV164" s="38"/>
      <c r="EW164" s="38"/>
      <c r="EX164" s="38"/>
      <c r="EY164" s="38"/>
      <c r="EZ164" s="38"/>
      <c r="FA164" s="38"/>
      <c r="FB164" s="38"/>
      <c r="FC164" s="38"/>
      <c r="FD164" s="38"/>
      <c r="FE164" s="38"/>
      <c r="FF164" s="38"/>
      <c r="FG164" s="38"/>
      <c r="FH164" s="38"/>
      <c r="FI164" s="38"/>
      <c r="FJ164" s="38"/>
      <c r="FK164" s="38"/>
      <c r="FL164" s="38"/>
      <c r="FM164" s="38"/>
      <c r="FN164" s="38"/>
      <c r="FO164" s="38"/>
      <c r="FP164" s="38"/>
      <c r="FQ164" s="38"/>
      <c r="FR164" s="38"/>
      <c r="FS164" s="38"/>
      <c r="FT164" s="38"/>
      <c r="FU164" s="38"/>
      <c r="FV164" s="38"/>
      <c r="FW164" s="38"/>
      <c r="FX164" s="38"/>
      <c r="FY164" s="38"/>
      <c r="FZ164" s="38"/>
      <c r="GA164" s="38"/>
      <c r="GB164" s="38"/>
      <c r="GC164" s="38"/>
      <c r="GD164" s="38"/>
      <c r="GE164" s="38"/>
      <c r="GF164" s="38"/>
      <c r="GG164" s="38"/>
      <c r="GH164" s="38"/>
      <c r="GI164" s="38"/>
      <c r="GJ164" s="38"/>
      <c r="GK164" s="38"/>
      <c r="GL164" s="38"/>
      <c r="GM164" s="38"/>
      <c r="GN164" s="38"/>
      <c r="GO164" s="38"/>
      <c r="GP164" s="38"/>
      <c r="GQ164" s="38"/>
      <c r="GR164" s="38"/>
      <c r="GS164" s="38"/>
      <c r="GT164" s="38"/>
      <c r="GU164" s="38"/>
      <c r="GV164" s="38"/>
      <c r="GW164" s="38"/>
      <c r="GX164" s="38"/>
      <c r="GY164" s="38"/>
      <c r="GZ164" s="38"/>
      <c r="HA164" s="38"/>
      <c r="HB164" s="38"/>
      <c r="HC164" s="38"/>
      <c r="HD164" s="38"/>
      <c r="HE164" s="38"/>
      <c r="HF164" s="38"/>
      <c r="HG164" s="38"/>
      <c r="HH164" s="38"/>
      <c r="HI164" s="38"/>
      <c r="HJ164" s="38"/>
      <c r="HK164" s="38"/>
      <c r="HL164" s="38"/>
      <c r="HM164" s="38"/>
      <c r="HN164" s="38"/>
      <c r="HO164" s="38"/>
      <c r="HP164" s="38"/>
      <c r="HQ164" s="38"/>
      <c r="HR164" s="38"/>
      <c r="HS164" s="38"/>
      <c r="HT164" s="38"/>
      <c r="HU164" s="38"/>
      <c r="HV164" s="38"/>
      <c r="HW164" s="38"/>
      <c r="HX164" s="38"/>
      <c r="HY164" s="38"/>
      <c r="HZ164" s="38"/>
      <c r="IA164" s="38"/>
      <c r="IB164" s="38"/>
      <c r="IC164" s="38"/>
      <c r="ID164" s="38"/>
      <c r="IE164" s="38"/>
      <c r="IF164" s="38"/>
      <c r="IG164" s="38"/>
      <c r="IH164" s="38"/>
      <c r="II164" s="38"/>
      <c r="IJ164" s="38"/>
      <c r="IK164" s="38"/>
      <c r="IL164" s="38"/>
      <c r="IM164" s="38"/>
      <c r="IN164" s="38"/>
      <c r="IO164" s="38"/>
      <c r="IP164" s="38"/>
      <c r="IQ164" s="38"/>
      <c r="IR164" s="38"/>
      <c r="IS164" s="38"/>
      <c r="IT164" s="38"/>
      <c r="IU164" s="38"/>
      <c r="IV164" s="38"/>
      <c r="IW164" s="38"/>
      <c r="IX164" s="38"/>
      <c r="IY164" s="38"/>
      <c r="IZ164" s="38"/>
      <c r="JA164" s="38"/>
      <c r="JB164" s="38"/>
      <c r="JC164" s="38"/>
      <c r="JD164" s="38"/>
      <c r="JE164" s="38"/>
      <c r="JF164" s="38"/>
      <c r="JG164" s="38"/>
      <c r="JH164" s="38"/>
      <c r="JI164" s="38"/>
      <c r="JJ164" s="38"/>
      <c r="JK164" s="38"/>
      <c r="JL164" s="38"/>
      <c r="JM164" s="38"/>
      <c r="JN164" s="38"/>
      <c r="JO164" s="38"/>
      <c r="JP164" s="38"/>
      <c r="JQ164" s="38"/>
      <c r="JR164" s="38"/>
      <c r="JS164" s="38"/>
      <c r="JT164" s="38"/>
      <c r="JU164" s="38"/>
      <c r="JV164" s="38"/>
      <c r="JW164" s="38"/>
      <c r="JX164" s="38"/>
      <c r="JY164" s="38"/>
      <c r="JZ164" s="38"/>
      <c r="KA164" s="38"/>
      <c r="KB164" s="38"/>
      <c r="KC164" s="38"/>
      <c r="KD164" s="38"/>
      <c r="KE164" s="38"/>
      <c r="KF164" s="38"/>
      <c r="KG164" s="38"/>
      <c r="KH164" s="38"/>
      <c r="KI164" s="38"/>
      <c r="KJ164" s="38"/>
      <c r="KK164" s="38"/>
      <c r="KL164" s="38"/>
      <c r="KM164" s="38"/>
      <c r="KN164" s="38"/>
      <c r="KO164" s="38"/>
      <c r="KP164" s="38"/>
      <c r="KQ164" s="38"/>
      <c r="KR164" s="38"/>
      <c r="KS164" s="38"/>
      <c r="KT164" s="38"/>
      <c r="KU164" s="38"/>
      <c r="KV164" s="38"/>
      <c r="KW164" s="38"/>
      <c r="KX164" s="38"/>
      <c r="KY164" s="38"/>
      <c r="KZ164" s="38"/>
      <c r="LA164" s="38"/>
      <c r="LB164" s="38"/>
      <c r="LC164" s="38"/>
      <c r="LD164" s="38"/>
      <c r="LE164" s="38"/>
      <c r="LF164" s="38"/>
      <c r="LG164" s="38"/>
      <c r="LH164" s="38"/>
      <c r="LI164" s="38"/>
      <c r="LJ164" s="38"/>
      <c r="LK164" s="38"/>
      <c r="LL164" s="38"/>
      <c r="LM164" s="38"/>
      <c r="LN164" s="38"/>
      <c r="LO164" s="38"/>
      <c r="LP164" s="38"/>
      <c r="LQ164" s="38"/>
      <c r="LR164" s="38"/>
      <c r="LS164" s="38"/>
      <c r="LT164" s="38"/>
      <c r="LU164" s="38"/>
      <c r="LV164" s="38"/>
      <c r="LW164" s="38"/>
      <c r="LX164" s="38"/>
      <c r="LY164" s="38"/>
      <c r="LZ164" s="38"/>
      <c r="MA164" s="38"/>
      <c r="MB164" s="38"/>
      <c r="MC164" s="38"/>
      <c r="MD164" s="38"/>
      <c r="ME164" s="38"/>
      <c r="MF164" s="38"/>
      <c r="MG164" s="38"/>
      <c r="MH164" s="38"/>
      <c r="MI164" s="38"/>
      <c r="MJ164" s="38"/>
      <c r="MK164" s="38"/>
      <c r="ML164" s="38"/>
      <c r="MM164" s="38"/>
      <c r="MN164" s="38"/>
      <c r="MO164" s="38"/>
      <c r="MP164" s="38"/>
      <c r="MQ164" s="38"/>
      <c r="MR164" s="38"/>
      <c r="MS164" s="38"/>
      <c r="MT164" s="38"/>
      <c r="MU164" s="38"/>
      <c r="MV164" s="38"/>
      <c r="MW164" s="38"/>
      <c r="MX164" s="38"/>
      <c r="MY164" s="38"/>
      <c r="MZ164" s="38"/>
      <c r="NA164" s="38"/>
      <c r="NB164" s="38"/>
      <c r="NC164" s="38"/>
      <c r="ND164" s="38"/>
      <c r="NE164" s="38"/>
      <c r="NF164" s="38"/>
      <c r="NG164" s="38"/>
      <c r="NH164" s="38"/>
      <c r="NI164" s="38"/>
      <c r="NJ164" s="38"/>
      <c r="NK164" s="38"/>
      <c r="NL164" s="38"/>
      <c r="NM164" s="38"/>
      <c r="NN164" s="38"/>
      <c r="NO164" s="38"/>
      <c r="NP164" s="38"/>
      <c r="NQ164" s="38"/>
      <c r="NR164" s="38"/>
      <c r="NS164" s="38"/>
      <c r="NT164" s="38"/>
      <c r="NU164" s="38"/>
      <c r="NV164" s="38"/>
      <c r="NW164" s="38"/>
      <c r="NX164" s="38"/>
      <c r="NY164" s="38"/>
      <c r="NZ164" s="38"/>
      <c r="OA164" s="38"/>
      <c r="OB164" s="38"/>
      <c r="OC164" s="38"/>
      <c r="OD164" s="38"/>
      <c r="OE164" s="38"/>
      <c r="OF164" s="38"/>
      <c r="OG164" s="38"/>
      <c r="OH164" s="38"/>
      <c r="OI164" s="38"/>
      <c r="OJ164" s="38"/>
      <c r="OK164" s="38"/>
      <c r="OL164" s="38"/>
      <c r="OM164" s="38"/>
      <c r="ON164" s="38"/>
      <c r="OO164" s="38"/>
      <c r="OP164" s="38"/>
      <c r="OQ164" s="38"/>
      <c r="OR164" s="38"/>
      <c r="OS164" s="38"/>
      <c r="OT164" s="38"/>
      <c r="OU164" s="38"/>
      <c r="OV164" s="38"/>
      <c r="OW164" s="38"/>
      <c r="OX164" s="38"/>
      <c r="OY164" s="38"/>
      <c r="OZ164" s="38"/>
      <c r="PA164" s="38"/>
      <c r="PB164" s="38"/>
      <c r="PC164" s="38"/>
      <c r="PD164" s="38"/>
      <c r="PE164" s="38"/>
      <c r="PF164" s="38"/>
      <c r="PG164" s="38"/>
      <c r="PH164" s="38"/>
      <c r="PI164" s="38"/>
      <c r="PJ164" s="38"/>
      <c r="PK164" s="38"/>
      <c r="PL164" s="38"/>
      <c r="PM164" s="38"/>
      <c r="PN164" s="38"/>
      <c r="PO164" s="38"/>
      <c r="PP164" s="38"/>
      <c r="PQ164" s="38"/>
      <c r="PR164" s="38"/>
      <c r="PS164" s="38"/>
      <c r="PT164" s="38"/>
      <c r="PU164" s="38"/>
      <c r="PV164" s="38"/>
      <c r="PW164" s="38"/>
      <c r="PX164" s="38"/>
      <c r="PY164" s="38"/>
      <c r="PZ164" s="38"/>
      <c r="QA164" s="38"/>
      <c r="QB164" s="38"/>
      <c r="QC164" s="38"/>
      <c r="QD164" s="38"/>
      <c r="QE164" s="38"/>
      <c r="QF164" s="38"/>
      <c r="QG164" s="38"/>
      <c r="QH164" s="38"/>
      <c r="QI164" s="38"/>
      <c r="QJ164" s="38"/>
      <c r="QK164" s="38"/>
      <c r="QL164" s="38"/>
      <c r="QM164" s="38"/>
      <c r="QN164" s="38"/>
      <c r="QO164" s="38"/>
      <c r="QP164" s="38"/>
      <c r="QQ164" s="38"/>
      <c r="QR164" s="38"/>
      <c r="QS164" s="38"/>
      <c r="QT164" s="38"/>
      <c r="QU164" s="38"/>
      <c r="QV164" s="38"/>
      <c r="QW164" s="38"/>
      <c r="QX164" s="38"/>
      <c r="QY164" s="38"/>
      <c r="QZ164" s="38"/>
      <c r="RA164" s="38"/>
      <c r="RB164" s="38"/>
      <c r="RC164" s="38"/>
      <c r="RD164" s="38"/>
      <c r="RE164" s="38"/>
      <c r="RF164" s="38"/>
      <c r="RG164" s="38"/>
      <c r="RH164" s="38"/>
      <c r="RI164" s="38"/>
      <c r="RJ164" s="38"/>
      <c r="RK164" s="38"/>
      <c r="RL164" s="38"/>
      <c r="RM164" s="38"/>
      <c r="RN164" s="38"/>
      <c r="RO164" s="38"/>
      <c r="RP164" s="38"/>
      <c r="RQ164" s="38"/>
      <c r="RR164" s="38"/>
      <c r="RS164" s="38"/>
      <c r="RT164" s="38"/>
      <c r="RU164" s="38"/>
      <c r="RV164" s="38"/>
      <c r="RW164" s="38"/>
      <c r="RX164" s="38"/>
      <c r="RY164" s="38"/>
      <c r="RZ164" s="38"/>
      <c r="SA164" s="38"/>
      <c r="SB164" s="38"/>
      <c r="SC164" s="38"/>
      <c r="SD164" s="38"/>
      <c r="SE164" s="38"/>
      <c r="SF164" s="38"/>
      <c r="SG164" s="38"/>
      <c r="SH164" s="38"/>
      <c r="SI164" s="38"/>
      <c r="SJ164" s="38"/>
      <c r="SK164" s="38"/>
      <c r="SL164" s="38"/>
      <c r="SM164" s="38"/>
      <c r="SN164" s="38"/>
      <c r="SO164" s="38"/>
      <c r="SP164" s="38"/>
      <c r="SQ164" s="38"/>
      <c r="SR164" s="38"/>
      <c r="SS164" s="38"/>
      <c r="ST164" s="38"/>
      <c r="SU164" s="38"/>
      <c r="SV164" s="38"/>
      <c r="SW164" s="38"/>
      <c r="SX164" s="38"/>
      <c r="SY164" s="38"/>
      <c r="SZ164" s="38"/>
      <c r="TA164" s="38"/>
      <c r="TB164" s="38"/>
      <c r="TC164" s="38"/>
      <c r="TD164" s="38"/>
      <c r="TE164" s="38"/>
      <c r="TF164" s="38"/>
      <c r="TG164" s="38"/>
      <c r="TH164" s="38"/>
      <c r="TI164" s="38"/>
      <c r="TJ164" s="38"/>
      <c r="TK164" s="38"/>
      <c r="TL164" s="38"/>
      <c r="TM164" s="38"/>
    </row>
    <row r="165" spans="2:533" s="39" customFormat="1" ht="18.75" x14ac:dyDescent="0.25">
      <c r="B165" s="50">
        <v>125000</v>
      </c>
      <c r="C165" s="41" t="s">
        <v>321</v>
      </c>
      <c r="D165" s="108" t="s">
        <v>322</v>
      </c>
      <c r="E165" s="107" t="s">
        <v>103</v>
      </c>
      <c r="F165" s="109">
        <v>1</v>
      </c>
      <c r="G165" s="58"/>
      <c r="H165" s="71"/>
      <c r="I165" s="104">
        <f t="shared" si="27"/>
        <v>0</v>
      </c>
      <c r="J165" s="98" t="s">
        <v>167</v>
      </c>
      <c r="K165" s="104" t="s">
        <v>168</v>
      </c>
      <c r="L165" s="105"/>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c r="CD165" s="38"/>
      <c r="CE165" s="38"/>
      <c r="CF165" s="38"/>
      <c r="CG165" s="38"/>
      <c r="CH165" s="38"/>
      <c r="CI165" s="38"/>
      <c r="CJ165" s="38"/>
      <c r="CK165" s="38"/>
      <c r="CL165" s="38"/>
      <c r="CM165" s="38"/>
      <c r="CN165" s="38"/>
      <c r="CO165" s="38"/>
      <c r="CP165" s="38"/>
      <c r="CQ165" s="38"/>
      <c r="CR165" s="38"/>
      <c r="CS165" s="38"/>
      <c r="CT165" s="38"/>
      <c r="CU165" s="38"/>
      <c r="CV165" s="38"/>
      <c r="CW165" s="38"/>
      <c r="CX165" s="38"/>
      <c r="CY165" s="38"/>
      <c r="CZ165" s="38"/>
      <c r="DA165" s="38"/>
      <c r="DB165" s="38"/>
      <c r="DC165" s="38"/>
      <c r="DD165" s="38"/>
      <c r="DE165" s="38"/>
      <c r="DF165" s="38"/>
      <c r="DG165" s="38"/>
      <c r="DH165" s="38"/>
      <c r="DI165" s="38"/>
      <c r="DJ165" s="38"/>
      <c r="DK165" s="38"/>
      <c r="DL165" s="38"/>
      <c r="DM165" s="38"/>
      <c r="DN165" s="38"/>
      <c r="DO165" s="38"/>
      <c r="DP165" s="38"/>
      <c r="DQ165" s="38"/>
      <c r="DR165" s="38"/>
      <c r="DS165" s="38"/>
      <c r="DT165" s="38"/>
      <c r="DU165" s="38"/>
      <c r="DV165" s="38"/>
      <c r="DW165" s="38"/>
      <c r="DX165" s="38"/>
      <c r="DY165" s="38"/>
      <c r="DZ165" s="38"/>
      <c r="EA165" s="38"/>
      <c r="EB165" s="38"/>
      <c r="EC165" s="38"/>
      <c r="ED165" s="38"/>
      <c r="EE165" s="38"/>
      <c r="EF165" s="38"/>
      <c r="EG165" s="38"/>
      <c r="EH165" s="38"/>
      <c r="EI165" s="38"/>
      <c r="EJ165" s="38"/>
      <c r="EK165" s="38"/>
      <c r="EL165" s="38"/>
      <c r="EM165" s="38"/>
      <c r="EN165" s="38"/>
      <c r="EO165" s="38"/>
      <c r="EP165" s="38"/>
      <c r="EQ165" s="38"/>
      <c r="ER165" s="38"/>
      <c r="ES165" s="38"/>
      <c r="ET165" s="38"/>
      <c r="EU165" s="38"/>
      <c r="EV165" s="38"/>
      <c r="EW165" s="38"/>
      <c r="EX165" s="38"/>
      <c r="EY165" s="38"/>
      <c r="EZ165" s="38"/>
      <c r="FA165" s="38"/>
      <c r="FB165" s="38"/>
      <c r="FC165" s="38"/>
      <c r="FD165" s="38"/>
      <c r="FE165" s="38"/>
      <c r="FF165" s="38"/>
      <c r="FG165" s="38"/>
      <c r="FH165" s="38"/>
      <c r="FI165" s="38"/>
      <c r="FJ165" s="38"/>
      <c r="FK165" s="38"/>
      <c r="FL165" s="38"/>
      <c r="FM165" s="38"/>
      <c r="FN165" s="38"/>
      <c r="FO165" s="38"/>
      <c r="FP165" s="38"/>
      <c r="FQ165" s="38"/>
      <c r="FR165" s="38"/>
      <c r="FS165" s="38"/>
      <c r="FT165" s="38"/>
      <c r="FU165" s="38"/>
      <c r="FV165" s="38"/>
      <c r="FW165" s="38"/>
      <c r="FX165" s="38"/>
      <c r="FY165" s="38"/>
      <c r="FZ165" s="38"/>
      <c r="GA165" s="38"/>
      <c r="GB165" s="38"/>
      <c r="GC165" s="38"/>
      <c r="GD165" s="38"/>
      <c r="GE165" s="38"/>
      <c r="GF165" s="38"/>
      <c r="GG165" s="38"/>
      <c r="GH165" s="38"/>
      <c r="GI165" s="38"/>
      <c r="GJ165" s="38"/>
      <c r="GK165" s="38"/>
      <c r="GL165" s="38"/>
      <c r="GM165" s="38"/>
      <c r="GN165" s="38"/>
      <c r="GO165" s="38"/>
      <c r="GP165" s="38"/>
      <c r="GQ165" s="38"/>
      <c r="GR165" s="38"/>
      <c r="GS165" s="38"/>
      <c r="GT165" s="38"/>
      <c r="GU165" s="38"/>
      <c r="GV165" s="38"/>
      <c r="GW165" s="38"/>
      <c r="GX165" s="38"/>
      <c r="GY165" s="38"/>
      <c r="GZ165" s="38"/>
      <c r="HA165" s="38"/>
      <c r="HB165" s="38"/>
      <c r="HC165" s="38"/>
      <c r="HD165" s="38"/>
      <c r="HE165" s="38"/>
      <c r="HF165" s="38"/>
      <c r="HG165" s="38"/>
      <c r="HH165" s="38"/>
      <c r="HI165" s="38"/>
      <c r="HJ165" s="38"/>
      <c r="HK165" s="38"/>
      <c r="HL165" s="38"/>
      <c r="HM165" s="38"/>
      <c r="HN165" s="38"/>
      <c r="HO165" s="38"/>
      <c r="HP165" s="38"/>
      <c r="HQ165" s="38"/>
      <c r="HR165" s="38"/>
      <c r="HS165" s="38"/>
      <c r="HT165" s="38"/>
      <c r="HU165" s="38"/>
      <c r="HV165" s="38"/>
      <c r="HW165" s="38"/>
      <c r="HX165" s="38"/>
      <c r="HY165" s="38"/>
      <c r="HZ165" s="38"/>
      <c r="IA165" s="38"/>
      <c r="IB165" s="38"/>
      <c r="IC165" s="38"/>
      <c r="ID165" s="38"/>
      <c r="IE165" s="38"/>
      <c r="IF165" s="38"/>
      <c r="IG165" s="38"/>
      <c r="IH165" s="38"/>
      <c r="II165" s="38"/>
      <c r="IJ165" s="38"/>
      <c r="IK165" s="38"/>
      <c r="IL165" s="38"/>
      <c r="IM165" s="38"/>
      <c r="IN165" s="38"/>
      <c r="IO165" s="38"/>
      <c r="IP165" s="38"/>
      <c r="IQ165" s="38"/>
      <c r="IR165" s="38"/>
      <c r="IS165" s="38"/>
      <c r="IT165" s="38"/>
      <c r="IU165" s="38"/>
      <c r="IV165" s="38"/>
      <c r="IW165" s="38"/>
      <c r="IX165" s="38"/>
      <c r="IY165" s="38"/>
      <c r="IZ165" s="38"/>
      <c r="JA165" s="38"/>
      <c r="JB165" s="38"/>
      <c r="JC165" s="38"/>
      <c r="JD165" s="38"/>
      <c r="JE165" s="38"/>
      <c r="JF165" s="38"/>
      <c r="JG165" s="38"/>
      <c r="JH165" s="38"/>
      <c r="JI165" s="38"/>
      <c r="JJ165" s="38"/>
      <c r="JK165" s="38"/>
      <c r="JL165" s="38"/>
      <c r="JM165" s="38"/>
      <c r="JN165" s="38"/>
      <c r="JO165" s="38"/>
      <c r="JP165" s="38"/>
      <c r="JQ165" s="38"/>
      <c r="JR165" s="38"/>
      <c r="JS165" s="38"/>
      <c r="JT165" s="38"/>
      <c r="JU165" s="38"/>
      <c r="JV165" s="38"/>
      <c r="JW165" s="38"/>
      <c r="JX165" s="38"/>
      <c r="JY165" s="38"/>
      <c r="JZ165" s="38"/>
      <c r="KA165" s="38"/>
      <c r="KB165" s="38"/>
      <c r="KC165" s="38"/>
      <c r="KD165" s="38"/>
      <c r="KE165" s="38"/>
      <c r="KF165" s="38"/>
      <c r="KG165" s="38"/>
      <c r="KH165" s="38"/>
      <c r="KI165" s="38"/>
      <c r="KJ165" s="38"/>
      <c r="KK165" s="38"/>
      <c r="KL165" s="38"/>
      <c r="KM165" s="38"/>
      <c r="KN165" s="38"/>
      <c r="KO165" s="38"/>
      <c r="KP165" s="38"/>
      <c r="KQ165" s="38"/>
      <c r="KR165" s="38"/>
      <c r="KS165" s="38"/>
      <c r="KT165" s="38"/>
      <c r="KU165" s="38"/>
      <c r="KV165" s="38"/>
      <c r="KW165" s="38"/>
      <c r="KX165" s="38"/>
      <c r="KY165" s="38"/>
      <c r="KZ165" s="38"/>
      <c r="LA165" s="38"/>
      <c r="LB165" s="38"/>
      <c r="LC165" s="38"/>
      <c r="LD165" s="38"/>
      <c r="LE165" s="38"/>
      <c r="LF165" s="38"/>
      <c r="LG165" s="38"/>
      <c r="LH165" s="38"/>
      <c r="LI165" s="38"/>
      <c r="LJ165" s="38"/>
      <c r="LK165" s="38"/>
      <c r="LL165" s="38"/>
      <c r="LM165" s="38"/>
      <c r="LN165" s="38"/>
      <c r="LO165" s="38"/>
      <c r="LP165" s="38"/>
      <c r="LQ165" s="38"/>
      <c r="LR165" s="38"/>
      <c r="LS165" s="38"/>
      <c r="LT165" s="38"/>
      <c r="LU165" s="38"/>
      <c r="LV165" s="38"/>
      <c r="LW165" s="38"/>
      <c r="LX165" s="38"/>
      <c r="LY165" s="38"/>
      <c r="LZ165" s="38"/>
      <c r="MA165" s="38"/>
      <c r="MB165" s="38"/>
      <c r="MC165" s="38"/>
      <c r="MD165" s="38"/>
      <c r="ME165" s="38"/>
      <c r="MF165" s="38"/>
      <c r="MG165" s="38"/>
      <c r="MH165" s="38"/>
      <c r="MI165" s="38"/>
      <c r="MJ165" s="38"/>
      <c r="MK165" s="38"/>
      <c r="ML165" s="38"/>
      <c r="MM165" s="38"/>
      <c r="MN165" s="38"/>
      <c r="MO165" s="38"/>
      <c r="MP165" s="38"/>
      <c r="MQ165" s="38"/>
      <c r="MR165" s="38"/>
      <c r="MS165" s="38"/>
      <c r="MT165" s="38"/>
      <c r="MU165" s="38"/>
      <c r="MV165" s="38"/>
      <c r="MW165" s="38"/>
      <c r="MX165" s="38"/>
      <c r="MY165" s="38"/>
      <c r="MZ165" s="38"/>
      <c r="NA165" s="38"/>
      <c r="NB165" s="38"/>
      <c r="NC165" s="38"/>
      <c r="ND165" s="38"/>
      <c r="NE165" s="38"/>
      <c r="NF165" s="38"/>
      <c r="NG165" s="38"/>
      <c r="NH165" s="38"/>
      <c r="NI165" s="38"/>
      <c r="NJ165" s="38"/>
      <c r="NK165" s="38"/>
      <c r="NL165" s="38"/>
      <c r="NM165" s="38"/>
      <c r="NN165" s="38"/>
      <c r="NO165" s="38"/>
      <c r="NP165" s="38"/>
      <c r="NQ165" s="38"/>
      <c r="NR165" s="38"/>
      <c r="NS165" s="38"/>
      <c r="NT165" s="38"/>
      <c r="NU165" s="38"/>
      <c r="NV165" s="38"/>
      <c r="NW165" s="38"/>
      <c r="NX165" s="38"/>
      <c r="NY165" s="38"/>
      <c r="NZ165" s="38"/>
      <c r="OA165" s="38"/>
      <c r="OB165" s="38"/>
      <c r="OC165" s="38"/>
      <c r="OD165" s="38"/>
      <c r="OE165" s="38"/>
      <c r="OF165" s="38"/>
      <c r="OG165" s="38"/>
      <c r="OH165" s="38"/>
      <c r="OI165" s="38"/>
      <c r="OJ165" s="38"/>
      <c r="OK165" s="38"/>
      <c r="OL165" s="38"/>
      <c r="OM165" s="38"/>
      <c r="ON165" s="38"/>
      <c r="OO165" s="38"/>
      <c r="OP165" s="38"/>
      <c r="OQ165" s="38"/>
      <c r="OR165" s="38"/>
      <c r="OS165" s="38"/>
      <c r="OT165" s="38"/>
      <c r="OU165" s="38"/>
      <c r="OV165" s="38"/>
      <c r="OW165" s="38"/>
      <c r="OX165" s="38"/>
      <c r="OY165" s="38"/>
      <c r="OZ165" s="38"/>
      <c r="PA165" s="38"/>
      <c r="PB165" s="38"/>
      <c r="PC165" s="38"/>
      <c r="PD165" s="38"/>
      <c r="PE165" s="38"/>
      <c r="PF165" s="38"/>
      <c r="PG165" s="38"/>
      <c r="PH165" s="38"/>
      <c r="PI165" s="38"/>
      <c r="PJ165" s="38"/>
      <c r="PK165" s="38"/>
      <c r="PL165" s="38"/>
      <c r="PM165" s="38"/>
      <c r="PN165" s="38"/>
      <c r="PO165" s="38"/>
      <c r="PP165" s="38"/>
      <c r="PQ165" s="38"/>
      <c r="PR165" s="38"/>
      <c r="PS165" s="38"/>
      <c r="PT165" s="38"/>
      <c r="PU165" s="38"/>
      <c r="PV165" s="38"/>
      <c r="PW165" s="38"/>
      <c r="PX165" s="38"/>
      <c r="PY165" s="38"/>
      <c r="PZ165" s="38"/>
      <c r="QA165" s="38"/>
      <c r="QB165" s="38"/>
      <c r="QC165" s="38"/>
      <c r="QD165" s="38"/>
      <c r="QE165" s="38"/>
      <c r="QF165" s="38"/>
      <c r="QG165" s="38"/>
      <c r="QH165" s="38"/>
      <c r="QI165" s="38"/>
      <c r="QJ165" s="38"/>
      <c r="QK165" s="38"/>
      <c r="QL165" s="38"/>
      <c r="QM165" s="38"/>
      <c r="QN165" s="38"/>
      <c r="QO165" s="38"/>
      <c r="QP165" s="38"/>
      <c r="QQ165" s="38"/>
      <c r="QR165" s="38"/>
      <c r="QS165" s="38"/>
      <c r="QT165" s="38"/>
      <c r="QU165" s="38"/>
      <c r="QV165" s="38"/>
      <c r="QW165" s="38"/>
      <c r="QX165" s="38"/>
      <c r="QY165" s="38"/>
      <c r="QZ165" s="38"/>
      <c r="RA165" s="38"/>
      <c r="RB165" s="38"/>
      <c r="RC165" s="38"/>
      <c r="RD165" s="38"/>
      <c r="RE165" s="38"/>
      <c r="RF165" s="38"/>
      <c r="RG165" s="38"/>
      <c r="RH165" s="38"/>
      <c r="RI165" s="38"/>
      <c r="RJ165" s="38"/>
      <c r="RK165" s="38"/>
      <c r="RL165" s="38"/>
      <c r="RM165" s="38"/>
      <c r="RN165" s="38"/>
      <c r="RO165" s="38"/>
      <c r="RP165" s="38"/>
      <c r="RQ165" s="38"/>
      <c r="RR165" s="38"/>
      <c r="RS165" s="38"/>
      <c r="RT165" s="38"/>
      <c r="RU165" s="38"/>
      <c r="RV165" s="38"/>
      <c r="RW165" s="38"/>
      <c r="RX165" s="38"/>
      <c r="RY165" s="38"/>
      <c r="RZ165" s="38"/>
      <c r="SA165" s="38"/>
      <c r="SB165" s="38"/>
      <c r="SC165" s="38"/>
      <c r="SD165" s="38"/>
      <c r="SE165" s="38"/>
      <c r="SF165" s="38"/>
      <c r="SG165" s="38"/>
      <c r="SH165" s="38"/>
      <c r="SI165" s="38"/>
      <c r="SJ165" s="38"/>
      <c r="SK165" s="38"/>
      <c r="SL165" s="38"/>
      <c r="SM165" s="38"/>
      <c r="SN165" s="38"/>
      <c r="SO165" s="38"/>
      <c r="SP165" s="38"/>
      <c r="SQ165" s="38"/>
      <c r="SR165" s="38"/>
      <c r="SS165" s="38"/>
      <c r="ST165" s="38"/>
      <c r="SU165" s="38"/>
      <c r="SV165" s="38"/>
      <c r="SW165" s="38"/>
      <c r="SX165" s="38"/>
      <c r="SY165" s="38"/>
      <c r="SZ165" s="38"/>
      <c r="TA165" s="38"/>
      <c r="TB165" s="38"/>
      <c r="TC165" s="38"/>
      <c r="TD165" s="38"/>
      <c r="TE165" s="38"/>
      <c r="TF165" s="38"/>
      <c r="TG165" s="38"/>
      <c r="TH165" s="38"/>
      <c r="TI165" s="38"/>
      <c r="TJ165" s="38"/>
      <c r="TK165" s="38"/>
      <c r="TL165" s="38"/>
      <c r="TM165" s="38"/>
    </row>
    <row r="166" spans="2:533" s="39" customFormat="1" ht="18.75" x14ac:dyDescent="0.25">
      <c r="B166" s="50">
        <v>125000</v>
      </c>
      <c r="C166" s="41" t="s">
        <v>323</v>
      </c>
      <c r="D166" s="108" t="s">
        <v>324</v>
      </c>
      <c r="E166" s="107" t="s">
        <v>103</v>
      </c>
      <c r="F166" s="109">
        <v>1</v>
      </c>
      <c r="G166" s="58"/>
      <c r="H166" s="71"/>
      <c r="I166" s="104">
        <f t="shared" si="27"/>
        <v>0</v>
      </c>
      <c r="J166" s="98" t="s">
        <v>167</v>
      </c>
      <c r="K166" s="104" t="s">
        <v>168</v>
      </c>
      <c r="L166" s="105"/>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c r="CD166" s="38"/>
      <c r="CE166" s="38"/>
      <c r="CF166" s="38"/>
      <c r="CG166" s="38"/>
      <c r="CH166" s="38"/>
      <c r="CI166" s="38"/>
      <c r="CJ166" s="38"/>
      <c r="CK166" s="38"/>
      <c r="CL166" s="38"/>
      <c r="CM166" s="38"/>
      <c r="CN166" s="38"/>
      <c r="CO166" s="38"/>
      <c r="CP166" s="38"/>
      <c r="CQ166" s="38"/>
      <c r="CR166" s="38"/>
      <c r="CS166" s="38"/>
      <c r="CT166" s="38"/>
      <c r="CU166" s="38"/>
      <c r="CV166" s="38"/>
      <c r="CW166" s="38"/>
      <c r="CX166" s="38"/>
      <c r="CY166" s="38"/>
      <c r="CZ166" s="38"/>
      <c r="DA166" s="38"/>
      <c r="DB166" s="38"/>
      <c r="DC166" s="38"/>
      <c r="DD166" s="38"/>
      <c r="DE166" s="38"/>
      <c r="DF166" s="38"/>
      <c r="DG166" s="38"/>
      <c r="DH166" s="38"/>
      <c r="DI166" s="38"/>
      <c r="DJ166" s="38"/>
      <c r="DK166" s="38"/>
      <c r="DL166" s="38"/>
      <c r="DM166" s="38"/>
      <c r="DN166" s="38"/>
      <c r="DO166" s="38"/>
      <c r="DP166" s="38"/>
      <c r="DQ166" s="38"/>
      <c r="DR166" s="38"/>
      <c r="DS166" s="38"/>
      <c r="DT166" s="38"/>
      <c r="DU166" s="38"/>
      <c r="DV166" s="38"/>
      <c r="DW166" s="38"/>
      <c r="DX166" s="38"/>
      <c r="DY166" s="38"/>
      <c r="DZ166" s="38"/>
      <c r="EA166" s="38"/>
      <c r="EB166" s="38"/>
      <c r="EC166" s="38"/>
      <c r="ED166" s="38"/>
      <c r="EE166" s="38"/>
      <c r="EF166" s="38"/>
      <c r="EG166" s="38"/>
      <c r="EH166" s="38"/>
      <c r="EI166" s="38"/>
      <c r="EJ166" s="38"/>
      <c r="EK166" s="38"/>
      <c r="EL166" s="38"/>
      <c r="EM166" s="38"/>
      <c r="EN166" s="38"/>
      <c r="EO166" s="38"/>
      <c r="EP166" s="38"/>
      <c r="EQ166" s="38"/>
      <c r="ER166" s="38"/>
      <c r="ES166" s="38"/>
      <c r="ET166" s="38"/>
      <c r="EU166" s="38"/>
      <c r="EV166" s="38"/>
      <c r="EW166" s="38"/>
      <c r="EX166" s="38"/>
      <c r="EY166" s="38"/>
      <c r="EZ166" s="38"/>
      <c r="FA166" s="38"/>
      <c r="FB166" s="38"/>
      <c r="FC166" s="38"/>
      <c r="FD166" s="38"/>
      <c r="FE166" s="38"/>
      <c r="FF166" s="38"/>
      <c r="FG166" s="38"/>
      <c r="FH166" s="38"/>
      <c r="FI166" s="38"/>
      <c r="FJ166" s="38"/>
      <c r="FK166" s="38"/>
      <c r="FL166" s="38"/>
      <c r="FM166" s="38"/>
      <c r="FN166" s="38"/>
      <c r="FO166" s="38"/>
      <c r="FP166" s="38"/>
      <c r="FQ166" s="38"/>
      <c r="FR166" s="38"/>
      <c r="FS166" s="38"/>
      <c r="FT166" s="38"/>
      <c r="FU166" s="38"/>
      <c r="FV166" s="38"/>
      <c r="FW166" s="38"/>
      <c r="FX166" s="38"/>
      <c r="FY166" s="38"/>
      <c r="FZ166" s="38"/>
      <c r="GA166" s="38"/>
      <c r="GB166" s="38"/>
      <c r="GC166" s="38"/>
      <c r="GD166" s="38"/>
      <c r="GE166" s="38"/>
      <c r="GF166" s="38"/>
      <c r="GG166" s="38"/>
      <c r="GH166" s="38"/>
      <c r="GI166" s="38"/>
      <c r="GJ166" s="38"/>
      <c r="GK166" s="38"/>
      <c r="GL166" s="38"/>
      <c r="GM166" s="38"/>
      <c r="GN166" s="38"/>
      <c r="GO166" s="38"/>
      <c r="GP166" s="38"/>
      <c r="GQ166" s="38"/>
      <c r="GR166" s="38"/>
      <c r="GS166" s="38"/>
      <c r="GT166" s="38"/>
      <c r="GU166" s="38"/>
      <c r="GV166" s="38"/>
      <c r="GW166" s="38"/>
      <c r="GX166" s="38"/>
      <c r="GY166" s="38"/>
      <c r="GZ166" s="38"/>
      <c r="HA166" s="38"/>
      <c r="HB166" s="38"/>
      <c r="HC166" s="38"/>
      <c r="HD166" s="38"/>
      <c r="HE166" s="38"/>
      <c r="HF166" s="38"/>
      <c r="HG166" s="38"/>
      <c r="HH166" s="38"/>
      <c r="HI166" s="38"/>
      <c r="HJ166" s="38"/>
      <c r="HK166" s="38"/>
      <c r="HL166" s="38"/>
      <c r="HM166" s="38"/>
      <c r="HN166" s="38"/>
      <c r="HO166" s="38"/>
      <c r="HP166" s="38"/>
      <c r="HQ166" s="38"/>
      <c r="HR166" s="38"/>
      <c r="HS166" s="38"/>
      <c r="HT166" s="38"/>
      <c r="HU166" s="38"/>
      <c r="HV166" s="38"/>
      <c r="HW166" s="38"/>
      <c r="HX166" s="38"/>
      <c r="HY166" s="38"/>
      <c r="HZ166" s="38"/>
      <c r="IA166" s="38"/>
      <c r="IB166" s="38"/>
      <c r="IC166" s="38"/>
      <c r="ID166" s="38"/>
      <c r="IE166" s="38"/>
      <c r="IF166" s="38"/>
      <c r="IG166" s="38"/>
      <c r="IH166" s="38"/>
      <c r="II166" s="38"/>
      <c r="IJ166" s="38"/>
      <c r="IK166" s="38"/>
      <c r="IL166" s="38"/>
      <c r="IM166" s="38"/>
      <c r="IN166" s="38"/>
      <c r="IO166" s="38"/>
      <c r="IP166" s="38"/>
      <c r="IQ166" s="38"/>
      <c r="IR166" s="38"/>
      <c r="IS166" s="38"/>
      <c r="IT166" s="38"/>
      <c r="IU166" s="38"/>
      <c r="IV166" s="38"/>
      <c r="IW166" s="38"/>
      <c r="IX166" s="38"/>
      <c r="IY166" s="38"/>
      <c r="IZ166" s="38"/>
      <c r="JA166" s="38"/>
      <c r="JB166" s="38"/>
      <c r="JC166" s="38"/>
      <c r="JD166" s="38"/>
      <c r="JE166" s="38"/>
      <c r="JF166" s="38"/>
      <c r="JG166" s="38"/>
      <c r="JH166" s="38"/>
      <c r="JI166" s="38"/>
      <c r="JJ166" s="38"/>
      <c r="JK166" s="38"/>
      <c r="JL166" s="38"/>
      <c r="JM166" s="38"/>
      <c r="JN166" s="38"/>
      <c r="JO166" s="38"/>
      <c r="JP166" s="38"/>
      <c r="JQ166" s="38"/>
      <c r="JR166" s="38"/>
      <c r="JS166" s="38"/>
      <c r="JT166" s="38"/>
      <c r="JU166" s="38"/>
      <c r="JV166" s="38"/>
      <c r="JW166" s="38"/>
      <c r="JX166" s="38"/>
      <c r="JY166" s="38"/>
      <c r="JZ166" s="38"/>
      <c r="KA166" s="38"/>
      <c r="KB166" s="38"/>
      <c r="KC166" s="38"/>
      <c r="KD166" s="38"/>
      <c r="KE166" s="38"/>
      <c r="KF166" s="38"/>
      <c r="KG166" s="38"/>
      <c r="KH166" s="38"/>
      <c r="KI166" s="38"/>
      <c r="KJ166" s="38"/>
      <c r="KK166" s="38"/>
      <c r="KL166" s="38"/>
      <c r="KM166" s="38"/>
      <c r="KN166" s="38"/>
      <c r="KO166" s="38"/>
      <c r="KP166" s="38"/>
      <c r="KQ166" s="38"/>
      <c r="KR166" s="38"/>
      <c r="KS166" s="38"/>
      <c r="KT166" s="38"/>
      <c r="KU166" s="38"/>
      <c r="KV166" s="38"/>
      <c r="KW166" s="38"/>
      <c r="KX166" s="38"/>
      <c r="KY166" s="38"/>
      <c r="KZ166" s="38"/>
      <c r="LA166" s="38"/>
      <c r="LB166" s="38"/>
      <c r="LC166" s="38"/>
      <c r="LD166" s="38"/>
      <c r="LE166" s="38"/>
      <c r="LF166" s="38"/>
      <c r="LG166" s="38"/>
      <c r="LH166" s="38"/>
      <c r="LI166" s="38"/>
      <c r="LJ166" s="38"/>
      <c r="LK166" s="38"/>
      <c r="LL166" s="38"/>
      <c r="LM166" s="38"/>
      <c r="LN166" s="38"/>
      <c r="LO166" s="38"/>
      <c r="LP166" s="38"/>
      <c r="LQ166" s="38"/>
      <c r="LR166" s="38"/>
      <c r="LS166" s="38"/>
      <c r="LT166" s="38"/>
      <c r="LU166" s="38"/>
      <c r="LV166" s="38"/>
      <c r="LW166" s="38"/>
      <c r="LX166" s="38"/>
      <c r="LY166" s="38"/>
      <c r="LZ166" s="38"/>
      <c r="MA166" s="38"/>
      <c r="MB166" s="38"/>
      <c r="MC166" s="38"/>
      <c r="MD166" s="38"/>
      <c r="ME166" s="38"/>
      <c r="MF166" s="38"/>
      <c r="MG166" s="38"/>
      <c r="MH166" s="38"/>
      <c r="MI166" s="38"/>
      <c r="MJ166" s="38"/>
      <c r="MK166" s="38"/>
      <c r="ML166" s="38"/>
      <c r="MM166" s="38"/>
      <c r="MN166" s="38"/>
      <c r="MO166" s="38"/>
      <c r="MP166" s="38"/>
      <c r="MQ166" s="38"/>
      <c r="MR166" s="38"/>
      <c r="MS166" s="38"/>
      <c r="MT166" s="38"/>
      <c r="MU166" s="38"/>
      <c r="MV166" s="38"/>
      <c r="MW166" s="38"/>
      <c r="MX166" s="38"/>
      <c r="MY166" s="38"/>
      <c r="MZ166" s="38"/>
      <c r="NA166" s="38"/>
      <c r="NB166" s="38"/>
      <c r="NC166" s="38"/>
      <c r="ND166" s="38"/>
      <c r="NE166" s="38"/>
      <c r="NF166" s="38"/>
      <c r="NG166" s="38"/>
      <c r="NH166" s="38"/>
      <c r="NI166" s="38"/>
      <c r="NJ166" s="38"/>
      <c r="NK166" s="38"/>
      <c r="NL166" s="38"/>
      <c r="NM166" s="38"/>
      <c r="NN166" s="38"/>
      <c r="NO166" s="38"/>
      <c r="NP166" s="38"/>
      <c r="NQ166" s="38"/>
      <c r="NR166" s="38"/>
      <c r="NS166" s="38"/>
      <c r="NT166" s="38"/>
      <c r="NU166" s="38"/>
      <c r="NV166" s="38"/>
      <c r="NW166" s="38"/>
      <c r="NX166" s="38"/>
      <c r="NY166" s="38"/>
      <c r="NZ166" s="38"/>
      <c r="OA166" s="38"/>
      <c r="OB166" s="38"/>
      <c r="OC166" s="38"/>
      <c r="OD166" s="38"/>
      <c r="OE166" s="38"/>
      <c r="OF166" s="38"/>
      <c r="OG166" s="38"/>
      <c r="OH166" s="38"/>
      <c r="OI166" s="38"/>
      <c r="OJ166" s="38"/>
      <c r="OK166" s="38"/>
      <c r="OL166" s="38"/>
      <c r="OM166" s="38"/>
      <c r="ON166" s="38"/>
      <c r="OO166" s="38"/>
      <c r="OP166" s="38"/>
      <c r="OQ166" s="38"/>
      <c r="OR166" s="38"/>
      <c r="OS166" s="38"/>
      <c r="OT166" s="38"/>
      <c r="OU166" s="38"/>
      <c r="OV166" s="38"/>
      <c r="OW166" s="38"/>
      <c r="OX166" s="38"/>
      <c r="OY166" s="38"/>
      <c r="OZ166" s="38"/>
      <c r="PA166" s="38"/>
      <c r="PB166" s="38"/>
      <c r="PC166" s="38"/>
      <c r="PD166" s="38"/>
      <c r="PE166" s="38"/>
      <c r="PF166" s="38"/>
      <c r="PG166" s="38"/>
      <c r="PH166" s="38"/>
      <c r="PI166" s="38"/>
      <c r="PJ166" s="38"/>
      <c r="PK166" s="38"/>
      <c r="PL166" s="38"/>
      <c r="PM166" s="38"/>
      <c r="PN166" s="38"/>
      <c r="PO166" s="38"/>
      <c r="PP166" s="38"/>
      <c r="PQ166" s="38"/>
      <c r="PR166" s="38"/>
      <c r="PS166" s="38"/>
      <c r="PT166" s="38"/>
      <c r="PU166" s="38"/>
      <c r="PV166" s="38"/>
      <c r="PW166" s="38"/>
      <c r="PX166" s="38"/>
      <c r="PY166" s="38"/>
      <c r="PZ166" s="38"/>
      <c r="QA166" s="38"/>
      <c r="QB166" s="38"/>
      <c r="QC166" s="38"/>
      <c r="QD166" s="38"/>
      <c r="QE166" s="38"/>
      <c r="QF166" s="38"/>
      <c r="QG166" s="38"/>
      <c r="QH166" s="38"/>
      <c r="QI166" s="38"/>
      <c r="QJ166" s="38"/>
      <c r="QK166" s="38"/>
      <c r="QL166" s="38"/>
      <c r="QM166" s="38"/>
      <c r="QN166" s="38"/>
      <c r="QO166" s="38"/>
      <c r="QP166" s="38"/>
      <c r="QQ166" s="38"/>
      <c r="QR166" s="38"/>
      <c r="QS166" s="38"/>
      <c r="QT166" s="38"/>
      <c r="QU166" s="38"/>
      <c r="QV166" s="38"/>
      <c r="QW166" s="38"/>
      <c r="QX166" s="38"/>
      <c r="QY166" s="38"/>
      <c r="QZ166" s="38"/>
      <c r="RA166" s="38"/>
      <c r="RB166" s="38"/>
      <c r="RC166" s="38"/>
      <c r="RD166" s="38"/>
      <c r="RE166" s="38"/>
      <c r="RF166" s="38"/>
      <c r="RG166" s="38"/>
      <c r="RH166" s="38"/>
      <c r="RI166" s="38"/>
      <c r="RJ166" s="38"/>
      <c r="RK166" s="38"/>
      <c r="RL166" s="38"/>
      <c r="RM166" s="38"/>
      <c r="RN166" s="38"/>
      <c r="RO166" s="38"/>
      <c r="RP166" s="38"/>
      <c r="RQ166" s="38"/>
      <c r="RR166" s="38"/>
      <c r="RS166" s="38"/>
      <c r="RT166" s="38"/>
      <c r="RU166" s="38"/>
      <c r="RV166" s="38"/>
      <c r="RW166" s="38"/>
      <c r="RX166" s="38"/>
      <c r="RY166" s="38"/>
      <c r="RZ166" s="38"/>
      <c r="SA166" s="38"/>
      <c r="SB166" s="38"/>
      <c r="SC166" s="38"/>
      <c r="SD166" s="38"/>
      <c r="SE166" s="38"/>
      <c r="SF166" s="38"/>
      <c r="SG166" s="38"/>
      <c r="SH166" s="38"/>
      <c r="SI166" s="38"/>
      <c r="SJ166" s="38"/>
      <c r="SK166" s="38"/>
      <c r="SL166" s="38"/>
      <c r="SM166" s="38"/>
      <c r="SN166" s="38"/>
      <c r="SO166" s="38"/>
      <c r="SP166" s="38"/>
      <c r="SQ166" s="38"/>
      <c r="SR166" s="38"/>
      <c r="SS166" s="38"/>
      <c r="ST166" s="38"/>
      <c r="SU166" s="38"/>
      <c r="SV166" s="38"/>
      <c r="SW166" s="38"/>
      <c r="SX166" s="38"/>
      <c r="SY166" s="38"/>
      <c r="SZ166" s="38"/>
      <c r="TA166" s="38"/>
      <c r="TB166" s="38"/>
      <c r="TC166" s="38"/>
      <c r="TD166" s="38"/>
      <c r="TE166" s="38"/>
      <c r="TF166" s="38"/>
      <c r="TG166" s="38"/>
      <c r="TH166" s="38"/>
      <c r="TI166" s="38"/>
      <c r="TJ166" s="38"/>
      <c r="TK166" s="38"/>
      <c r="TL166" s="38"/>
      <c r="TM166" s="38"/>
    </row>
    <row r="167" spans="2:533" s="39" customFormat="1" ht="18.75" x14ac:dyDescent="0.25">
      <c r="B167" s="50">
        <v>125000</v>
      </c>
      <c r="C167" s="41" t="s">
        <v>325</v>
      </c>
      <c r="D167" s="108" t="s">
        <v>326</v>
      </c>
      <c r="E167" s="107" t="s">
        <v>103</v>
      </c>
      <c r="F167" s="109">
        <v>1</v>
      </c>
      <c r="G167" s="58"/>
      <c r="H167" s="71"/>
      <c r="I167" s="104">
        <f t="shared" si="27"/>
        <v>0</v>
      </c>
      <c r="J167" s="98" t="s">
        <v>167</v>
      </c>
      <c r="K167" s="104" t="s">
        <v>168</v>
      </c>
      <c r="L167" s="105"/>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c r="CD167" s="38"/>
      <c r="CE167" s="38"/>
      <c r="CF167" s="38"/>
      <c r="CG167" s="38"/>
      <c r="CH167" s="38"/>
      <c r="CI167" s="38"/>
      <c r="CJ167" s="38"/>
      <c r="CK167" s="38"/>
      <c r="CL167" s="38"/>
      <c r="CM167" s="38"/>
      <c r="CN167" s="38"/>
      <c r="CO167" s="38"/>
      <c r="CP167" s="38"/>
      <c r="CQ167" s="38"/>
      <c r="CR167" s="38"/>
      <c r="CS167" s="38"/>
      <c r="CT167" s="38"/>
      <c r="CU167" s="38"/>
      <c r="CV167" s="38"/>
      <c r="CW167" s="38"/>
      <c r="CX167" s="38"/>
      <c r="CY167" s="38"/>
      <c r="CZ167" s="38"/>
      <c r="DA167" s="38"/>
      <c r="DB167" s="38"/>
      <c r="DC167" s="38"/>
      <c r="DD167" s="38"/>
      <c r="DE167" s="38"/>
      <c r="DF167" s="38"/>
      <c r="DG167" s="38"/>
      <c r="DH167" s="38"/>
      <c r="DI167" s="38"/>
      <c r="DJ167" s="38"/>
      <c r="DK167" s="38"/>
      <c r="DL167" s="38"/>
      <c r="DM167" s="38"/>
      <c r="DN167" s="38"/>
      <c r="DO167" s="38"/>
      <c r="DP167" s="38"/>
      <c r="DQ167" s="38"/>
      <c r="DR167" s="38"/>
      <c r="DS167" s="38"/>
      <c r="DT167" s="38"/>
      <c r="DU167" s="38"/>
      <c r="DV167" s="38"/>
      <c r="DW167" s="38"/>
      <c r="DX167" s="38"/>
      <c r="DY167" s="38"/>
      <c r="DZ167" s="38"/>
      <c r="EA167" s="38"/>
      <c r="EB167" s="38"/>
      <c r="EC167" s="38"/>
      <c r="ED167" s="38"/>
      <c r="EE167" s="38"/>
      <c r="EF167" s="38"/>
      <c r="EG167" s="38"/>
      <c r="EH167" s="38"/>
      <c r="EI167" s="38"/>
      <c r="EJ167" s="38"/>
      <c r="EK167" s="38"/>
      <c r="EL167" s="38"/>
      <c r="EM167" s="38"/>
      <c r="EN167" s="38"/>
      <c r="EO167" s="38"/>
      <c r="EP167" s="38"/>
      <c r="EQ167" s="38"/>
      <c r="ER167" s="38"/>
      <c r="ES167" s="38"/>
      <c r="ET167" s="38"/>
      <c r="EU167" s="38"/>
      <c r="EV167" s="38"/>
      <c r="EW167" s="38"/>
      <c r="EX167" s="38"/>
      <c r="EY167" s="38"/>
      <c r="EZ167" s="38"/>
      <c r="FA167" s="38"/>
      <c r="FB167" s="38"/>
      <c r="FC167" s="38"/>
      <c r="FD167" s="38"/>
      <c r="FE167" s="38"/>
      <c r="FF167" s="38"/>
      <c r="FG167" s="38"/>
      <c r="FH167" s="38"/>
      <c r="FI167" s="38"/>
      <c r="FJ167" s="38"/>
      <c r="FK167" s="38"/>
      <c r="FL167" s="38"/>
      <c r="FM167" s="38"/>
      <c r="FN167" s="38"/>
      <c r="FO167" s="38"/>
      <c r="FP167" s="38"/>
      <c r="FQ167" s="38"/>
      <c r="FR167" s="38"/>
      <c r="FS167" s="38"/>
      <c r="FT167" s="38"/>
      <c r="FU167" s="38"/>
      <c r="FV167" s="38"/>
      <c r="FW167" s="38"/>
      <c r="FX167" s="38"/>
      <c r="FY167" s="38"/>
      <c r="FZ167" s="38"/>
      <c r="GA167" s="38"/>
      <c r="GB167" s="38"/>
      <c r="GC167" s="38"/>
      <c r="GD167" s="38"/>
      <c r="GE167" s="38"/>
      <c r="GF167" s="38"/>
      <c r="GG167" s="38"/>
      <c r="GH167" s="38"/>
      <c r="GI167" s="38"/>
      <c r="GJ167" s="38"/>
      <c r="GK167" s="38"/>
      <c r="GL167" s="38"/>
      <c r="GM167" s="38"/>
      <c r="GN167" s="38"/>
      <c r="GO167" s="38"/>
      <c r="GP167" s="38"/>
      <c r="GQ167" s="38"/>
      <c r="GR167" s="38"/>
      <c r="GS167" s="38"/>
      <c r="GT167" s="38"/>
      <c r="GU167" s="38"/>
      <c r="GV167" s="38"/>
      <c r="GW167" s="38"/>
      <c r="GX167" s="38"/>
      <c r="GY167" s="38"/>
      <c r="GZ167" s="38"/>
      <c r="HA167" s="38"/>
      <c r="HB167" s="38"/>
      <c r="HC167" s="38"/>
      <c r="HD167" s="38"/>
      <c r="HE167" s="38"/>
      <c r="HF167" s="38"/>
      <c r="HG167" s="38"/>
      <c r="HH167" s="38"/>
      <c r="HI167" s="38"/>
      <c r="HJ167" s="38"/>
      <c r="HK167" s="38"/>
      <c r="HL167" s="38"/>
      <c r="HM167" s="38"/>
      <c r="HN167" s="38"/>
      <c r="HO167" s="38"/>
      <c r="HP167" s="38"/>
      <c r="HQ167" s="38"/>
      <c r="HR167" s="38"/>
      <c r="HS167" s="38"/>
      <c r="HT167" s="38"/>
      <c r="HU167" s="38"/>
      <c r="HV167" s="38"/>
      <c r="HW167" s="38"/>
      <c r="HX167" s="38"/>
      <c r="HY167" s="38"/>
      <c r="HZ167" s="38"/>
      <c r="IA167" s="38"/>
      <c r="IB167" s="38"/>
      <c r="IC167" s="38"/>
      <c r="ID167" s="38"/>
      <c r="IE167" s="38"/>
      <c r="IF167" s="38"/>
      <c r="IG167" s="38"/>
      <c r="IH167" s="38"/>
      <c r="II167" s="38"/>
      <c r="IJ167" s="38"/>
      <c r="IK167" s="38"/>
      <c r="IL167" s="38"/>
      <c r="IM167" s="38"/>
      <c r="IN167" s="38"/>
      <c r="IO167" s="38"/>
      <c r="IP167" s="38"/>
      <c r="IQ167" s="38"/>
      <c r="IR167" s="38"/>
      <c r="IS167" s="38"/>
      <c r="IT167" s="38"/>
      <c r="IU167" s="38"/>
      <c r="IV167" s="38"/>
      <c r="IW167" s="38"/>
      <c r="IX167" s="38"/>
      <c r="IY167" s="38"/>
      <c r="IZ167" s="38"/>
      <c r="JA167" s="38"/>
      <c r="JB167" s="38"/>
      <c r="JC167" s="38"/>
      <c r="JD167" s="38"/>
      <c r="JE167" s="38"/>
      <c r="JF167" s="38"/>
      <c r="JG167" s="38"/>
      <c r="JH167" s="38"/>
      <c r="JI167" s="38"/>
      <c r="JJ167" s="38"/>
      <c r="JK167" s="38"/>
      <c r="JL167" s="38"/>
      <c r="JM167" s="38"/>
      <c r="JN167" s="38"/>
      <c r="JO167" s="38"/>
      <c r="JP167" s="38"/>
      <c r="JQ167" s="38"/>
      <c r="JR167" s="38"/>
      <c r="JS167" s="38"/>
      <c r="JT167" s="38"/>
      <c r="JU167" s="38"/>
      <c r="JV167" s="38"/>
      <c r="JW167" s="38"/>
      <c r="JX167" s="38"/>
      <c r="JY167" s="38"/>
      <c r="JZ167" s="38"/>
      <c r="KA167" s="38"/>
      <c r="KB167" s="38"/>
      <c r="KC167" s="38"/>
      <c r="KD167" s="38"/>
      <c r="KE167" s="38"/>
      <c r="KF167" s="38"/>
      <c r="KG167" s="38"/>
      <c r="KH167" s="38"/>
      <c r="KI167" s="38"/>
      <c r="KJ167" s="38"/>
      <c r="KK167" s="38"/>
      <c r="KL167" s="38"/>
      <c r="KM167" s="38"/>
      <c r="KN167" s="38"/>
      <c r="KO167" s="38"/>
      <c r="KP167" s="38"/>
      <c r="KQ167" s="38"/>
      <c r="KR167" s="38"/>
      <c r="KS167" s="38"/>
      <c r="KT167" s="38"/>
      <c r="KU167" s="38"/>
      <c r="KV167" s="38"/>
      <c r="KW167" s="38"/>
      <c r="KX167" s="38"/>
      <c r="KY167" s="38"/>
      <c r="KZ167" s="38"/>
      <c r="LA167" s="38"/>
      <c r="LB167" s="38"/>
      <c r="LC167" s="38"/>
      <c r="LD167" s="38"/>
      <c r="LE167" s="38"/>
      <c r="LF167" s="38"/>
      <c r="LG167" s="38"/>
      <c r="LH167" s="38"/>
      <c r="LI167" s="38"/>
      <c r="LJ167" s="38"/>
      <c r="LK167" s="38"/>
      <c r="LL167" s="38"/>
      <c r="LM167" s="38"/>
      <c r="LN167" s="38"/>
      <c r="LO167" s="38"/>
      <c r="LP167" s="38"/>
      <c r="LQ167" s="38"/>
      <c r="LR167" s="38"/>
      <c r="LS167" s="38"/>
      <c r="LT167" s="38"/>
      <c r="LU167" s="38"/>
      <c r="LV167" s="38"/>
      <c r="LW167" s="38"/>
      <c r="LX167" s="38"/>
      <c r="LY167" s="38"/>
      <c r="LZ167" s="38"/>
      <c r="MA167" s="38"/>
      <c r="MB167" s="38"/>
      <c r="MC167" s="38"/>
      <c r="MD167" s="38"/>
      <c r="ME167" s="38"/>
      <c r="MF167" s="38"/>
      <c r="MG167" s="38"/>
      <c r="MH167" s="38"/>
      <c r="MI167" s="38"/>
      <c r="MJ167" s="38"/>
      <c r="MK167" s="38"/>
      <c r="ML167" s="38"/>
      <c r="MM167" s="38"/>
      <c r="MN167" s="38"/>
      <c r="MO167" s="38"/>
      <c r="MP167" s="38"/>
      <c r="MQ167" s="38"/>
      <c r="MR167" s="38"/>
      <c r="MS167" s="38"/>
      <c r="MT167" s="38"/>
      <c r="MU167" s="38"/>
      <c r="MV167" s="38"/>
      <c r="MW167" s="38"/>
      <c r="MX167" s="38"/>
      <c r="MY167" s="38"/>
      <c r="MZ167" s="38"/>
      <c r="NA167" s="38"/>
      <c r="NB167" s="38"/>
      <c r="NC167" s="38"/>
      <c r="ND167" s="38"/>
      <c r="NE167" s="38"/>
      <c r="NF167" s="38"/>
      <c r="NG167" s="38"/>
      <c r="NH167" s="38"/>
      <c r="NI167" s="38"/>
      <c r="NJ167" s="38"/>
      <c r="NK167" s="38"/>
      <c r="NL167" s="38"/>
      <c r="NM167" s="38"/>
      <c r="NN167" s="38"/>
      <c r="NO167" s="38"/>
      <c r="NP167" s="38"/>
      <c r="NQ167" s="38"/>
      <c r="NR167" s="38"/>
      <c r="NS167" s="38"/>
      <c r="NT167" s="38"/>
      <c r="NU167" s="38"/>
      <c r="NV167" s="38"/>
      <c r="NW167" s="38"/>
      <c r="NX167" s="38"/>
      <c r="NY167" s="38"/>
      <c r="NZ167" s="38"/>
      <c r="OA167" s="38"/>
      <c r="OB167" s="38"/>
      <c r="OC167" s="38"/>
      <c r="OD167" s="38"/>
      <c r="OE167" s="38"/>
      <c r="OF167" s="38"/>
      <c r="OG167" s="38"/>
      <c r="OH167" s="38"/>
      <c r="OI167" s="38"/>
      <c r="OJ167" s="38"/>
      <c r="OK167" s="38"/>
      <c r="OL167" s="38"/>
      <c r="OM167" s="38"/>
      <c r="ON167" s="38"/>
      <c r="OO167" s="38"/>
      <c r="OP167" s="38"/>
      <c r="OQ167" s="38"/>
      <c r="OR167" s="38"/>
      <c r="OS167" s="38"/>
      <c r="OT167" s="38"/>
      <c r="OU167" s="38"/>
      <c r="OV167" s="38"/>
      <c r="OW167" s="38"/>
      <c r="OX167" s="38"/>
      <c r="OY167" s="38"/>
      <c r="OZ167" s="38"/>
      <c r="PA167" s="38"/>
      <c r="PB167" s="38"/>
      <c r="PC167" s="38"/>
      <c r="PD167" s="38"/>
      <c r="PE167" s="38"/>
      <c r="PF167" s="38"/>
      <c r="PG167" s="38"/>
      <c r="PH167" s="38"/>
      <c r="PI167" s="38"/>
      <c r="PJ167" s="38"/>
      <c r="PK167" s="38"/>
      <c r="PL167" s="38"/>
      <c r="PM167" s="38"/>
      <c r="PN167" s="38"/>
      <c r="PO167" s="38"/>
      <c r="PP167" s="38"/>
      <c r="PQ167" s="38"/>
      <c r="PR167" s="38"/>
      <c r="PS167" s="38"/>
      <c r="PT167" s="38"/>
      <c r="PU167" s="38"/>
      <c r="PV167" s="38"/>
      <c r="PW167" s="38"/>
      <c r="PX167" s="38"/>
      <c r="PY167" s="38"/>
      <c r="PZ167" s="38"/>
      <c r="QA167" s="38"/>
      <c r="QB167" s="38"/>
      <c r="QC167" s="38"/>
      <c r="QD167" s="38"/>
      <c r="QE167" s="38"/>
      <c r="QF167" s="38"/>
      <c r="QG167" s="38"/>
      <c r="QH167" s="38"/>
      <c r="QI167" s="38"/>
      <c r="QJ167" s="38"/>
      <c r="QK167" s="38"/>
      <c r="QL167" s="38"/>
      <c r="QM167" s="38"/>
      <c r="QN167" s="38"/>
      <c r="QO167" s="38"/>
      <c r="QP167" s="38"/>
      <c r="QQ167" s="38"/>
      <c r="QR167" s="38"/>
      <c r="QS167" s="38"/>
      <c r="QT167" s="38"/>
      <c r="QU167" s="38"/>
      <c r="QV167" s="38"/>
      <c r="QW167" s="38"/>
      <c r="QX167" s="38"/>
      <c r="QY167" s="38"/>
      <c r="QZ167" s="38"/>
      <c r="RA167" s="38"/>
      <c r="RB167" s="38"/>
      <c r="RC167" s="38"/>
      <c r="RD167" s="38"/>
      <c r="RE167" s="38"/>
      <c r="RF167" s="38"/>
      <c r="RG167" s="38"/>
      <c r="RH167" s="38"/>
      <c r="RI167" s="38"/>
      <c r="RJ167" s="38"/>
      <c r="RK167" s="38"/>
      <c r="RL167" s="38"/>
      <c r="RM167" s="38"/>
      <c r="RN167" s="38"/>
      <c r="RO167" s="38"/>
      <c r="RP167" s="38"/>
      <c r="RQ167" s="38"/>
      <c r="RR167" s="38"/>
      <c r="RS167" s="38"/>
      <c r="RT167" s="38"/>
      <c r="RU167" s="38"/>
      <c r="RV167" s="38"/>
      <c r="RW167" s="38"/>
      <c r="RX167" s="38"/>
      <c r="RY167" s="38"/>
      <c r="RZ167" s="38"/>
      <c r="SA167" s="38"/>
      <c r="SB167" s="38"/>
      <c r="SC167" s="38"/>
      <c r="SD167" s="38"/>
      <c r="SE167" s="38"/>
      <c r="SF167" s="38"/>
      <c r="SG167" s="38"/>
      <c r="SH167" s="38"/>
      <c r="SI167" s="38"/>
      <c r="SJ167" s="38"/>
      <c r="SK167" s="38"/>
      <c r="SL167" s="38"/>
      <c r="SM167" s="38"/>
      <c r="SN167" s="38"/>
      <c r="SO167" s="38"/>
      <c r="SP167" s="38"/>
      <c r="SQ167" s="38"/>
      <c r="SR167" s="38"/>
      <c r="SS167" s="38"/>
      <c r="ST167" s="38"/>
      <c r="SU167" s="38"/>
      <c r="SV167" s="38"/>
      <c r="SW167" s="38"/>
      <c r="SX167" s="38"/>
      <c r="SY167" s="38"/>
      <c r="SZ167" s="38"/>
      <c r="TA167" s="38"/>
      <c r="TB167" s="38"/>
      <c r="TC167" s="38"/>
      <c r="TD167" s="38"/>
      <c r="TE167" s="38"/>
      <c r="TF167" s="38"/>
      <c r="TG167" s="38"/>
      <c r="TH167" s="38"/>
      <c r="TI167" s="38"/>
      <c r="TJ167" s="38"/>
      <c r="TK167" s="38"/>
      <c r="TL167" s="38"/>
      <c r="TM167" s="38"/>
    </row>
    <row r="168" spans="2:533" s="39" customFormat="1" ht="18.75" x14ac:dyDescent="0.25">
      <c r="B168" s="50">
        <v>125000</v>
      </c>
      <c r="C168" s="41" t="s">
        <v>327</v>
      </c>
      <c r="D168" s="108" t="s">
        <v>328</v>
      </c>
      <c r="E168" s="107" t="s">
        <v>103</v>
      </c>
      <c r="F168" s="109">
        <v>3</v>
      </c>
      <c r="G168" s="58"/>
      <c r="H168" s="71"/>
      <c r="I168" s="104">
        <f t="shared" si="27"/>
        <v>0</v>
      </c>
      <c r="J168" s="98" t="s">
        <v>167</v>
      </c>
      <c r="K168" s="104" t="s">
        <v>168</v>
      </c>
      <c r="L168" s="105"/>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38"/>
      <c r="BY168" s="38"/>
      <c r="BZ168" s="38"/>
      <c r="CA168" s="38"/>
      <c r="CB168" s="38"/>
      <c r="CC168" s="38"/>
      <c r="CD168" s="38"/>
      <c r="CE168" s="38"/>
      <c r="CF168" s="38"/>
      <c r="CG168" s="38"/>
      <c r="CH168" s="38"/>
      <c r="CI168" s="38"/>
      <c r="CJ168" s="38"/>
      <c r="CK168" s="38"/>
      <c r="CL168" s="38"/>
      <c r="CM168" s="38"/>
      <c r="CN168" s="38"/>
      <c r="CO168" s="38"/>
      <c r="CP168" s="38"/>
      <c r="CQ168" s="38"/>
      <c r="CR168" s="38"/>
      <c r="CS168" s="38"/>
      <c r="CT168" s="38"/>
      <c r="CU168" s="38"/>
      <c r="CV168" s="38"/>
      <c r="CW168" s="38"/>
      <c r="CX168" s="38"/>
      <c r="CY168" s="38"/>
      <c r="CZ168" s="38"/>
      <c r="DA168" s="38"/>
      <c r="DB168" s="38"/>
      <c r="DC168" s="38"/>
      <c r="DD168" s="38"/>
      <c r="DE168" s="38"/>
      <c r="DF168" s="38"/>
      <c r="DG168" s="38"/>
      <c r="DH168" s="38"/>
      <c r="DI168" s="38"/>
      <c r="DJ168" s="38"/>
      <c r="DK168" s="38"/>
      <c r="DL168" s="38"/>
      <c r="DM168" s="38"/>
      <c r="DN168" s="38"/>
      <c r="DO168" s="38"/>
      <c r="DP168" s="38"/>
      <c r="DQ168" s="38"/>
      <c r="DR168" s="38"/>
      <c r="DS168" s="38"/>
      <c r="DT168" s="38"/>
      <c r="DU168" s="38"/>
      <c r="DV168" s="38"/>
      <c r="DW168" s="38"/>
      <c r="DX168" s="38"/>
      <c r="DY168" s="38"/>
      <c r="DZ168" s="38"/>
      <c r="EA168" s="38"/>
      <c r="EB168" s="38"/>
      <c r="EC168" s="38"/>
      <c r="ED168" s="38"/>
      <c r="EE168" s="38"/>
      <c r="EF168" s="38"/>
      <c r="EG168" s="38"/>
      <c r="EH168" s="38"/>
      <c r="EI168" s="38"/>
      <c r="EJ168" s="38"/>
      <c r="EK168" s="38"/>
      <c r="EL168" s="38"/>
      <c r="EM168" s="38"/>
      <c r="EN168" s="38"/>
      <c r="EO168" s="38"/>
      <c r="EP168" s="38"/>
      <c r="EQ168" s="38"/>
      <c r="ER168" s="38"/>
      <c r="ES168" s="38"/>
      <c r="ET168" s="38"/>
      <c r="EU168" s="38"/>
      <c r="EV168" s="38"/>
      <c r="EW168" s="38"/>
      <c r="EX168" s="38"/>
      <c r="EY168" s="38"/>
      <c r="EZ168" s="38"/>
      <c r="FA168" s="38"/>
      <c r="FB168" s="38"/>
      <c r="FC168" s="38"/>
      <c r="FD168" s="38"/>
      <c r="FE168" s="38"/>
      <c r="FF168" s="38"/>
      <c r="FG168" s="38"/>
      <c r="FH168" s="38"/>
      <c r="FI168" s="38"/>
      <c r="FJ168" s="38"/>
      <c r="FK168" s="38"/>
      <c r="FL168" s="38"/>
      <c r="FM168" s="38"/>
      <c r="FN168" s="38"/>
      <c r="FO168" s="38"/>
      <c r="FP168" s="38"/>
      <c r="FQ168" s="38"/>
      <c r="FR168" s="38"/>
      <c r="FS168" s="38"/>
      <c r="FT168" s="38"/>
      <c r="FU168" s="38"/>
      <c r="FV168" s="38"/>
      <c r="FW168" s="38"/>
      <c r="FX168" s="38"/>
      <c r="FY168" s="38"/>
      <c r="FZ168" s="38"/>
      <c r="GA168" s="38"/>
      <c r="GB168" s="38"/>
      <c r="GC168" s="38"/>
      <c r="GD168" s="38"/>
      <c r="GE168" s="38"/>
      <c r="GF168" s="38"/>
      <c r="GG168" s="38"/>
      <c r="GH168" s="38"/>
      <c r="GI168" s="38"/>
      <c r="GJ168" s="38"/>
      <c r="GK168" s="38"/>
      <c r="GL168" s="38"/>
      <c r="GM168" s="38"/>
      <c r="GN168" s="38"/>
      <c r="GO168" s="38"/>
      <c r="GP168" s="38"/>
      <c r="GQ168" s="38"/>
      <c r="GR168" s="38"/>
      <c r="GS168" s="38"/>
      <c r="GT168" s="38"/>
      <c r="GU168" s="38"/>
      <c r="GV168" s="38"/>
      <c r="GW168" s="38"/>
      <c r="GX168" s="38"/>
      <c r="GY168" s="38"/>
      <c r="GZ168" s="38"/>
      <c r="HA168" s="38"/>
      <c r="HB168" s="38"/>
      <c r="HC168" s="38"/>
      <c r="HD168" s="38"/>
      <c r="HE168" s="38"/>
      <c r="HF168" s="38"/>
      <c r="HG168" s="38"/>
      <c r="HH168" s="38"/>
      <c r="HI168" s="38"/>
      <c r="HJ168" s="38"/>
      <c r="HK168" s="38"/>
      <c r="HL168" s="38"/>
      <c r="HM168" s="38"/>
      <c r="HN168" s="38"/>
      <c r="HO168" s="38"/>
      <c r="HP168" s="38"/>
      <c r="HQ168" s="38"/>
      <c r="HR168" s="38"/>
      <c r="HS168" s="38"/>
      <c r="HT168" s="38"/>
      <c r="HU168" s="38"/>
      <c r="HV168" s="38"/>
      <c r="HW168" s="38"/>
      <c r="HX168" s="38"/>
      <c r="HY168" s="38"/>
      <c r="HZ168" s="38"/>
      <c r="IA168" s="38"/>
      <c r="IB168" s="38"/>
      <c r="IC168" s="38"/>
      <c r="ID168" s="38"/>
      <c r="IE168" s="38"/>
      <c r="IF168" s="38"/>
      <c r="IG168" s="38"/>
      <c r="IH168" s="38"/>
      <c r="II168" s="38"/>
      <c r="IJ168" s="38"/>
      <c r="IK168" s="38"/>
      <c r="IL168" s="38"/>
      <c r="IM168" s="38"/>
      <c r="IN168" s="38"/>
      <c r="IO168" s="38"/>
      <c r="IP168" s="38"/>
      <c r="IQ168" s="38"/>
      <c r="IR168" s="38"/>
      <c r="IS168" s="38"/>
      <c r="IT168" s="38"/>
      <c r="IU168" s="38"/>
      <c r="IV168" s="38"/>
      <c r="IW168" s="38"/>
      <c r="IX168" s="38"/>
      <c r="IY168" s="38"/>
      <c r="IZ168" s="38"/>
      <c r="JA168" s="38"/>
      <c r="JB168" s="38"/>
      <c r="JC168" s="38"/>
      <c r="JD168" s="38"/>
      <c r="JE168" s="38"/>
      <c r="JF168" s="38"/>
      <c r="JG168" s="38"/>
      <c r="JH168" s="38"/>
      <c r="JI168" s="38"/>
      <c r="JJ168" s="38"/>
      <c r="JK168" s="38"/>
      <c r="JL168" s="38"/>
      <c r="JM168" s="38"/>
      <c r="JN168" s="38"/>
      <c r="JO168" s="38"/>
      <c r="JP168" s="38"/>
      <c r="JQ168" s="38"/>
      <c r="JR168" s="38"/>
      <c r="JS168" s="38"/>
      <c r="JT168" s="38"/>
      <c r="JU168" s="38"/>
      <c r="JV168" s="38"/>
      <c r="JW168" s="38"/>
      <c r="JX168" s="38"/>
      <c r="JY168" s="38"/>
      <c r="JZ168" s="38"/>
      <c r="KA168" s="38"/>
      <c r="KB168" s="38"/>
      <c r="KC168" s="38"/>
      <c r="KD168" s="38"/>
      <c r="KE168" s="38"/>
      <c r="KF168" s="38"/>
      <c r="KG168" s="38"/>
      <c r="KH168" s="38"/>
      <c r="KI168" s="38"/>
      <c r="KJ168" s="38"/>
      <c r="KK168" s="38"/>
      <c r="KL168" s="38"/>
      <c r="KM168" s="38"/>
      <c r="KN168" s="38"/>
      <c r="KO168" s="38"/>
      <c r="KP168" s="38"/>
      <c r="KQ168" s="38"/>
      <c r="KR168" s="38"/>
      <c r="KS168" s="38"/>
      <c r="KT168" s="38"/>
      <c r="KU168" s="38"/>
      <c r="KV168" s="38"/>
      <c r="KW168" s="38"/>
      <c r="KX168" s="38"/>
      <c r="KY168" s="38"/>
      <c r="KZ168" s="38"/>
      <c r="LA168" s="38"/>
      <c r="LB168" s="38"/>
      <c r="LC168" s="38"/>
      <c r="LD168" s="38"/>
      <c r="LE168" s="38"/>
      <c r="LF168" s="38"/>
      <c r="LG168" s="38"/>
      <c r="LH168" s="38"/>
      <c r="LI168" s="38"/>
      <c r="LJ168" s="38"/>
      <c r="LK168" s="38"/>
      <c r="LL168" s="38"/>
      <c r="LM168" s="38"/>
      <c r="LN168" s="38"/>
      <c r="LO168" s="38"/>
      <c r="LP168" s="38"/>
      <c r="LQ168" s="38"/>
      <c r="LR168" s="38"/>
      <c r="LS168" s="38"/>
      <c r="LT168" s="38"/>
      <c r="LU168" s="38"/>
      <c r="LV168" s="38"/>
      <c r="LW168" s="38"/>
      <c r="LX168" s="38"/>
      <c r="LY168" s="38"/>
      <c r="LZ168" s="38"/>
      <c r="MA168" s="38"/>
      <c r="MB168" s="38"/>
      <c r="MC168" s="38"/>
      <c r="MD168" s="38"/>
      <c r="ME168" s="38"/>
      <c r="MF168" s="38"/>
      <c r="MG168" s="38"/>
      <c r="MH168" s="38"/>
      <c r="MI168" s="38"/>
      <c r="MJ168" s="38"/>
      <c r="MK168" s="38"/>
      <c r="ML168" s="38"/>
      <c r="MM168" s="38"/>
      <c r="MN168" s="38"/>
      <c r="MO168" s="38"/>
      <c r="MP168" s="38"/>
      <c r="MQ168" s="38"/>
      <c r="MR168" s="38"/>
      <c r="MS168" s="38"/>
      <c r="MT168" s="38"/>
      <c r="MU168" s="38"/>
      <c r="MV168" s="38"/>
      <c r="MW168" s="38"/>
      <c r="MX168" s="38"/>
      <c r="MY168" s="38"/>
      <c r="MZ168" s="38"/>
      <c r="NA168" s="38"/>
      <c r="NB168" s="38"/>
      <c r="NC168" s="38"/>
      <c r="ND168" s="38"/>
      <c r="NE168" s="38"/>
      <c r="NF168" s="38"/>
      <c r="NG168" s="38"/>
      <c r="NH168" s="38"/>
      <c r="NI168" s="38"/>
      <c r="NJ168" s="38"/>
      <c r="NK168" s="38"/>
      <c r="NL168" s="38"/>
      <c r="NM168" s="38"/>
      <c r="NN168" s="38"/>
      <c r="NO168" s="38"/>
      <c r="NP168" s="38"/>
      <c r="NQ168" s="38"/>
      <c r="NR168" s="38"/>
      <c r="NS168" s="38"/>
      <c r="NT168" s="38"/>
      <c r="NU168" s="38"/>
      <c r="NV168" s="38"/>
      <c r="NW168" s="38"/>
      <c r="NX168" s="38"/>
      <c r="NY168" s="38"/>
      <c r="NZ168" s="38"/>
      <c r="OA168" s="38"/>
      <c r="OB168" s="38"/>
      <c r="OC168" s="38"/>
      <c r="OD168" s="38"/>
      <c r="OE168" s="38"/>
      <c r="OF168" s="38"/>
      <c r="OG168" s="38"/>
      <c r="OH168" s="38"/>
      <c r="OI168" s="38"/>
      <c r="OJ168" s="38"/>
      <c r="OK168" s="38"/>
      <c r="OL168" s="38"/>
      <c r="OM168" s="38"/>
      <c r="ON168" s="38"/>
      <c r="OO168" s="38"/>
      <c r="OP168" s="38"/>
      <c r="OQ168" s="38"/>
      <c r="OR168" s="38"/>
      <c r="OS168" s="38"/>
      <c r="OT168" s="38"/>
      <c r="OU168" s="38"/>
      <c r="OV168" s="38"/>
      <c r="OW168" s="38"/>
      <c r="OX168" s="38"/>
      <c r="OY168" s="38"/>
      <c r="OZ168" s="38"/>
      <c r="PA168" s="38"/>
      <c r="PB168" s="38"/>
      <c r="PC168" s="38"/>
      <c r="PD168" s="38"/>
      <c r="PE168" s="38"/>
      <c r="PF168" s="38"/>
      <c r="PG168" s="38"/>
      <c r="PH168" s="38"/>
      <c r="PI168" s="38"/>
      <c r="PJ168" s="38"/>
      <c r="PK168" s="38"/>
      <c r="PL168" s="38"/>
      <c r="PM168" s="38"/>
      <c r="PN168" s="38"/>
      <c r="PO168" s="38"/>
      <c r="PP168" s="38"/>
      <c r="PQ168" s="38"/>
      <c r="PR168" s="38"/>
      <c r="PS168" s="38"/>
      <c r="PT168" s="38"/>
      <c r="PU168" s="38"/>
      <c r="PV168" s="38"/>
      <c r="PW168" s="38"/>
      <c r="PX168" s="38"/>
      <c r="PY168" s="38"/>
      <c r="PZ168" s="38"/>
      <c r="QA168" s="38"/>
      <c r="QB168" s="38"/>
      <c r="QC168" s="38"/>
      <c r="QD168" s="38"/>
      <c r="QE168" s="38"/>
      <c r="QF168" s="38"/>
      <c r="QG168" s="38"/>
      <c r="QH168" s="38"/>
      <c r="QI168" s="38"/>
      <c r="QJ168" s="38"/>
      <c r="QK168" s="38"/>
      <c r="QL168" s="38"/>
      <c r="QM168" s="38"/>
      <c r="QN168" s="38"/>
      <c r="QO168" s="38"/>
      <c r="QP168" s="38"/>
      <c r="QQ168" s="38"/>
      <c r="QR168" s="38"/>
      <c r="QS168" s="38"/>
      <c r="QT168" s="38"/>
      <c r="QU168" s="38"/>
      <c r="QV168" s="38"/>
      <c r="QW168" s="38"/>
      <c r="QX168" s="38"/>
      <c r="QY168" s="38"/>
      <c r="QZ168" s="38"/>
      <c r="RA168" s="38"/>
      <c r="RB168" s="38"/>
      <c r="RC168" s="38"/>
      <c r="RD168" s="38"/>
      <c r="RE168" s="38"/>
      <c r="RF168" s="38"/>
      <c r="RG168" s="38"/>
      <c r="RH168" s="38"/>
      <c r="RI168" s="38"/>
      <c r="RJ168" s="38"/>
      <c r="RK168" s="38"/>
      <c r="RL168" s="38"/>
      <c r="RM168" s="38"/>
      <c r="RN168" s="38"/>
      <c r="RO168" s="38"/>
      <c r="RP168" s="38"/>
      <c r="RQ168" s="38"/>
      <c r="RR168" s="38"/>
      <c r="RS168" s="38"/>
      <c r="RT168" s="38"/>
      <c r="RU168" s="38"/>
      <c r="RV168" s="38"/>
      <c r="RW168" s="38"/>
      <c r="RX168" s="38"/>
      <c r="RY168" s="38"/>
      <c r="RZ168" s="38"/>
      <c r="SA168" s="38"/>
      <c r="SB168" s="38"/>
      <c r="SC168" s="38"/>
      <c r="SD168" s="38"/>
      <c r="SE168" s="38"/>
      <c r="SF168" s="38"/>
      <c r="SG168" s="38"/>
      <c r="SH168" s="38"/>
      <c r="SI168" s="38"/>
      <c r="SJ168" s="38"/>
      <c r="SK168" s="38"/>
      <c r="SL168" s="38"/>
      <c r="SM168" s="38"/>
      <c r="SN168" s="38"/>
      <c r="SO168" s="38"/>
      <c r="SP168" s="38"/>
      <c r="SQ168" s="38"/>
      <c r="SR168" s="38"/>
      <c r="SS168" s="38"/>
      <c r="ST168" s="38"/>
      <c r="SU168" s="38"/>
      <c r="SV168" s="38"/>
      <c r="SW168" s="38"/>
      <c r="SX168" s="38"/>
      <c r="SY168" s="38"/>
      <c r="SZ168" s="38"/>
      <c r="TA168" s="38"/>
      <c r="TB168" s="38"/>
      <c r="TC168" s="38"/>
      <c r="TD168" s="38"/>
      <c r="TE168" s="38"/>
      <c r="TF168" s="38"/>
      <c r="TG168" s="38"/>
      <c r="TH168" s="38"/>
      <c r="TI168" s="38"/>
      <c r="TJ168" s="38"/>
      <c r="TK168" s="38"/>
      <c r="TL168" s="38"/>
      <c r="TM168" s="38"/>
    </row>
    <row r="169" spans="2:533" s="39" customFormat="1" ht="18.75" x14ac:dyDescent="0.25">
      <c r="B169" s="50">
        <v>125000</v>
      </c>
      <c r="C169" s="41" t="s">
        <v>329</v>
      </c>
      <c r="D169" s="108" t="s">
        <v>330</v>
      </c>
      <c r="E169" s="107" t="s">
        <v>103</v>
      </c>
      <c r="F169" s="109">
        <v>3</v>
      </c>
      <c r="G169" s="58"/>
      <c r="H169" s="71"/>
      <c r="I169" s="104">
        <f t="shared" si="27"/>
        <v>0</v>
      </c>
      <c r="J169" s="98" t="s">
        <v>167</v>
      </c>
      <c r="K169" s="104" t="s">
        <v>168</v>
      </c>
      <c r="L169" s="105"/>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c r="BW169" s="38"/>
      <c r="BX169" s="38"/>
      <c r="BY169" s="38"/>
      <c r="BZ169" s="38"/>
      <c r="CA169" s="38"/>
      <c r="CB169" s="38"/>
      <c r="CC169" s="38"/>
      <c r="CD169" s="38"/>
      <c r="CE169" s="38"/>
      <c r="CF169" s="38"/>
      <c r="CG169" s="38"/>
      <c r="CH169" s="38"/>
      <c r="CI169" s="38"/>
      <c r="CJ169" s="38"/>
      <c r="CK169" s="38"/>
      <c r="CL169" s="38"/>
      <c r="CM169" s="38"/>
      <c r="CN169" s="38"/>
      <c r="CO169" s="38"/>
      <c r="CP169" s="38"/>
      <c r="CQ169" s="38"/>
      <c r="CR169" s="38"/>
      <c r="CS169" s="38"/>
      <c r="CT169" s="38"/>
      <c r="CU169" s="38"/>
      <c r="CV169" s="38"/>
      <c r="CW169" s="38"/>
      <c r="CX169" s="38"/>
      <c r="CY169" s="38"/>
      <c r="CZ169" s="38"/>
      <c r="DA169" s="38"/>
      <c r="DB169" s="38"/>
      <c r="DC169" s="38"/>
      <c r="DD169" s="38"/>
      <c r="DE169" s="38"/>
      <c r="DF169" s="38"/>
      <c r="DG169" s="38"/>
      <c r="DH169" s="38"/>
      <c r="DI169" s="38"/>
      <c r="DJ169" s="38"/>
      <c r="DK169" s="38"/>
      <c r="DL169" s="38"/>
      <c r="DM169" s="38"/>
      <c r="DN169" s="38"/>
      <c r="DO169" s="38"/>
      <c r="DP169" s="38"/>
      <c r="DQ169" s="38"/>
      <c r="DR169" s="38"/>
      <c r="DS169" s="38"/>
      <c r="DT169" s="38"/>
      <c r="DU169" s="38"/>
      <c r="DV169" s="38"/>
      <c r="DW169" s="38"/>
      <c r="DX169" s="38"/>
      <c r="DY169" s="38"/>
      <c r="DZ169" s="38"/>
      <c r="EA169" s="38"/>
      <c r="EB169" s="38"/>
      <c r="EC169" s="38"/>
      <c r="ED169" s="38"/>
      <c r="EE169" s="38"/>
      <c r="EF169" s="38"/>
      <c r="EG169" s="38"/>
      <c r="EH169" s="38"/>
      <c r="EI169" s="38"/>
      <c r="EJ169" s="38"/>
      <c r="EK169" s="38"/>
      <c r="EL169" s="38"/>
      <c r="EM169" s="38"/>
      <c r="EN169" s="38"/>
      <c r="EO169" s="38"/>
      <c r="EP169" s="38"/>
      <c r="EQ169" s="38"/>
      <c r="ER169" s="38"/>
      <c r="ES169" s="38"/>
      <c r="ET169" s="38"/>
      <c r="EU169" s="38"/>
      <c r="EV169" s="38"/>
      <c r="EW169" s="38"/>
      <c r="EX169" s="38"/>
      <c r="EY169" s="38"/>
      <c r="EZ169" s="38"/>
      <c r="FA169" s="38"/>
      <c r="FB169" s="38"/>
      <c r="FC169" s="38"/>
      <c r="FD169" s="38"/>
      <c r="FE169" s="38"/>
      <c r="FF169" s="38"/>
      <c r="FG169" s="38"/>
      <c r="FH169" s="38"/>
      <c r="FI169" s="38"/>
      <c r="FJ169" s="38"/>
      <c r="FK169" s="38"/>
      <c r="FL169" s="38"/>
      <c r="FM169" s="38"/>
      <c r="FN169" s="38"/>
      <c r="FO169" s="38"/>
      <c r="FP169" s="38"/>
      <c r="FQ169" s="38"/>
      <c r="FR169" s="38"/>
      <c r="FS169" s="38"/>
      <c r="FT169" s="38"/>
      <c r="FU169" s="38"/>
      <c r="FV169" s="38"/>
      <c r="FW169" s="38"/>
      <c r="FX169" s="38"/>
      <c r="FY169" s="38"/>
      <c r="FZ169" s="38"/>
      <c r="GA169" s="38"/>
      <c r="GB169" s="38"/>
      <c r="GC169" s="38"/>
      <c r="GD169" s="38"/>
      <c r="GE169" s="38"/>
      <c r="GF169" s="38"/>
      <c r="GG169" s="38"/>
      <c r="GH169" s="38"/>
      <c r="GI169" s="38"/>
      <c r="GJ169" s="38"/>
      <c r="GK169" s="38"/>
      <c r="GL169" s="38"/>
      <c r="GM169" s="38"/>
      <c r="GN169" s="38"/>
      <c r="GO169" s="38"/>
      <c r="GP169" s="38"/>
      <c r="GQ169" s="38"/>
      <c r="GR169" s="38"/>
      <c r="GS169" s="38"/>
      <c r="GT169" s="38"/>
      <c r="GU169" s="38"/>
      <c r="GV169" s="38"/>
      <c r="GW169" s="38"/>
      <c r="GX169" s="38"/>
      <c r="GY169" s="38"/>
      <c r="GZ169" s="38"/>
      <c r="HA169" s="38"/>
      <c r="HB169" s="38"/>
      <c r="HC169" s="38"/>
      <c r="HD169" s="38"/>
      <c r="HE169" s="38"/>
      <c r="HF169" s="38"/>
      <c r="HG169" s="38"/>
      <c r="HH169" s="38"/>
      <c r="HI169" s="38"/>
      <c r="HJ169" s="38"/>
      <c r="HK169" s="38"/>
      <c r="HL169" s="38"/>
      <c r="HM169" s="38"/>
      <c r="HN169" s="38"/>
      <c r="HO169" s="38"/>
      <c r="HP169" s="38"/>
      <c r="HQ169" s="38"/>
      <c r="HR169" s="38"/>
      <c r="HS169" s="38"/>
      <c r="HT169" s="38"/>
      <c r="HU169" s="38"/>
      <c r="HV169" s="38"/>
      <c r="HW169" s="38"/>
      <c r="HX169" s="38"/>
      <c r="HY169" s="38"/>
      <c r="HZ169" s="38"/>
      <c r="IA169" s="38"/>
      <c r="IB169" s="38"/>
      <c r="IC169" s="38"/>
      <c r="ID169" s="38"/>
      <c r="IE169" s="38"/>
      <c r="IF169" s="38"/>
      <c r="IG169" s="38"/>
      <c r="IH169" s="38"/>
      <c r="II169" s="38"/>
      <c r="IJ169" s="38"/>
      <c r="IK169" s="38"/>
      <c r="IL169" s="38"/>
      <c r="IM169" s="38"/>
      <c r="IN169" s="38"/>
      <c r="IO169" s="38"/>
      <c r="IP169" s="38"/>
      <c r="IQ169" s="38"/>
      <c r="IR169" s="38"/>
      <c r="IS169" s="38"/>
      <c r="IT169" s="38"/>
      <c r="IU169" s="38"/>
      <c r="IV169" s="38"/>
      <c r="IW169" s="38"/>
      <c r="IX169" s="38"/>
      <c r="IY169" s="38"/>
      <c r="IZ169" s="38"/>
      <c r="JA169" s="38"/>
      <c r="JB169" s="38"/>
      <c r="JC169" s="38"/>
      <c r="JD169" s="38"/>
      <c r="JE169" s="38"/>
      <c r="JF169" s="38"/>
      <c r="JG169" s="38"/>
      <c r="JH169" s="38"/>
      <c r="JI169" s="38"/>
      <c r="JJ169" s="38"/>
      <c r="JK169" s="38"/>
      <c r="JL169" s="38"/>
      <c r="JM169" s="38"/>
      <c r="JN169" s="38"/>
      <c r="JO169" s="38"/>
      <c r="JP169" s="38"/>
      <c r="JQ169" s="38"/>
      <c r="JR169" s="38"/>
      <c r="JS169" s="38"/>
      <c r="JT169" s="38"/>
      <c r="JU169" s="38"/>
      <c r="JV169" s="38"/>
      <c r="JW169" s="38"/>
      <c r="JX169" s="38"/>
      <c r="JY169" s="38"/>
      <c r="JZ169" s="38"/>
      <c r="KA169" s="38"/>
      <c r="KB169" s="38"/>
      <c r="KC169" s="38"/>
      <c r="KD169" s="38"/>
      <c r="KE169" s="38"/>
      <c r="KF169" s="38"/>
      <c r="KG169" s="38"/>
      <c r="KH169" s="38"/>
      <c r="KI169" s="38"/>
      <c r="KJ169" s="38"/>
      <c r="KK169" s="38"/>
      <c r="KL169" s="38"/>
      <c r="KM169" s="38"/>
      <c r="KN169" s="38"/>
      <c r="KO169" s="38"/>
      <c r="KP169" s="38"/>
      <c r="KQ169" s="38"/>
      <c r="KR169" s="38"/>
      <c r="KS169" s="38"/>
      <c r="KT169" s="38"/>
      <c r="KU169" s="38"/>
      <c r="KV169" s="38"/>
      <c r="KW169" s="38"/>
      <c r="KX169" s="38"/>
      <c r="KY169" s="38"/>
      <c r="KZ169" s="38"/>
      <c r="LA169" s="38"/>
      <c r="LB169" s="38"/>
      <c r="LC169" s="38"/>
      <c r="LD169" s="38"/>
      <c r="LE169" s="38"/>
      <c r="LF169" s="38"/>
      <c r="LG169" s="38"/>
      <c r="LH169" s="38"/>
      <c r="LI169" s="38"/>
      <c r="LJ169" s="38"/>
      <c r="LK169" s="38"/>
      <c r="LL169" s="38"/>
      <c r="LM169" s="38"/>
      <c r="LN169" s="38"/>
      <c r="LO169" s="38"/>
      <c r="LP169" s="38"/>
      <c r="LQ169" s="38"/>
      <c r="LR169" s="38"/>
      <c r="LS169" s="38"/>
      <c r="LT169" s="38"/>
      <c r="LU169" s="38"/>
      <c r="LV169" s="38"/>
      <c r="LW169" s="38"/>
      <c r="LX169" s="38"/>
      <c r="LY169" s="38"/>
      <c r="LZ169" s="38"/>
      <c r="MA169" s="38"/>
      <c r="MB169" s="38"/>
      <c r="MC169" s="38"/>
      <c r="MD169" s="38"/>
      <c r="ME169" s="38"/>
      <c r="MF169" s="38"/>
      <c r="MG169" s="38"/>
      <c r="MH169" s="38"/>
      <c r="MI169" s="38"/>
      <c r="MJ169" s="38"/>
      <c r="MK169" s="38"/>
      <c r="ML169" s="38"/>
      <c r="MM169" s="38"/>
      <c r="MN169" s="38"/>
      <c r="MO169" s="38"/>
      <c r="MP169" s="38"/>
      <c r="MQ169" s="38"/>
      <c r="MR169" s="38"/>
      <c r="MS169" s="38"/>
      <c r="MT169" s="38"/>
      <c r="MU169" s="38"/>
      <c r="MV169" s="38"/>
      <c r="MW169" s="38"/>
      <c r="MX169" s="38"/>
      <c r="MY169" s="38"/>
      <c r="MZ169" s="38"/>
      <c r="NA169" s="38"/>
      <c r="NB169" s="38"/>
      <c r="NC169" s="38"/>
      <c r="ND169" s="38"/>
      <c r="NE169" s="38"/>
      <c r="NF169" s="38"/>
      <c r="NG169" s="38"/>
      <c r="NH169" s="38"/>
      <c r="NI169" s="38"/>
      <c r="NJ169" s="38"/>
      <c r="NK169" s="38"/>
      <c r="NL169" s="38"/>
      <c r="NM169" s="38"/>
      <c r="NN169" s="38"/>
      <c r="NO169" s="38"/>
      <c r="NP169" s="38"/>
      <c r="NQ169" s="38"/>
      <c r="NR169" s="38"/>
      <c r="NS169" s="38"/>
      <c r="NT169" s="38"/>
      <c r="NU169" s="38"/>
      <c r="NV169" s="38"/>
      <c r="NW169" s="38"/>
      <c r="NX169" s="38"/>
      <c r="NY169" s="38"/>
      <c r="NZ169" s="38"/>
      <c r="OA169" s="38"/>
      <c r="OB169" s="38"/>
      <c r="OC169" s="38"/>
      <c r="OD169" s="38"/>
      <c r="OE169" s="38"/>
      <c r="OF169" s="38"/>
      <c r="OG169" s="38"/>
      <c r="OH169" s="38"/>
      <c r="OI169" s="38"/>
      <c r="OJ169" s="38"/>
      <c r="OK169" s="38"/>
      <c r="OL169" s="38"/>
      <c r="OM169" s="38"/>
      <c r="ON169" s="38"/>
      <c r="OO169" s="38"/>
      <c r="OP169" s="38"/>
      <c r="OQ169" s="38"/>
      <c r="OR169" s="38"/>
      <c r="OS169" s="38"/>
      <c r="OT169" s="38"/>
      <c r="OU169" s="38"/>
      <c r="OV169" s="38"/>
      <c r="OW169" s="38"/>
      <c r="OX169" s="38"/>
      <c r="OY169" s="38"/>
      <c r="OZ169" s="38"/>
      <c r="PA169" s="38"/>
      <c r="PB169" s="38"/>
      <c r="PC169" s="38"/>
      <c r="PD169" s="38"/>
      <c r="PE169" s="38"/>
      <c r="PF169" s="38"/>
      <c r="PG169" s="38"/>
      <c r="PH169" s="38"/>
      <c r="PI169" s="38"/>
      <c r="PJ169" s="38"/>
      <c r="PK169" s="38"/>
      <c r="PL169" s="38"/>
      <c r="PM169" s="38"/>
      <c r="PN169" s="38"/>
      <c r="PO169" s="38"/>
      <c r="PP169" s="38"/>
      <c r="PQ169" s="38"/>
      <c r="PR169" s="38"/>
      <c r="PS169" s="38"/>
      <c r="PT169" s="38"/>
      <c r="PU169" s="38"/>
      <c r="PV169" s="38"/>
      <c r="PW169" s="38"/>
      <c r="PX169" s="38"/>
      <c r="PY169" s="38"/>
      <c r="PZ169" s="38"/>
      <c r="QA169" s="38"/>
      <c r="QB169" s="38"/>
      <c r="QC169" s="38"/>
      <c r="QD169" s="38"/>
      <c r="QE169" s="38"/>
      <c r="QF169" s="38"/>
      <c r="QG169" s="38"/>
      <c r="QH169" s="38"/>
      <c r="QI169" s="38"/>
      <c r="QJ169" s="38"/>
      <c r="QK169" s="38"/>
      <c r="QL169" s="38"/>
      <c r="QM169" s="38"/>
      <c r="QN169" s="38"/>
      <c r="QO169" s="38"/>
      <c r="QP169" s="38"/>
      <c r="QQ169" s="38"/>
      <c r="QR169" s="38"/>
      <c r="QS169" s="38"/>
      <c r="QT169" s="38"/>
      <c r="QU169" s="38"/>
      <c r="QV169" s="38"/>
      <c r="QW169" s="38"/>
      <c r="QX169" s="38"/>
      <c r="QY169" s="38"/>
      <c r="QZ169" s="38"/>
      <c r="RA169" s="38"/>
      <c r="RB169" s="38"/>
      <c r="RC169" s="38"/>
      <c r="RD169" s="38"/>
      <c r="RE169" s="38"/>
      <c r="RF169" s="38"/>
      <c r="RG169" s="38"/>
      <c r="RH169" s="38"/>
      <c r="RI169" s="38"/>
      <c r="RJ169" s="38"/>
      <c r="RK169" s="38"/>
      <c r="RL169" s="38"/>
      <c r="RM169" s="38"/>
      <c r="RN169" s="38"/>
      <c r="RO169" s="38"/>
      <c r="RP169" s="38"/>
      <c r="RQ169" s="38"/>
      <c r="RR169" s="38"/>
      <c r="RS169" s="38"/>
      <c r="RT169" s="38"/>
      <c r="RU169" s="38"/>
      <c r="RV169" s="38"/>
      <c r="RW169" s="38"/>
      <c r="RX169" s="38"/>
      <c r="RY169" s="38"/>
      <c r="RZ169" s="38"/>
      <c r="SA169" s="38"/>
      <c r="SB169" s="38"/>
      <c r="SC169" s="38"/>
      <c r="SD169" s="38"/>
      <c r="SE169" s="38"/>
      <c r="SF169" s="38"/>
      <c r="SG169" s="38"/>
      <c r="SH169" s="38"/>
      <c r="SI169" s="38"/>
      <c r="SJ169" s="38"/>
      <c r="SK169" s="38"/>
      <c r="SL169" s="38"/>
      <c r="SM169" s="38"/>
      <c r="SN169" s="38"/>
      <c r="SO169" s="38"/>
      <c r="SP169" s="38"/>
      <c r="SQ169" s="38"/>
      <c r="SR169" s="38"/>
      <c r="SS169" s="38"/>
      <c r="ST169" s="38"/>
      <c r="SU169" s="38"/>
      <c r="SV169" s="38"/>
      <c r="SW169" s="38"/>
      <c r="SX169" s="38"/>
      <c r="SY169" s="38"/>
      <c r="SZ169" s="38"/>
      <c r="TA169" s="38"/>
      <c r="TB169" s="38"/>
      <c r="TC169" s="38"/>
      <c r="TD169" s="38"/>
      <c r="TE169" s="38"/>
      <c r="TF169" s="38"/>
      <c r="TG169" s="38"/>
      <c r="TH169" s="38"/>
      <c r="TI169" s="38"/>
      <c r="TJ169" s="38"/>
      <c r="TK169" s="38"/>
      <c r="TL169" s="38"/>
      <c r="TM169" s="38"/>
    </row>
    <row r="170" spans="2:533" s="39" customFormat="1" ht="18.75" x14ac:dyDescent="0.25">
      <c r="B170" s="50">
        <v>125000</v>
      </c>
      <c r="C170" s="41" t="s">
        <v>331</v>
      </c>
      <c r="D170" s="108" t="s">
        <v>332</v>
      </c>
      <c r="E170" s="107" t="s">
        <v>103</v>
      </c>
      <c r="F170" s="109">
        <v>2</v>
      </c>
      <c r="G170" s="58"/>
      <c r="H170" s="71"/>
      <c r="I170" s="104">
        <f t="shared" si="27"/>
        <v>0</v>
      </c>
      <c r="J170" s="98" t="s">
        <v>167</v>
      </c>
      <c r="K170" s="104" t="s">
        <v>168</v>
      </c>
      <c r="L170" s="105"/>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c r="BK170" s="38"/>
      <c r="BL170" s="38"/>
      <c r="BM170" s="38"/>
      <c r="BN170" s="38"/>
      <c r="BO170" s="38"/>
      <c r="BP170" s="38"/>
      <c r="BQ170" s="38"/>
      <c r="BR170" s="38"/>
      <c r="BS170" s="38"/>
      <c r="BT170" s="38"/>
      <c r="BU170" s="38"/>
      <c r="BV170" s="38"/>
      <c r="BW170" s="38"/>
      <c r="BX170" s="38"/>
      <c r="BY170" s="38"/>
      <c r="BZ170" s="38"/>
      <c r="CA170" s="38"/>
      <c r="CB170" s="38"/>
      <c r="CC170" s="38"/>
      <c r="CD170" s="38"/>
      <c r="CE170" s="38"/>
      <c r="CF170" s="38"/>
      <c r="CG170" s="38"/>
      <c r="CH170" s="38"/>
      <c r="CI170" s="38"/>
      <c r="CJ170" s="38"/>
      <c r="CK170" s="38"/>
      <c r="CL170" s="38"/>
      <c r="CM170" s="38"/>
      <c r="CN170" s="38"/>
      <c r="CO170" s="38"/>
      <c r="CP170" s="38"/>
      <c r="CQ170" s="38"/>
      <c r="CR170" s="38"/>
      <c r="CS170" s="38"/>
      <c r="CT170" s="38"/>
      <c r="CU170" s="38"/>
      <c r="CV170" s="38"/>
      <c r="CW170" s="38"/>
      <c r="CX170" s="38"/>
      <c r="CY170" s="38"/>
      <c r="CZ170" s="38"/>
      <c r="DA170" s="38"/>
      <c r="DB170" s="38"/>
      <c r="DC170" s="38"/>
      <c r="DD170" s="38"/>
      <c r="DE170" s="38"/>
      <c r="DF170" s="38"/>
      <c r="DG170" s="38"/>
      <c r="DH170" s="38"/>
      <c r="DI170" s="38"/>
      <c r="DJ170" s="38"/>
      <c r="DK170" s="38"/>
      <c r="DL170" s="38"/>
      <c r="DM170" s="38"/>
      <c r="DN170" s="38"/>
      <c r="DO170" s="38"/>
      <c r="DP170" s="38"/>
      <c r="DQ170" s="38"/>
      <c r="DR170" s="38"/>
      <c r="DS170" s="38"/>
      <c r="DT170" s="38"/>
      <c r="DU170" s="38"/>
      <c r="DV170" s="38"/>
      <c r="DW170" s="38"/>
      <c r="DX170" s="38"/>
      <c r="DY170" s="38"/>
      <c r="DZ170" s="38"/>
      <c r="EA170" s="38"/>
      <c r="EB170" s="38"/>
      <c r="EC170" s="38"/>
      <c r="ED170" s="38"/>
      <c r="EE170" s="38"/>
      <c r="EF170" s="38"/>
      <c r="EG170" s="38"/>
      <c r="EH170" s="38"/>
      <c r="EI170" s="38"/>
      <c r="EJ170" s="38"/>
      <c r="EK170" s="38"/>
      <c r="EL170" s="38"/>
      <c r="EM170" s="38"/>
      <c r="EN170" s="38"/>
      <c r="EO170" s="38"/>
      <c r="EP170" s="38"/>
      <c r="EQ170" s="38"/>
      <c r="ER170" s="38"/>
      <c r="ES170" s="38"/>
      <c r="ET170" s="38"/>
      <c r="EU170" s="38"/>
      <c r="EV170" s="38"/>
      <c r="EW170" s="38"/>
      <c r="EX170" s="38"/>
      <c r="EY170" s="38"/>
      <c r="EZ170" s="38"/>
      <c r="FA170" s="38"/>
      <c r="FB170" s="38"/>
      <c r="FC170" s="38"/>
      <c r="FD170" s="38"/>
      <c r="FE170" s="38"/>
      <c r="FF170" s="38"/>
      <c r="FG170" s="38"/>
      <c r="FH170" s="38"/>
      <c r="FI170" s="38"/>
      <c r="FJ170" s="38"/>
      <c r="FK170" s="38"/>
      <c r="FL170" s="38"/>
      <c r="FM170" s="38"/>
      <c r="FN170" s="38"/>
      <c r="FO170" s="38"/>
      <c r="FP170" s="38"/>
      <c r="FQ170" s="38"/>
      <c r="FR170" s="38"/>
      <c r="FS170" s="38"/>
      <c r="FT170" s="38"/>
      <c r="FU170" s="38"/>
      <c r="FV170" s="38"/>
      <c r="FW170" s="38"/>
      <c r="FX170" s="38"/>
      <c r="FY170" s="38"/>
      <c r="FZ170" s="38"/>
      <c r="GA170" s="38"/>
      <c r="GB170" s="38"/>
      <c r="GC170" s="38"/>
      <c r="GD170" s="38"/>
      <c r="GE170" s="38"/>
      <c r="GF170" s="38"/>
      <c r="GG170" s="38"/>
      <c r="GH170" s="38"/>
      <c r="GI170" s="38"/>
      <c r="GJ170" s="38"/>
      <c r="GK170" s="38"/>
      <c r="GL170" s="38"/>
      <c r="GM170" s="38"/>
      <c r="GN170" s="38"/>
      <c r="GO170" s="38"/>
      <c r="GP170" s="38"/>
      <c r="GQ170" s="38"/>
      <c r="GR170" s="38"/>
      <c r="GS170" s="38"/>
      <c r="GT170" s="38"/>
      <c r="GU170" s="38"/>
      <c r="GV170" s="38"/>
      <c r="GW170" s="38"/>
      <c r="GX170" s="38"/>
      <c r="GY170" s="38"/>
      <c r="GZ170" s="38"/>
      <c r="HA170" s="38"/>
      <c r="HB170" s="38"/>
      <c r="HC170" s="38"/>
      <c r="HD170" s="38"/>
      <c r="HE170" s="38"/>
      <c r="HF170" s="38"/>
      <c r="HG170" s="38"/>
      <c r="HH170" s="38"/>
      <c r="HI170" s="38"/>
      <c r="HJ170" s="38"/>
      <c r="HK170" s="38"/>
      <c r="HL170" s="38"/>
      <c r="HM170" s="38"/>
      <c r="HN170" s="38"/>
      <c r="HO170" s="38"/>
      <c r="HP170" s="38"/>
      <c r="HQ170" s="38"/>
      <c r="HR170" s="38"/>
      <c r="HS170" s="38"/>
      <c r="HT170" s="38"/>
      <c r="HU170" s="38"/>
      <c r="HV170" s="38"/>
      <c r="HW170" s="38"/>
      <c r="HX170" s="38"/>
      <c r="HY170" s="38"/>
      <c r="HZ170" s="38"/>
      <c r="IA170" s="38"/>
      <c r="IB170" s="38"/>
      <c r="IC170" s="38"/>
      <c r="ID170" s="38"/>
      <c r="IE170" s="38"/>
      <c r="IF170" s="38"/>
      <c r="IG170" s="38"/>
      <c r="IH170" s="38"/>
      <c r="II170" s="38"/>
      <c r="IJ170" s="38"/>
      <c r="IK170" s="38"/>
      <c r="IL170" s="38"/>
      <c r="IM170" s="38"/>
      <c r="IN170" s="38"/>
      <c r="IO170" s="38"/>
      <c r="IP170" s="38"/>
      <c r="IQ170" s="38"/>
      <c r="IR170" s="38"/>
      <c r="IS170" s="38"/>
      <c r="IT170" s="38"/>
      <c r="IU170" s="38"/>
      <c r="IV170" s="38"/>
      <c r="IW170" s="38"/>
      <c r="IX170" s="38"/>
      <c r="IY170" s="38"/>
      <c r="IZ170" s="38"/>
      <c r="JA170" s="38"/>
      <c r="JB170" s="38"/>
      <c r="JC170" s="38"/>
      <c r="JD170" s="38"/>
      <c r="JE170" s="38"/>
      <c r="JF170" s="38"/>
      <c r="JG170" s="38"/>
      <c r="JH170" s="38"/>
      <c r="JI170" s="38"/>
      <c r="JJ170" s="38"/>
      <c r="JK170" s="38"/>
      <c r="JL170" s="38"/>
      <c r="JM170" s="38"/>
      <c r="JN170" s="38"/>
      <c r="JO170" s="38"/>
      <c r="JP170" s="38"/>
      <c r="JQ170" s="38"/>
      <c r="JR170" s="38"/>
      <c r="JS170" s="38"/>
      <c r="JT170" s="38"/>
      <c r="JU170" s="38"/>
      <c r="JV170" s="38"/>
      <c r="JW170" s="38"/>
      <c r="JX170" s="38"/>
      <c r="JY170" s="38"/>
      <c r="JZ170" s="38"/>
      <c r="KA170" s="38"/>
      <c r="KB170" s="38"/>
      <c r="KC170" s="38"/>
      <c r="KD170" s="38"/>
      <c r="KE170" s="38"/>
      <c r="KF170" s="38"/>
      <c r="KG170" s="38"/>
      <c r="KH170" s="38"/>
      <c r="KI170" s="38"/>
      <c r="KJ170" s="38"/>
      <c r="KK170" s="38"/>
      <c r="KL170" s="38"/>
      <c r="KM170" s="38"/>
      <c r="KN170" s="38"/>
      <c r="KO170" s="38"/>
      <c r="KP170" s="38"/>
      <c r="KQ170" s="38"/>
      <c r="KR170" s="38"/>
      <c r="KS170" s="38"/>
      <c r="KT170" s="38"/>
      <c r="KU170" s="38"/>
      <c r="KV170" s="38"/>
      <c r="KW170" s="38"/>
      <c r="KX170" s="38"/>
      <c r="KY170" s="38"/>
      <c r="KZ170" s="38"/>
      <c r="LA170" s="38"/>
      <c r="LB170" s="38"/>
      <c r="LC170" s="38"/>
      <c r="LD170" s="38"/>
      <c r="LE170" s="38"/>
      <c r="LF170" s="38"/>
      <c r="LG170" s="38"/>
      <c r="LH170" s="38"/>
      <c r="LI170" s="38"/>
      <c r="LJ170" s="38"/>
      <c r="LK170" s="38"/>
      <c r="LL170" s="38"/>
      <c r="LM170" s="38"/>
      <c r="LN170" s="38"/>
      <c r="LO170" s="38"/>
      <c r="LP170" s="38"/>
      <c r="LQ170" s="38"/>
      <c r="LR170" s="38"/>
      <c r="LS170" s="38"/>
      <c r="LT170" s="38"/>
      <c r="LU170" s="38"/>
      <c r="LV170" s="38"/>
      <c r="LW170" s="38"/>
      <c r="LX170" s="38"/>
      <c r="LY170" s="38"/>
      <c r="LZ170" s="38"/>
      <c r="MA170" s="38"/>
      <c r="MB170" s="38"/>
      <c r="MC170" s="38"/>
      <c r="MD170" s="38"/>
      <c r="ME170" s="38"/>
      <c r="MF170" s="38"/>
      <c r="MG170" s="38"/>
      <c r="MH170" s="38"/>
      <c r="MI170" s="38"/>
      <c r="MJ170" s="38"/>
      <c r="MK170" s="38"/>
      <c r="ML170" s="38"/>
      <c r="MM170" s="38"/>
      <c r="MN170" s="38"/>
      <c r="MO170" s="38"/>
      <c r="MP170" s="38"/>
      <c r="MQ170" s="38"/>
      <c r="MR170" s="38"/>
      <c r="MS170" s="38"/>
      <c r="MT170" s="38"/>
      <c r="MU170" s="38"/>
      <c r="MV170" s="38"/>
      <c r="MW170" s="38"/>
      <c r="MX170" s="38"/>
      <c r="MY170" s="38"/>
      <c r="MZ170" s="38"/>
      <c r="NA170" s="38"/>
      <c r="NB170" s="38"/>
      <c r="NC170" s="38"/>
      <c r="ND170" s="38"/>
      <c r="NE170" s="38"/>
      <c r="NF170" s="38"/>
      <c r="NG170" s="38"/>
      <c r="NH170" s="38"/>
      <c r="NI170" s="38"/>
      <c r="NJ170" s="38"/>
      <c r="NK170" s="38"/>
      <c r="NL170" s="38"/>
      <c r="NM170" s="38"/>
      <c r="NN170" s="38"/>
      <c r="NO170" s="38"/>
      <c r="NP170" s="38"/>
      <c r="NQ170" s="38"/>
      <c r="NR170" s="38"/>
      <c r="NS170" s="38"/>
      <c r="NT170" s="38"/>
      <c r="NU170" s="38"/>
      <c r="NV170" s="38"/>
      <c r="NW170" s="38"/>
      <c r="NX170" s="38"/>
      <c r="NY170" s="38"/>
      <c r="NZ170" s="38"/>
      <c r="OA170" s="38"/>
      <c r="OB170" s="38"/>
      <c r="OC170" s="38"/>
      <c r="OD170" s="38"/>
      <c r="OE170" s="38"/>
      <c r="OF170" s="38"/>
      <c r="OG170" s="38"/>
      <c r="OH170" s="38"/>
      <c r="OI170" s="38"/>
      <c r="OJ170" s="38"/>
      <c r="OK170" s="38"/>
      <c r="OL170" s="38"/>
      <c r="OM170" s="38"/>
      <c r="ON170" s="38"/>
      <c r="OO170" s="38"/>
      <c r="OP170" s="38"/>
      <c r="OQ170" s="38"/>
      <c r="OR170" s="38"/>
      <c r="OS170" s="38"/>
      <c r="OT170" s="38"/>
      <c r="OU170" s="38"/>
      <c r="OV170" s="38"/>
      <c r="OW170" s="38"/>
      <c r="OX170" s="38"/>
      <c r="OY170" s="38"/>
      <c r="OZ170" s="38"/>
      <c r="PA170" s="38"/>
      <c r="PB170" s="38"/>
      <c r="PC170" s="38"/>
      <c r="PD170" s="38"/>
      <c r="PE170" s="38"/>
      <c r="PF170" s="38"/>
      <c r="PG170" s="38"/>
      <c r="PH170" s="38"/>
      <c r="PI170" s="38"/>
      <c r="PJ170" s="38"/>
      <c r="PK170" s="38"/>
      <c r="PL170" s="38"/>
      <c r="PM170" s="38"/>
      <c r="PN170" s="38"/>
      <c r="PO170" s="38"/>
      <c r="PP170" s="38"/>
      <c r="PQ170" s="38"/>
      <c r="PR170" s="38"/>
      <c r="PS170" s="38"/>
      <c r="PT170" s="38"/>
      <c r="PU170" s="38"/>
      <c r="PV170" s="38"/>
      <c r="PW170" s="38"/>
      <c r="PX170" s="38"/>
      <c r="PY170" s="38"/>
      <c r="PZ170" s="38"/>
      <c r="QA170" s="38"/>
      <c r="QB170" s="38"/>
      <c r="QC170" s="38"/>
      <c r="QD170" s="38"/>
      <c r="QE170" s="38"/>
      <c r="QF170" s="38"/>
      <c r="QG170" s="38"/>
      <c r="QH170" s="38"/>
      <c r="QI170" s="38"/>
      <c r="QJ170" s="38"/>
      <c r="QK170" s="38"/>
      <c r="QL170" s="38"/>
      <c r="QM170" s="38"/>
      <c r="QN170" s="38"/>
      <c r="QO170" s="38"/>
      <c r="QP170" s="38"/>
      <c r="QQ170" s="38"/>
      <c r="QR170" s="38"/>
      <c r="QS170" s="38"/>
      <c r="QT170" s="38"/>
      <c r="QU170" s="38"/>
      <c r="QV170" s="38"/>
      <c r="QW170" s="38"/>
      <c r="QX170" s="38"/>
      <c r="QY170" s="38"/>
      <c r="QZ170" s="38"/>
      <c r="RA170" s="38"/>
      <c r="RB170" s="38"/>
      <c r="RC170" s="38"/>
      <c r="RD170" s="38"/>
      <c r="RE170" s="38"/>
      <c r="RF170" s="38"/>
      <c r="RG170" s="38"/>
      <c r="RH170" s="38"/>
      <c r="RI170" s="38"/>
      <c r="RJ170" s="38"/>
      <c r="RK170" s="38"/>
      <c r="RL170" s="38"/>
      <c r="RM170" s="38"/>
      <c r="RN170" s="38"/>
      <c r="RO170" s="38"/>
      <c r="RP170" s="38"/>
      <c r="RQ170" s="38"/>
      <c r="RR170" s="38"/>
      <c r="RS170" s="38"/>
      <c r="RT170" s="38"/>
      <c r="RU170" s="38"/>
      <c r="RV170" s="38"/>
      <c r="RW170" s="38"/>
      <c r="RX170" s="38"/>
      <c r="RY170" s="38"/>
      <c r="RZ170" s="38"/>
      <c r="SA170" s="38"/>
      <c r="SB170" s="38"/>
      <c r="SC170" s="38"/>
      <c r="SD170" s="38"/>
      <c r="SE170" s="38"/>
      <c r="SF170" s="38"/>
      <c r="SG170" s="38"/>
      <c r="SH170" s="38"/>
      <c r="SI170" s="38"/>
      <c r="SJ170" s="38"/>
      <c r="SK170" s="38"/>
      <c r="SL170" s="38"/>
      <c r="SM170" s="38"/>
      <c r="SN170" s="38"/>
      <c r="SO170" s="38"/>
      <c r="SP170" s="38"/>
      <c r="SQ170" s="38"/>
      <c r="SR170" s="38"/>
      <c r="SS170" s="38"/>
      <c r="ST170" s="38"/>
      <c r="SU170" s="38"/>
      <c r="SV170" s="38"/>
      <c r="SW170" s="38"/>
      <c r="SX170" s="38"/>
      <c r="SY170" s="38"/>
      <c r="SZ170" s="38"/>
      <c r="TA170" s="38"/>
      <c r="TB170" s="38"/>
      <c r="TC170" s="38"/>
      <c r="TD170" s="38"/>
      <c r="TE170" s="38"/>
      <c r="TF170" s="38"/>
      <c r="TG170" s="38"/>
      <c r="TH170" s="38"/>
      <c r="TI170" s="38"/>
      <c r="TJ170" s="38"/>
      <c r="TK170" s="38"/>
      <c r="TL170" s="38"/>
      <c r="TM170" s="38"/>
    </row>
    <row r="171" spans="2:533" s="39" customFormat="1" ht="18.75" x14ac:dyDescent="0.25">
      <c r="B171" s="50">
        <v>125000</v>
      </c>
      <c r="C171" s="41" t="s">
        <v>333</v>
      </c>
      <c r="D171" s="108" t="s">
        <v>334</v>
      </c>
      <c r="E171" s="107" t="s">
        <v>103</v>
      </c>
      <c r="F171" s="109">
        <v>1</v>
      </c>
      <c r="G171" s="58"/>
      <c r="H171" s="71"/>
      <c r="I171" s="104">
        <f t="shared" si="27"/>
        <v>0</v>
      </c>
      <c r="J171" s="98" t="s">
        <v>167</v>
      </c>
      <c r="K171" s="104" t="s">
        <v>168</v>
      </c>
      <c r="L171" s="105"/>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c r="BK171" s="38"/>
      <c r="BL171" s="38"/>
      <c r="BM171" s="38"/>
      <c r="BN171" s="38"/>
      <c r="BO171" s="38"/>
      <c r="BP171" s="38"/>
      <c r="BQ171" s="38"/>
      <c r="BR171" s="38"/>
      <c r="BS171" s="38"/>
      <c r="BT171" s="38"/>
      <c r="BU171" s="38"/>
      <c r="BV171" s="38"/>
      <c r="BW171" s="38"/>
      <c r="BX171" s="38"/>
      <c r="BY171" s="38"/>
      <c r="BZ171" s="38"/>
      <c r="CA171" s="38"/>
      <c r="CB171" s="38"/>
      <c r="CC171" s="38"/>
      <c r="CD171" s="38"/>
      <c r="CE171" s="38"/>
      <c r="CF171" s="38"/>
      <c r="CG171" s="38"/>
      <c r="CH171" s="38"/>
      <c r="CI171" s="38"/>
      <c r="CJ171" s="38"/>
      <c r="CK171" s="38"/>
      <c r="CL171" s="38"/>
      <c r="CM171" s="38"/>
      <c r="CN171" s="38"/>
      <c r="CO171" s="38"/>
      <c r="CP171" s="38"/>
      <c r="CQ171" s="38"/>
      <c r="CR171" s="38"/>
      <c r="CS171" s="38"/>
      <c r="CT171" s="38"/>
      <c r="CU171" s="38"/>
      <c r="CV171" s="38"/>
      <c r="CW171" s="38"/>
      <c r="CX171" s="38"/>
      <c r="CY171" s="38"/>
      <c r="CZ171" s="38"/>
      <c r="DA171" s="38"/>
      <c r="DB171" s="38"/>
      <c r="DC171" s="38"/>
      <c r="DD171" s="38"/>
      <c r="DE171" s="38"/>
      <c r="DF171" s="38"/>
      <c r="DG171" s="38"/>
      <c r="DH171" s="38"/>
      <c r="DI171" s="38"/>
      <c r="DJ171" s="38"/>
      <c r="DK171" s="38"/>
      <c r="DL171" s="38"/>
      <c r="DM171" s="38"/>
      <c r="DN171" s="38"/>
      <c r="DO171" s="38"/>
      <c r="DP171" s="38"/>
      <c r="DQ171" s="38"/>
      <c r="DR171" s="38"/>
      <c r="DS171" s="38"/>
      <c r="DT171" s="38"/>
      <c r="DU171" s="38"/>
      <c r="DV171" s="38"/>
      <c r="DW171" s="38"/>
      <c r="DX171" s="38"/>
      <c r="DY171" s="38"/>
      <c r="DZ171" s="38"/>
      <c r="EA171" s="38"/>
      <c r="EB171" s="38"/>
      <c r="EC171" s="38"/>
      <c r="ED171" s="38"/>
      <c r="EE171" s="38"/>
      <c r="EF171" s="38"/>
      <c r="EG171" s="38"/>
      <c r="EH171" s="38"/>
      <c r="EI171" s="38"/>
      <c r="EJ171" s="38"/>
      <c r="EK171" s="38"/>
      <c r="EL171" s="38"/>
      <c r="EM171" s="38"/>
      <c r="EN171" s="38"/>
      <c r="EO171" s="38"/>
      <c r="EP171" s="38"/>
      <c r="EQ171" s="38"/>
      <c r="ER171" s="38"/>
      <c r="ES171" s="38"/>
      <c r="ET171" s="38"/>
      <c r="EU171" s="38"/>
      <c r="EV171" s="38"/>
      <c r="EW171" s="38"/>
      <c r="EX171" s="38"/>
      <c r="EY171" s="38"/>
      <c r="EZ171" s="38"/>
      <c r="FA171" s="38"/>
      <c r="FB171" s="38"/>
      <c r="FC171" s="38"/>
      <c r="FD171" s="38"/>
      <c r="FE171" s="38"/>
      <c r="FF171" s="38"/>
      <c r="FG171" s="38"/>
      <c r="FH171" s="38"/>
      <c r="FI171" s="38"/>
      <c r="FJ171" s="38"/>
      <c r="FK171" s="38"/>
      <c r="FL171" s="38"/>
      <c r="FM171" s="38"/>
      <c r="FN171" s="38"/>
      <c r="FO171" s="38"/>
      <c r="FP171" s="38"/>
      <c r="FQ171" s="38"/>
      <c r="FR171" s="38"/>
      <c r="FS171" s="38"/>
      <c r="FT171" s="38"/>
      <c r="FU171" s="38"/>
      <c r="FV171" s="38"/>
      <c r="FW171" s="38"/>
      <c r="FX171" s="38"/>
      <c r="FY171" s="38"/>
      <c r="FZ171" s="38"/>
      <c r="GA171" s="38"/>
      <c r="GB171" s="38"/>
      <c r="GC171" s="38"/>
      <c r="GD171" s="38"/>
      <c r="GE171" s="38"/>
      <c r="GF171" s="38"/>
      <c r="GG171" s="38"/>
      <c r="GH171" s="38"/>
      <c r="GI171" s="38"/>
      <c r="GJ171" s="38"/>
      <c r="GK171" s="38"/>
      <c r="GL171" s="38"/>
      <c r="GM171" s="38"/>
      <c r="GN171" s="38"/>
      <c r="GO171" s="38"/>
      <c r="GP171" s="38"/>
      <c r="GQ171" s="38"/>
      <c r="GR171" s="38"/>
      <c r="GS171" s="38"/>
      <c r="GT171" s="38"/>
      <c r="GU171" s="38"/>
      <c r="GV171" s="38"/>
      <c r="GW171" s="38"/>
      <c r="GX171" s="38"/>
      <c r="GY171" s="38"/>
      <c r="GZ171" s="38"/>
      <c r="HA171" s="38"/>
      <c r="HB171" s="38"/>
      <c r="HC171" s="38"/>
      <c r="HD171" s="38"/>
      <c r="HE171" s="38"/>
      <c r="HF171" s="38"/>
      <c r="HG171" s="38"/>
      <c r="HH171" s="38"/>
      <c r="HI171" s="38"/>
      <c r="HJ171" s="38"/>
      <c r="HK171" s="38"/>
      <c r="HL171" s="38"/>
      <c r="HM171" s="38"/>
      <c r="HN171" s="38"/>
      <c r="HO171" s="38"/>
      <c r="HP171" s="38"/>
      <c r="HQ171" s="38"/>
      <c r="HR171" s="38"/>
      <c r="HS171" s="38"/>
      <c r="HT171" s="38"/>
      <c r="HU171" s="38"/>
      <c r="HV171" s="38"/>
      <c r="HW171" s="38"/>
      <c r="HX171" s="38"/>
      <c r="HY171" s="38"/>
      <c r="HZ171" s="38"/>
      <c r="IA171" s="38"/>
      <c r="IB171" s="38"/>
      <c r="IC171" s="38"/>
      <c r="ID171" s="38"/>
      <c r="IE171" s="38"/>
      <c r="IF171" s="38"/>
      <c r="IG171" s="38"/>
      <c r="IH171" s="38"/>
      <c r="II171" s="38"/>
      <c r="IJ171" s="38"/>
      <c r="IK171" s="38"/>
      <c r="IL171" s="38"/>
      <c r="IM171" s="38"/>
      <c r="IN171" s="38"/>
      <c r="IO171" s="38"/>
      <c r="IP171" s="38"/>
      <c r="IQ171" s="38"/>
      <c r="IR171" s="38"/>
      <c r="IS171" s="38"/>
      <c r="IT171" s="38"/>
      <c r="IU171" s="38"/>
      <c r="IV171" s="38"/>
      <c r="IW171" s="38"/>
      <c r="IX171" s="38"/>
      <c r="IY171" s="38"/>
      <c r="IZ171" s="38"/>
      <c r="JA171" s="38"/>
      <c r="JB171" s="38"/>
      <c r="JC171" s="38"/>
      <c r="JD171" s="38"/>
      <c r="JE171" s="38"/>
      <c r="JF171" s="38"/>
      <c r="JG171" s="38"/>
      <c r="JH171" s="38"/>
      <c r="JI171" s="38"/>
      <c r="JJ171" s="38"/>
      <c r="JK171" s="38"/>
      <c r="JL171" s="38"/>
      <c r="JM171" s="38"/>
      <c r="JN171" s="38"/>
      <c r="JO171" s="38"/>
      <c r="JP171" s="38"/>
      <c r="JQ171" s="38"/>
      <c r="JR171" s="38"/>
      <c r="JS171" s="38"/>
      <c r="JT171" s="38"/>
      <c r="JU171" s="38"/>
      <c r="JV171" s="38"/>
      <c r="JW171" s="38"/>
      <c r="JX171" s="38"/>
      <c r="JY171" s="38"/>
      <c r="JZ171" s="38"/>
      <c r="KA171" s="38"/>
      <c r="KB171" s="38"/>
      <c r="KC171" s="38"/>
      <c r="KD171" s="38"/>
      <c r="KE171" s="38"/>
      <c r="KF171" s="38"/>
      <c r="KG171" s="38"/>
      <c r="KH171" s="38"/>
      <c r="KI171" s="38"/>
      <c r="KJ171" s="38"/>
      <c r="KK171" s="38"/>
      <c r="KL171" s="38"/>
      <c r="KM171" s="38"/>
      <c r="KN171" s="38"/>
      <c r="KO171" s="38"/>
      <c r="KP171" s="38"/>
      <c r="KQ171" s="38"/>
      <c r="KR171" s="38"/>
      <c r="KS171" s="38"/>
      <c r="KT171" s="38"/>
      <c r="KU171" s="38"/>
      <c r="KV171" s="38"/>
      <c r="KW171" s="38"/>
      <c r="KX171" s="38"/>
      <c r="KY171" s="38"/>
      <c r="KZ171" s="38"/>
      <c r="LA171" s="38"/>
      <c r="LB171" s="38"/>
      <c r="LC171" s="38"/>
      <c r="LD171" s="38"/>
      <c r="LE171" s="38"/>
      <c r="LF171" s="38"/>
      <c r="LG171" s="38"/>
      <c r="LH171" s="38"/>
      <c r="LI171" s="38"/>
      <c r="LJ171" s="38"/>
      <c r="LK171" s="38"/>
      <c r="LL171" s="38"/>
      <c r="LM171" s="38"/>
      <c r="LN171" s="38"/>
      <c r="LO171" s="38"/>
      <c r="LP171" s="38"/>
      <c r="LQ171" s="38"/>
      <c r="LR171" s="38"/>
      <c r="LS171" s="38"/>
      <c r="LT171" s="38"/>
      <c r="LU171" s="38"/>
      <c r="LV171" s="38"/>
      <c r="LW171" s="38"/>
      <c r="LX171" s="38"/>
      <c r="LY171" s="38"/>
      <c r="LZ171" s="38"/>
      <c r="MA171" s="38"/>
      <c r="MB171" s="38"/>
      <c r="MC171" s="38"/>
      <c r="MD171" s="38"/>
      <c r="ME171" s="38"/>
      <c r="MF171" s="38"/>
      <c r="MG171" s="38"/>
      <c r="MH171" s="38"/>
      <c r="MI171" s="38"/>
      <c r="MJ171" s="38"/>
      <c r="MK171" s="38"/>
      <c r="ML171" s="38"/>
      <c r="MM171" s="38"/>
      <c r="MN171" s="38"/>
      <c r="MO171" s="38"/>
      <c r="MP171" s="38"/>
      <c r="MQ171" s="38"/>
      <c r="MR171" s="38"/>
      <c r="MS171" s="38"/>
      <c r="MT171" s="38"/>
      <c r="MU171" s="38"/>
      <c r="MV171" s="38"/>
      <c r="MW171" s="38"/>
      <c r="MX171" s="38"/>
      <c r="MY171" s="38"/>
      <c r="MZ171" s="38"/>
      <c r="NA171" s="38"/>
      <c r="NB171" s="38"/>
      <c r="NC171" s="38"/>
      <c r="ND171" s="38"/>
      <c r="NE171" s="38"/>
      <c r="NF171" s="38"/>
      <c r="NG171" s="38"/>
      <c r="NH171" s="38"/>
      <c r="NI171" s="38"/>
      <c r="NJ171" s="38"/>
      <c r="NK171" s="38"/>
      <c r="NL171" s="38"/>
      <c r="NM171" s="38"/>
      <c r="NN171" s="38"/>
      <c r="NO171" s="38"/>
      <c r="NP171" s="38"/>
      <c r="NQ171" s="38"/>
      <c r="NR171" s="38"/>
      <c r="NS171" s="38"/>
      <c r="NT171" s="38"/>
      <c r="NU171" s="38"/>
      <c r="NV171" s="38"/>
      <c r="NW171" s="38"/>
      <c r="NX171" s="38"/>
      <c r="NY171" s="38"/>
      <c r="NZ171" s="38"/>
      <c r="OA171" s="38"/>
      <c r="OB171" s="38"/>
      <c r="OC171" s="38"/>
      <c r="OD171" s="38"/>
      <c r="OE171" s="38"/>
      <c r="OF171" s="38"/>
      <c r="OG171" s="38"/>
      <c r="OH171" s="38"/>
      <c r="OI171" s="38"/>
      <c r="OJ171" s="38"/>
      <c r="OK171" s="38"/>
      <c r="OL171" s="38"/>
      <c r="OM171" s="38"/>
      <c r="ON171" s="38"/>
      <c r="OO171" s="38"/>
      <c r="OP171" s="38"/>
      <c r="OQ171" s="38"/>
      <c r="OR171" s="38"/>
      <c r="OS171" s="38"/>
      <c r="OT171" s="38"/>
      <c r="OU171" s="38"/>
      <c r="OV171" s="38"/>
      <c r="OW171" s="38"/>
      <c r="OX171" s="38"/>
      <c r="OY171" s="38"/>
      <c r="OZ171" s="38"/>
      <c r="PA171" s="38"/>
      <c r="PB171" s="38"/>
      <c r="PC171" s="38"/>
      <c r="PD171" s="38"/>
      <c r="PE171" s="38"/>
      <c r="PF171" s="38"/>
      <c r="PG171" s="38"/>
      <c r="PH171" s="38"/>
      <c r="PI171" s="38"/>
      <c r="PJ171" s="38"/>
      <c r="PK171" s="38"/>
      <c r="PL171" s="38"/>
      <c r="PM171" s="38"/>
      <c r="PN171" s="38"/>
      <c r="PO171" s="38"/>
      <c r="PP171" s="38"/>
      <c r="PQ171" s="38"/>
      <c r="PR171" s="38"/>
      <c r="PS171" s="38"/>
      <c r="PT171" s="38"/>
      <c r="PU171" s="38"/>
      <c r="PV171" s="38"/>
      <c r="PW171" s="38"/>
      <c r="PX171" s="38"/>
      <c r="PY171" s="38"/>
      <c r="PZ171" s="38"/>
      <c r="QA171" s="38"/>
      <c r="QB171" s="38"/>
      <c r="QC171" s="38"/>
      <c r="QD171" s="38"/>
      <c r="QE171" s="38"/>
      <c r="QF171" s="38"/>
      <c r="QG171" s="38"/>
      <c r="QH171" s="38"/>
      <c r="QI171" s="38"/>
      <c r="QJ171" s="38"/>
      <c r="QK171" s="38"/>
      <c r="QL171" s="38"/>
      <c r="QM171" s="38"/>
      <c r="QN171" s="38"/>
      <c r="QO171" s="38"/>
      <c r="QP171" s="38"/>
      <c r="QQ171" s="38"/>
      <c r="QR171" s="38"/>
      <c r="QS171" s="38"/>
      <c r="QT171" s="38"/>
      <c r="QU171" s="38"/>
      <c r="QV171" s="38"/>
      <c r="QW171" s="38"/>
      <c r="QX171" s="38"/>
      <c r="QY171" s="38"/>
      <c r="QZ171" s="38"/>
      <c r="RA171" s="38"/>
      <c r="RB171" s="38"/>
      <c r="RC171" s="38"/>
      <c r="RD171" s="38"/>
      <c r="RE171" s="38"/>
      <c r="RF171" s="38"/>
      <c r="RG171" s="38"/>
      <c r="RH171" s="38"/>
      <c r="RI171" s="38"/>
      <c r="RJ171" s="38"/>
      <c r="RK171" s="38"/>
      <c r="RL171" s="38"/>
      <c r="RM171" s="38"/>
      <c r="RN171" s="38"/>
      <c r="RO171" s="38"/>
      <c r="RP171" s="38"/>
      <c r="RQ171" s="38"/>
      <c r="RR171" s="38"/>
      <c r="RS171" s="38"/>
      <c r="RT171" s="38"/>
      <c r="RU171" s="38"/>
      <c r="RV171" s="38"/>
      <c r="RW171" s="38"/>
      <c r="RX171" s="38"/>
      <c r="RY171" s="38"/>
      <c r="RZ171" s="38"/>
      <c r="SA171" s="38"/>
      <c r="SB171" s="38"/>
      <c r="SC171" s="38"/>
      <c r="SD171" s="38"/>
      <c r="SE171" s="38"/>
      <c r="SF171" s="38"/>
      <c r="SG171" s="38"/>
      <c r="SH171" s="38"/>
      <c r="SI171" s="38"/>
      <c r="SJ171" s="38"/>
      <c r="SK171" s="38"/>
      <c r="SL171" s="38"/>
      <c r="SM171" s="38"/>
      <c r="SN171" s="38"/>
      <c r="SO171" s="38"/>
      <c r="SP171" s="38"/>
      <c r="SQ171" s="38"/>
      <c r="SR171" s="38"/>
      <c r="SS171" s="38"/>
      <c r="ST171" s="38"/>
      <c r="SU171" s="38"/>
      <c r="SV171" s="38"/>
      <c r="SW171" s="38"/>
      <c r="SX171" s="38"/>
      <c r="SY171" s="38"/>
      <c r="SZ171" s="38"/>
      <c r="TA171" s="38"/>
      <c r="TB171" s="38"/>
      <c r="TC171" s="38"/>
      <c r="TD171" s="38"/>
      <c r="TE171" s="38"/>
      <c r="TF171" s="38"/>
      <c r="TG171" s="38"/>
      <c r="TH171" s="38"/>
      <c r="TI171" s="38"/>
      <c r="TJ171" s="38"/>
      <c r="TK171" s="38"/>
      <c r="TL171" s="38"/>
      <c r="TM171" s="38"/>
    </row>
    <row r="172" spans="2:533" s="39" customFormat="1" ht="18.75" x14ac:dyDescent="0.25">
      <c r="B172" s="50">
        <v>125000</v>
      </c>
      <c r="C172" s="41" t="s">
        <v>335</v>
      </c>
      <c r="D172" s="108" t="s">
        <v>336</v>
      </c>
      <c r="E172" s="107" t="s">
        <v>103</v>
      </c>
      <c r="F172" s="109">
        <v>1</v>
      </c>
      <c r="G172" s="58"/>
      <c r="H172" s="71"/>
      <c r="I172" s="104">
        <f t="shared" si="27"/>
        <v>0</v>
      </c>
      <c r="J172" s="98" t="s">
        <v>167</v>
      </c>
      <c r="K172" s="104" t="s">
        <v>168</v>
      </c>
      <c r="L172" s="105"/>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c r="BS172" s="38"/>
      <c r="BT172" s="38"/>
      <c r="BU172" s="38"/>
      <c r="BV172" s="38"/>
      <c r="BW172" s="38"/>
      <c r="BX172" s="38"/>
      <c r="BY172" s="38"/>
      <c r="BZ172" s="38"/>
      <c r="CA172" s="38"/>
      <c r="CB172" s="38"/>
      <c r="CC172" s="38"/>
      <c r="CD172" s="38"/>
      <c r="CE172" s="38"/>
      <c r="CF172" s="38"/>
      <c r="CG172" s="38"/>
      <c r="CH172" s="38"/>
      <c r="CI172" s="38"/>
      <c r="CJ172" s="38"/>
      <c r="CK172" s="38"/>
      <c r="CL172" s="38"/>
      <c r="CM172" s="38"/>
      <c r="CN172" s="38"/>
      <c r="CO172" s="38"/>
      <c r="CP172" s="38"/>
      <c r="CQ172" s="38"/>
      <c r="CR172" s="38"/>
      <c r="CS172" s="38"/>
      <c r="CT172" s="38"/>
      <c r="CU172" s="38"/>
      <c r="CV172" s="38"/>
      <c r="CW172" s="38"/>
      <c r="CX172" s="38"/>
      <c r="CY172" s="38"/>
      <c r="CZ172" s="38"/>
      <c r="DA172" s="38"/>
      <c r="DB172" s="38"/>
      <c r="DC172" s="38"/>
      <c r="DD172" s="38"/>
      <c r="DE172" s="38"/>
      <c r="DF172" s="38"/>
      <c r="DG172" s="38"/>
      <c r="DH172" s="38"/>
      <c r="DI172" s="38"/>
      <c r="DJ172" s="38"/>
      <c r="DK172" s="38"/>
      <c r="DL172" s="38"/>
      <c r="DM172" s="38"/>
      <c r="DN172" s="38"/>
      <c r="DO172" s="38"/>
      <c r="DP172" s="38"/>
      <c r="DQ172" s="38"/>
      <c r="DR172" s="38"/>
      <c r="DS172" s="38"/>
      <c r="DT172" s="38"/>
      <c r="DU172" s="38"/>
      <c r="DV172" s="38"/>
      <c r="DW172" s="38"/>
      <c r="DX172" s="38"/>
      <c r="DY172" s="38"/>
      <c r="DZ172" s="38"/>
      <c r="EA172" s="38"/>
      <c r="EB172" s="38"/>
      <c r="EC172" s="38"/>
      <c r="ED172" s="38"/>
      <c r="EE172" s="38"/>
      <c r="EF172" s="38"/>
      <c r="EG172" s="38"/>
      <c r="EH172" s="38"/>
      <c r="EI172" s="38"/>
      <c r="EJ172" s="38"/>
      <c r="EK172" s="38"/>
      <c r="EL172" s="38"/>
      <c r="EM172" s="38"/>
      <c r="EN172" s="38"/>
      <c r="EO172" s="38"/>
      <c r="EP172" s="38"/>
      <c r="EQ172" s="38"/>
      <c r="ER172" s="38"/>
      <c r="ES172" s="38"/>
      <c r="ET172" s="38"/>
      <c r="EU172" s="38"/>
      <c r="EV172" s="38"/>
      <c r="EW172" s="38"/>
      <c r="EX172" s="38"/>
      <c r="EY172" s="38"/>
      <c r="EZ172" s="38"/>
      <c r="FA172" s="38"/>
      <c r="FB172" s="38"/>
      <c r="FC172" s="38"/>
      <c r="FD172" s="38"/>
      <c r="FE172" s="38"/>
      <c r="FF172" s="38"/>
      <c r="FG172" s="38"/>
      <c r="FH172" s="38"/>
      <c r="FI172" s="38"/>
      <c r="FJ172" s="38"/>
      <c r="FK172" s="38"/>
      <c r="FL172" s="38"/>
      <c r="FM172" s="38"/>
      <c r="FN172" s="38"/>
      <c r="FO172" s="38"/>
      <c r="FP172" s="38"/>
      <c r="FQ172" s="38"/>
      <c r="FR172" s="38"/>
      <c r="FS172" s="38"/>
      <c r="FT172" s="38"/>
      <c r="FU172" s="38"/>
      <c r="FV172" s="38"/>
      <c r="FW172" s="38"/>
      <c r="FX172" s="38"/>
      <c r="FY172" s="38"/>
      <c r="FZ172" s="38"/>
      <c r="GA172" s="38"/>
      <c r="GB172" s="38"/>
      <c r="GC172" s="38"/>
      <c r="GD172" s="38"/>
      <c r="GE172" s="38"/>
      <c r="GF172" s="38"/>
      <c r="GG172" s="38"/>
      <c r="GH172" s="38"/>
      <c r="GI172" s="38"/>
      <c r="GJ172" s="38"/>
      <c r="GK172" s="38"/>
      <c r="GL172" s="38"/>
      <c r="GM172" s="38"/>
      <c r="GN172" s="38"/>
      <c r="GO172" s="38"/>
      <c r="GP172" s="38"/>
      <c r="GQ172" s="38"/>
      <c r="GR172" s="38"/>
      <c r="GS172" s="38"/>
      <c r="GT172" s="38"/>
      <c r="GU172" s="38"/>
      <c r="GV172" s="38"/>
      <c r="GW172" s="38"/>
      <c r="GX172" s="38"/>
      <c r="GY172" s="38"/>
      <c r="GZ172" s="38"/>
      <c r="HA172" s="38"/>
      <c r="HB172" s="38"/>
      <c r="HC172" s="38"/>
      <c r="HD172" s="38"/>
      <c r="HE172" s="38"/>
      <c r="HF172" s="38"/>
      <c r="HG172" s="38"/>
      <c r="HH172" s="38"/>
      <c r="HI172" s="38"/>
      <c r="HJ172" s="38"/>
      <c r="HK172" s="38"/>
      <c r="HL172" s="38"/>
      <c r="HM172" s="38"/>
      <c r="HN172" s="38"/>
      <c r="HO172" s="38"/>
      <c r="HP172" s="38"/>
      <c r="HQ172" s="38"/>
      <c r="HR172" s="38"/>
      <c r="HS172" s="38"/>
      <c r="HT172" s="38"/>
      <c r="HU172" s="38"/>
      <c r="HV172" s="38"/>
      <c r="HW172" s="38"/>
      <c r="HX172" s="38"/>
      <c r="HY172" s="38"/>
      <c r="HZ172" s="38"/>
      <c r="IA172" s="38"/>
      <c r="IB172" s="38"/>
      <c r="IC172" s="38"/>
      <c r="ID172" s="38"/>
      <c r="IE172" s="38"/>
      <c r="IF172" s="38"/>
      <c r="IG172" s="38"/>
      <c r="IH172" s="38"/>
      <c r="II172" s="38"/>
      <c r="IJ172" s="38"/>
      <c r="IK172" s="38"/>
      <c r="IL172" s="38"/>
      <c r="IM172" s="38"/>
      <c r="IN172" s="38"/>
      <c r="IO172" s="38"/>
      <c r="IP172" s="38"/>
      <c r="IQ172" s="38"/>
      <c r="IR172" s="38"/>
      <c r="IS172" s="38"/>
      <c r="IT172" s="38"/>
      <c r="IU172" s="38"/>
      <c r="IV172" s="38"/>
      <c r="IW172" s="38"/>
      <c r="IX172" s="38"/>
      <c r="IY172" s="38"/>
      <c r="IZ172" s="38"/>
      <c r="JA172" s="38"/>
      <c r="JB172" s="38"/>
      <c r="JC172" s="38"/>
      <c r="JD172" s="38"/>
      <c r="JE172" s="38"/>
      <c r="JF172" s="38"/>
      <c r="JG172" s="38"/>
      <c r="JH172" s="38"/>
      <c r="JI172" s="38"/>
      <c r="JJ172" s="38"/>
      <c r="JK172" s="38"/>
      <c r="JL172" s="38"/>
      <c r="JM172" s="38"/>
      <c r="JN172" s="38"/>
      <c r="JO172" s="38"/>
      <c r="JP172" s="38"/>
      <c r="JQ172" s="38"/>
      <c r="JR172" s="38"/>
      <c r="JS172" s="38"/>
      <c r="JT172" s="38"/>
      <c r="JU172" s="38"/>
      <c r="JV172" s="38"/>
      <c r="JW172" s="38"/>
      <c r="JX172" s="38"/>
      <c r="JY172" s="38"/>
      <c r="JZ172" s="38"/>
      <c r="KA172" s="38"/>
      <c r="KB172" s="38"/>
      <c r="KC172" s="38"/>
      <c r="KD172" s="38"/>
      <c r="KE172" s="38"/>
      <c r="KF172" s="38"/>
      <c r="KG172" s="38"/>
      <c r="KH172" s="38"/>
      <c r="KI172" s="38"/>
      <c r="KJ172" s="38"/>
      <c r="KK172" s="38"/>
      <c r="KL172" s="38"/>
      <c r="KM172" s="38"/>
      <c r="KN172" s="38"/>
      <c r="KO172" s="38"/>
      <c r="KP172" s="38"/>
      <c r="KQ172" s="38"/>
      <c r="KR172" s="38"/>
      <c r="KS172" s="38"/>
      <c r="KT172" s="38"/>
      <c r="KU172" s="38"/>
      <c r="KV172" s="38"/>
      <c r="KW172" s="38"/>
      <c r="KX172" s="38"/>
      <c r="KY172" s="38"/>
      <c r="KZ172" s="38"/>
      <c r="LA172" s="38"/>
      <c r="LB172" s="38"/>
      <c r="LC172" s="38"/>
      <c r="LD172" s="38"/>
      <c r="LE172" s="38"/>
      <c r="LF172" s="38"/>
      <c r="LG172" s="38"/>
      <c r="LH172" s="38"/>
      <c r="LI172" s="38"/>
      <c r="LJ172" s="38"/>
      <c r="LK172" s="38"/>
      <c r="LL172" s="38"/>
      <c r="LM172" s="38"/>
      <c r="LN172" s="38"/>
      <c r="LO172" s="38"/>
      <c r="LP172" s="38"/>
      <c r="LQ172" s="38"/>
      <c r="LR172" s="38"/>
      <c r="LS172" s="38"/>
      <c r="LT172" s="38"/>
      <c r="LU172" s="38"/>
      <c r="LV172" s="38"/>
      <c r="LW172" s="38"/>
      <c r="LX172" s="38"/>
      <c r="LY172" s="38"/>
      <c r="LZ172" s="38"/>
      <c r="MA172" s="38"/>
      <c r="MB172" s="38"/>
      <c r="MC172" s="38"/>
      <c r="MD172" s="38"/>
      <c r="ME172" s="38"/>
      <c r="MF172" s="38"/>
      <c r="MG172" s="38"/>
      <c r="MH172" s="38"/>
      <c r="MI172" s="38"/>
      <c r="MJ172" s="38"/>
      <c r="MK172" s="38"/>
      <c r="ML172" s="38"/>
      <c r="MM172" s="38"/>
      <c r="MN172" s="38"/>
      <c r="MO172" s="38"/>
      <c r="MP172" s="38"/>
      <c r="MQ172" s="38"/>
      <c r="MR172" s="38"/>
      <c r="MS172" s="38"/>
      <c r="MT172" s="38"/>
      <c r="MU172" s="38"/>
      <c r="MV172" s="38"/>
      <c r="MW172" s="38"/>
      <c r="MX172" s="38"/>
      <c r="MY172" s="38"/>
      <c r="MZ172" s="38"/>
      <c r="NA172" s="38"/>
      <c r="NB172" s="38"/>
      <c r="NC172" s="38"/>
      <c r="ND172" s="38"/>
      <c r="NE172" s="38"/>
      <c r="NF172" s="38"/>
      <c r="NG172" s="38"/>
      <c r="NH172" s="38"/>
      <c r="NI172" s="38"/>
      <c r="NJ172" s="38"/>
      <c r="NK172" s="38"/>
      <c r="NL172" s="38"/>
      <c r="NM172" s="38"/>
      <c r="NN172" s="38"/>
      <c r="NO172" s="38"/>
      <c r="NP172" s="38"/>
      <c r="NQ172" s="38"/>
      <c r="NR172" s="38"/>
      <c r="NS172" s="38"/>
      <c r="NT172" s="38"/>
      <c r="NU172" s="38"/>
      <c r="NV172" s="38"/>
      <c r="NW172" s="38"/>
      <c r="NX172" s="38"/>
      <c r="NY172" s="38"/>
      <c r="NZ172" s="38"/>
      <c r="OA172" s="38"/>
      <c r="OB172" s="38"/>
      <c r="OC172" s="38"/>
      <c r="OD172" s="38"/>
      <c r="OE172" s="38"/>
      <c r="OF172" s="38"/>
      <c r="OG172" s="38"/>
      <c r="OH172" s="38"/>
      <c r="OI172" s="38"/>
      <c r="OJ172" s="38"/>
      <c r="OK172" s="38"/>
      <c r="OL172" s="38"/>
      <c r="OM172" s="38"/>
      <c r="ON172" s="38"/>
      <c r="OO172" s="38"/>
      <c r="OP172" s="38"/>
      <c r="OQ172" s="38"/>
      <c r="OR172" s="38"/>
      <c r="OS172" s="38"/>
      <c r="OT172" s="38"/>
      <c r="OU172" s="38"/>
      <c r="OV172" s="38"/>
      <c r="OW172" s="38"/>
      <c r="OX172" s="38"/>
      <c r="OY172" s="38"/>
      <c r="OZ172" s="38"/>
      <c r="PA172" s="38"/>
      <c r="PB172" s="38"/>
      <c r="PC172" s="38"/>
      <c r="PD172" s="38"/>
      <c r="PE172" s="38"/>
      <c r="PF172" s="38"/>
      <c r="PG172" s="38"/>
      <c r="PH172" s="38"/>
      <c r="PI172" s="38"/>
      <c r="PJ172" s="38"/>
      <c r="PK172" s="38"/>
      <c r="PL172" s="38"/>
      <c r="PM172" s="38"/>
      <c r="PN172" s="38"/>
      <c r="PO172" s="38"/>
      <c r="PP172" s="38"/>
      <c r="PQ172" s="38"/>
      <c r="PR172" s="38"/>
      <c r="PS172" s="38"/>
      <c r="PT172" s="38"/>
      <c r="PU172" s="38"/>
      <c r="PV172" s="38"/>
      <c r="PW172" s="38"/>
      <c r="PX172" s="38"/>
      <c r="PY172" s="38"/>
      <c r="PZ172" s="38"/>
      <c r="QA172" s="38"/>
      <c r="QB172" s="38"/>
      <c r="QC172" s="38"/>
      <c r="QD172" s="38"/>
      <c r="QE172" s="38"/>
      <c r="QF172" s="38"/>
      <c r="QG172" s="38"/>
      <c r="QH172" s="38"/>
      <c r="QI172" s="38"/>
      <c r="QJ172" s="38"/>
      <c r="QK172" s="38"/>
      <c r="QL172" s="38"/>
      <c r="QM172" s="38"/>
      <c r="QN172" s="38"/>
      <c r="QO172" s="38"/>
      <c r="QP172" s="38"/>
      <c r="QQ172" s="38"/>
      <c r="QR172" s="38"/>
      <c r="QS172" s="38"/>
      <c r="QT172" s="38"/>
      <c r="QU172" s="38"/>
      <c r="QV172" s="38"/>
      <c r="QW172" s="38"/>
      <c r="QX172" s="38"/>
      <c r="QY172" s="38"/>
      <c r="QZ172" s="38"/>
      <c r="RA172" s="38"/>
      <c r="RB172" s="38"/>
      <c r="RC172" s="38"/>
      <c r="RD172" s="38"/>
      <c r="RE172" s="38"/>
      <c r="RF172" s="38"/>
      <c r="RG172" s="38"/>
      <c r="RH172" s="38"/>
      <c r="RI172" s="38"/>
      <c r="RJ172" s="38"/>
      <c r="RK172" s="38"/>
      <c r="RL172" s="38"/>
      <c r="RM172" s="38"/>
      <c r="RN172" s="38"/>
      <c r="RO172" s="38"/>
      <c r="RP172" s="38"/>
      <c r="RQ172" s="38"/>
      <c r="RR172" s="38"/>
      <c r="RS172" s="38"/>
      <c r="RT172" s="38"/>
      <c r="RU172" s="38"/>
      <c r="RV172" s="38"/>
      <c r="RW172" s="38"/>
      <c r="RX172" s="38"/>
      <c r="RY172" s="38"/>
      <c r="RZ172" s="38"/>
      <c r="SA172" s="38"/>
      <c r="SB172" s="38"/>
      <c r="SC172" s="38"/>
      <c r="SD172" s="38"/>
      <c r="SE172" s="38"/>
      <c r="SF172" s="38"/>
      <c r="SG172" s="38"/>
      <c r="SH172" s="38"/>
      <c r="SI172" s="38"/>
      <c r="SJ172" s="38"/>
      <c r="SK172" s="38"/>
      <c r="SL172" s="38"/>
      <c r="SM172" s="38"/>
      <c r="SN172" s="38"/>
      <c r="SO172" s="38"/>
      <c r="SP172" s="38"/>
      <c r="SQ172" s="38"/>
      <c r="SR172" s="38"/>
      <c r="SS172" s="38"/>
      <c r="ST172" s="38"/>
      <c r="SU172" s="38"/>
      <c r="SV172" s="38"/>
      <c r="SW172" s="38"/>
      <c r="SX172" s="38"/>
      <c r="SY172" s="38"/>
      <c r="SZ172" s="38"/>
      <c r="TA172" s="38"/>
      <c r="TB172" s="38"/>
      <c r="TC172" s="38"/>
      <c r="TD172" s="38"/>
      <c r="TE172" s="38"/>
      <c r="TF172" s="38"/>
      <c r="TG172" s="38"/>
      <c r="TH172" s="38"/>
      <c r="TI172" s="38"/>
      <c r="TJ172" s="38"/>
      <c r="TK172" s="38"/>
      <c r="TL172" s="38"/>
      <c r="TM172" s="38"/>
    </row>
    <row r="173" spans="2:533" s="39" customFormat="1" ht="18.75" x14ac:dyDescent="0.25">
      <c r="B173" s="50">
        <v>125000</v>
      </c>
      <c r="C173" s="41" t="s">
        <v>337</v>
      </c>
      <c r="D173" s="108" t="s">
        <v>338</v>
      </c>
      <c r="E173" s="107" t="s">
        <v>103</v>
      </c>
      <c r="F173" s="109">
        <v>5</v>
      </c>
      <c r="G173" s="58"/>
      <c r="H173" s="71"/>
      <c r="I173" s="104">
        <f t="shared" si="27"/>
        <v>0</v>
      </c>
      <c r="J173" s="98" t="s">
        <v>167</v>
      </c>
      <c r="K173" s="104" t="s">
        <v>168</v>
      </c>
      <c r="L173" s="105"/>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c r="BK173" s="38"/>
      <c r="BL173" s="38"/>
      <c r="BM173" s="38"/>
      <c r="BN173" s="38"/>
      <c r="BO173" s="38"/>
      <c r="BP173" s="38"/>
      <c r="BQ173" s="38"/>
      <c r="BR173" s="38"/>
      <c r="BS173" s="38"/>
      <c r="BT173" s="38"/>
      <c r="BU173" s="38"/>
      <c r="BV173" s="38"/>
      <c r="BW173" s="38"/>
      <c r="BX173" s="38"/>
      <c r="BY173" s="38"/>
      <c r="BZ173" s="38"/>
      <c r="CA173" s="38"/>
      <c r="CB173" s="38"/>
      <c r="CC173" s="38"/>
      <c r="CD173" s="38"/>
      <c r="CE173" s="38"/>
      <c r="CF173" s="38"/>
      <c r="CG173" s="38"/>
      <c r="CH173" s="38"/>
      <c r="CI173" s="38"/>
      <c r="CJ173" s="38"/>
      <c r="CK173" s="38"/>
      <c r="CL173" s="38"/>
      <c r="CM173" s="38"/>
      <c r="CN173" s="38"/>
      <c r="CO173" s="38"/>
      <c r="CP173" s="38"/>
      <c r="CQ173" s="38"/>
      <c r="CR173" s="38"/>
      <c r="CS173" s="38"/>
      <c r="CT173" s="38"/>
      <c r="CU173" s="38"/>
      <c r="CV173" s="38"/>
      <c r="CW173" s="38"/>
      <c r="CX173" s="38"/>
      <c r="CY173" s="38"/>
      <c r="CZ173" s="38"/>
      <c r="DA173" s="38"/>
      <c r="DB173" s="38"/>
      <c r="DC173" s="38"/>
      <c r="DD173" s="38"/>
      <c r="DE173" s="38"/>
      <c r="DF173" s="38"/>
      <c r="DG173" s="38"/>
      <c r="DH173" s="38"/>
      <c r="DI173" s="38"/>
      <c r="DJ173" s="38"/>
      <c r="DK173" s="38"/>
      <c r="DL173" s="38"/>
      <c r="DM173" s="38"/>
      <c r="DN173" s="38"/>
      <c r="DO173" s="38"/>
      <c r="DP173" s="38"/>
      <c r="DQ173" s="38"/>
      <c r="DR173" s="38"/>
      <c r="DS173" s="38"/>
      <c r="DT173" s="38"/>
      <c r="DU173" s="38"/>
      <c r="DV173" s="38"/>
      <c r="DW173" s="38"/>
      <c r="DX173" s="38"/>
      <c r="DY173" s="38"/>
      <c r="DZ173" s="38"/>
      <c r="EA173" s="38"/>
      <c r="EB173" s="38"/>
      <c r="EC173" s="38"/>
      <c r="ED173" s="38"/>
      <c r="EE173" s="38"/>
      <c r="EF173" s="38"/>
      <c r="EG173" s="38"/>
      <c r="EH173" s="38"/>
      <c r="EI173" s="38"/>
      <c r="EJ173" s="38"/>
      <c r="EK173" s="38"/>
      <c r="EL173" s="38"/>
      <c r="EM173" s="38"/>
      <c r="EN173" s="38"/>
      <c r="EO173" s="38"/>
      <c r="EP173" s="38"/>
      <c r="EQ173" s="38"/>
      <c r="ER173" s="38"/>
      <c r="ES173" s="38"/>
      <c r="ET173" s="38"/>
      <c r="EU173" s="38"/>
      <c r="EV173" s="38"/>
      <c r="EW173" s="38"/>
      <c r="EX173" s="38"/>
      <c r="EY173" s="38"/>
      <c r="EZ173" s="38"/>
      <c r="FA173" s="38"/>
      <c r="FB173" s="38"/>
      <c r="FC173" s="38"/>
      <c r="FD173" s="38"/>
      <c r="FE173" s="38"/>
      <c r="FF173" s="38"/>
      <c r="FG173" s="38"/>
      <c r="FH173" s="38"/>
      <c r="FI173" s="38"/>
      <c r="FJ173" s="38"/>
      <c r="FK173" s="38"/>
      <c r="FL173" s="38"/>
      <c r="FM173" s="38"/>
      <c r="FN173" s="38"/>
      <c r="FO173" s="38"/>
      <c r="FP173" s="38"/>
      <c r="FQ173" s="38"/>
      <c r="FR173" s="38"/>
      <c r="FS173" s="38"/>
      <c r="FT173" s="38"/>
      <c r="FU173" s="38"/>
      <c r="FV173" s="38"/>
      <c r="FW173" s="38"/>
      <c r="FX173" s="38"/>
      <c r="FY173" s="38"/>
      <c r="FZ173" s="38"/>
      <c r="GA173" s="38"/>
      <c r="GB173" s="38"/>
      <c r="GC173" s="38"/>
      <c r="GD173" s="38"/>
      <c r="GE173" s="38"/>
      <c r="GF173" s="38"/>
      <c r="GG173" s="38"/>
      <c r="GH173" s="38"/>
      <c r="GI173" s="38"/>
      <c r="GJ173" s="38"/>
      <c r="GK173" s="38"/>
      <c r="GL173" s="38"/>
      <c r="GM173" s="38"/>
      <c r="GN173" s="38"/>
      <c r="GO173" s="38"/>
      <c r="GP173" s="38"/>
      <c r="GQ173" s="38"/>
      <c r="GR173" s="38"/>
      <c r="GS173" s="38"/>
      <c r="GT173" s="38"/>
      <c r="GU173" s="38"/>
      <c r="GV173" s="38"/>
      <c r="GW173" s="38"/>
      <c r="GX173" s="38"/>
      <c r="GY173" s="38"/>
      <c r="GZ173" s="38"/>
      <c r="HA173" s="38"/>
      <c r="HB173" s="38"/>
      <c r="HC173" s="38"/>
      <c r="HD173" s="38"/>
      <c r="HE173" s="38"/>
      <c r="HF173" s="38"/>
      <c r="HG173" s="38"/>
      <c r="HH173" s="38"/>
      <c r="HI173" s="38"/>
      <c r="HJ173" s="38"/>
      <c r="HK173" s="38"/>
      <c r="HL173" s="38"/>
      <c r="HM173" s="38"/>
      <c r="HN173" s="38"/>
      <c r="HO173" s="38"/>
      <c r="HP173" s="38"/>
      <c r="HQ173" s="38"/>
      <c r="HR173" s="38"/>
      <c r="HS173" s="38"/>
      <c r="HT173" s="38"/>
      <c r="HU173" s="38"/>
      <c r="HV173" s="38"/>
      <c r="HW173" s="38"/>
      <c r="HX173" s="38"/>
      <c r="HY173" s="38"/>
      <c r="HZ173" s="38"/>
      <c r="IA173" s="38"/>
      <c r="IB173" s="38"/>
      <c r="IC173" s="38"/>
      <c r="ID173" s="38"/>
      <c r="IE173" s="38"/>
      <c r="IF173" s="38"/>
      <c r="IG173" s="38"/>
      <c r="IH173" s="38"/>
      <c r="II173" s="38"/>
      <c r="IJ173" s="38"/>
      <c r="IK173" s="38"/>
      <c r="IL173" s="38"/>
      <c r="IM173" s="38"/>
      <c r="IN173" s="38"/>
      <c r="IO173" s="38"/>
      <c r="IP173" s="38"/>
      <c r="IQ173" s="38"/>
      <c r="IR173" s="38"/>
      <c r="IS173" s="38"/>
      <c r="IT173" s="38"/>
      <c r="IU173" s="38"/>
      <c r="IV173" s="38"/>
      <c r="IW173" s="38"/>
      <c r="IX173" s="38"/>
      <c r="IY173" s="38"/>
      <c r="IZ173" s="38"/>
      <c r="JA173" s="38"/>
      <c r="JB173" s="38"/>
      <c r="JC173" s="38"/>
      <c r="JD173" s="38"/>
      <c r="JE173" s="38"/>
      <c r="JF173" s="38"/>
      <c r="JG173" s="38"/>
      <c r="JH173" s="38"/>
      <c r="JI173" s="38"/>
      <c r="JJ173" s="38"/>
      <c r="JK173" s="38"/>
      <c r="JL173" s="38"/>
      <c r="JM173" s="38"/>
      <c r="JN173" s="38"/>
      <c r="JO173" s="38"/>
      <c r="JP173" s="38"/>
      <c r="JQ173" s="38"/>
      <c r="JR173" s="38"/>
      <c r="JS173" s="38"/>
      <c r="JT173" s="38"/>
      <c r="JU173" s="38"/>
      <c r="JV173" s="38"/>
      <c r="JW173" s="38"/>
      <c r="JX173" s="38"/>
      <c r="JY173" s="38"/>
      <c r="JZ173" s="38"/>
      <c r="KA173" s="38"/>
      <c r="KB173" s="38"/>
      <c r="KC173" s="38"/>
      <c r="KD173" s="38"/>
      <c r="KE173" s="38"/>
      <c r="KF173" s="38"/>
      <c r="KG173" s="38"/>
      <c r="KH173" s="38"/>
      <c r="KI173" s="38"/>
      <c r="KJ173" s="38"/>
      <c r="KK173" s="38"/>
      <c r="KL173" s="38"/>
      <c r="KM173" s="38"/>
      <c r="KN173" s="38"/>
      <c r="KO173" s="38"/>
      <c r="KP173" s="38"/>
      <c r="KQ173" s="38"/>
      <c r="KR173" s="38"/>
      <c r="KS173" s="38"/>
      <c r="KT173" s="38"/>
      <c r="KU173" s="38"/>
      <c r="KV173" s="38"/>
      <c r="KW173" s="38"/>
      <c r="KX173" s="38"/>
      <c r="KY173" s="38"/>
      <c r="KZ173" s="38"/>
      <c r="LA173" s="38"/>
      <c r="LB173" s="38"/>
      <c r="LC173" s="38"/>
      <c r="LD173" s="38"/>
      <c r="LE173" s="38"/>
      <c r="LF173" s="38"/>
      <c r="LG173" s="38"/>
      <c r="LH173" s="38"/>
      <c r="LI173" s="38"/>
      <c r="LJ173" s="38"/>
      <c r="LK173" s="38"/>
      <c r="LL173" s="38"/>
      <c r="LM173" s="38"/>
      <c r="LN173" s="38"/>
      <c r="LO173" s="38"/>
      <c r="LP173" s="38"/>
      <c r="LQ173" s="38"/>
      <c r="LR173" s="38"/>
      <c r="LS173" s="38"/>
      <c r="LT173" s="38"/>
      <c r="LU173" s="38"/>
      <c r="LV173" s="38"/>
      <c r="LW173" s="38"/>
      <c r="LX173" s="38"/>
      <c r="LY173" s="38"/>
      <c r="LZ173" s="38"/>
      <c r="MA173" s="38"/>
      <c r="MB173" s="38"/>
      <c r="MC173" s="38"/>
      <c r="MD173" s="38"/>
      <c r="ME173" s="38"/>
      <c r="MF173" s="38"/>
      <c r="MG173" s="38"/>
      <c r="MH173" s="38"/>
      <c r="MI173" s="38"/>
      <c r="MJ173" s="38"/>
      <c r="MK173" s="38"/>
      <c r="ML173" s="38"/>
      <c r="MM173" s="38"/>
      <c r="MN173" s="38"/>
      <c r="MO173" s="38"/>
      <c r="MP173" s="38"/>
      <c r="MQ173" s="38"/>
      <c r="MR173" s="38"/>
      <c r="MS173" s="38"/>
      <c r="MT173" s="38"/>
      <c r="MU173" s="38"/>
      <c r="MV173" s="38"/>
      <c r="MW173" s="38"/>
      <c r="MX173" s="38"/>
      <c r="MY173" s="38"/>
      <c r="MZ173" s="38"/>
      <c r="NA173" s="38"/>
      <c r="NB173" s="38"/>
      <c r="NC173" s="38"/>
      <c r="ND173" s="38"/>
      <c r="NE173" s="38"/>
      <c r="NF173" s="38"/>
      <c r="NG173" s="38"/>
      <c r="NH173" s="38"/>
      <c r="NI173" s="38"/>
      <c r="NJ173" s="38"/>
      <c r="NK173" s="38"/>
      <c r="NL173" s="38"/>
      <c r="NM173" s="38"/>
      <c r="NN173" s="38"/>
      <c r="NO173" s="38"/>
      <c r="NP173" s="38"/>
      <c r="NQ173" s="38"/>
      <c r="NR173" s="38"/>
      <c r="NS173" s="38"/>
      <c r="NT173" s="38"/>
      <c r="NU173" s="38"/>
      <c r="NV173" s="38"/>
      <c r="NW173" s="38"/>
      <c r="NX173" s="38"/>
      <c r="NY173" s="38"/>
      <c r="NZ173" s="38"/>
      <c r="OA173" s="38"/>
      <c r="OB173" s="38"/>
      <c r="OC173" s="38"/>
      <c r="OD173" s="38"/>
      <c r="OE173" s="38"/>
      <c r="OF173" s="38"/>
      <c r="OG173" s="38"/>
      <c r="OH173" s="38"/>
      <c r="OI173" s="38"/>
      <c r="OJ173" s="38"/>
      <c r="OK173" s="38"/>
      <c r="OL173" s="38"/>
      <c r="OM173" s="38"/>
      <c r="ON173" s="38"/>
      <c r="OO173" s="38"/>
      <c r="OP173" s="38"/>
      <c r="OQ173" s="38"/>
      <c r="OR173" s="38"/>
      <c r="OS173" s="38"/>
      <c r="OT173" s="38"/>
      <c r="OU173" s="38"/>
      <c r="OV173" s="38"/>
      <c r="OW173" s="38"/>
      <c r="OX173" s="38"/>
      <c r="OY173" s="38"/>
      <c r="OZ173" s="38"/>
      <c r="PA173" s="38"/>
      <c r="PB173" s="38"/>
      <c r="PC173" s="38"/>
      <c r="PD173" s="38"/>
      <c r="PE173" s="38"/>
      <c r="PF173" s="38"/>
      <c r="PG173" s="38"/>
      <c r="PH173" s="38"/>
      <c r="PI173" s="38"/>
      <c r="PJ173" s="38"/>
      <c r="PK173" s="38"/>
      <c r="PL173" s="38"/>
      <c r="PM173" s="38"/>
      <c r="PN173" s="38"/>
      <c r="PO173" s="38"/>
      <c r="PP173" s="38"/>
      <c r="PQ173" s="38"/>
      <c r="PR173" s="38"/>
      <c r="PS173" s="38"/>
      <c r="PT173" s="38"/>
      <c r="PU173" s="38"/>
      <c r="PV173" s="38"/>
      <c r="PW173" s="38"/>
      <c r="PX173" s="38"/>
      <c r="PY173" s="38"/>
      <c r="PZ173" s="38"/>
      <c r="QA173" s="38"/>
      <c r="QB173" s="38"/>
      <c r="QC173" s="38"/>
      <c r="QD173" s="38"/>
      <c r="QE173" s="38"/>
      <c r="QF173" s="38"/>
      <c r="QG173" s="38"/>
      <c r="QH173" s="38"/>
      <c r="QI173" s="38"/>
      <c r="QJ173" s="38"/>
      <c r="QK173" s="38"/>
      <c r="QL173" s="38"/>
      <c r="QM173" s="38"/>
      <c r="QN173" s="38"/>
      <c r="QO173" s="38"/>
      <c r="QP173" s="38"/>
      <c r="QQ173" s="38"/>
      <c r="QR173" s="38"/>
      <c r="QS173" s="38"/>
      <c r="QT173" s="38"/>
      <c r="QU173" s="38"/>
      <c r="QV173" s="38"/>
      <c r="QW173" s="38"/>
      <c r="QX173" s="38"/>
      <c r="QY173" s="38"/>
      <c r="QZ173" s="38"/>
      <c r="RA173" s="38"/>
      <c r="RB173" s="38"/>
      <c r="RC173" s="38"/>
      <c r="RD173" s="38"/>
      <c r="RE173" s="38"/>
      <c r="RF173" s="38"/>
      <c r="RG173" s="38"/>
      <c r="RH173" s="38"/>
      <c r="RI173" s="38"/>
      <c r="RJ173" s="38"/>
      <c r="RK173" s="38"/>
      <c r="RL173" s="38"/>
      <c r="RM173" s="38"/>
      <c r="RN173" s="38"/>
      <c r="RO173" s="38"/>
      <c r="RP173" s="38"/>
      <c r="RQ173" s="38"/>
      <c r="RR173" s="38"/>
      <c r="RS173" s="38"/>
      <c r="RT173" s="38"/>
      <c r="RU173" s="38"/>
      <c r="RV173" s="38"/>
      <c r="RW173" s="38"/>
      <c r="RX173" s="38"/>
      <c r="RY173" s="38"/>
      <c r="RZ173" s="38"/>
      <c r="SA173" s="38"/>
      <c r="SB173" s="38"/>
      <c r="SC173" s="38"/>
      <c r="SD173" s="38"/>
      <c r="SE173" s="38"/>
      <c r="SF173" s="38"/>
      <c r="SG173" s="38"/>
      <c r="SH173" s="38"/>
      <c r="SI173" s="38"/>
      <c r="SJ173" s="38"/>
      <c r="SK173" s="38"/>
      <c r="SL173" s="38"/>
      <c r="SM173" s="38"/>
      <c r="SN173" s="38"/>
      <c r="SO173" s="38"/>
      <c r="SP173" s="38"/>
      <c r="SQ173" s="38"/>
      <c r="SR173" s="38"/>
      <c r="SS173" s="38"/>
      <c r="ST173" s="38"/>
      <c r="SU173" s="38"/>
      <c r="SV173" s="38"/>
      <c r="SW173" s="38"/>
      <c r="SX173" s="38"/>
      <c r="SY173" s="38"/>
      <c r="SZ173" s="38"/>
      <c r="TA173" s="38"/>
      <c r="TB173" s="38"/>
      <c r="TC173" s="38"/>
      <c r="TD173" s="38"/>
      <c r="TE173" s="38"/>
      <c r="TF173" s="38"/>
      <c r="TG173" s="38"/>
      <c r="TH173" s="38"/>
      <c r="TI173" s="38"/>
      <c r="TJ173" s="38"/>
      <c r="TK173" s="38"/>
      <c r="TL173" s="38"/>
      <c r="TM173" s="38"/>
    </row>
    <row r="174" spans="2:533" s="39" customFormat="1" ht="18.75" x14ac:dyDescent="0.25">
      <c r="B174" s="50">
        <v>125000</v>
      </c>
      <c r="C174" s="41" t="s">
        <v>339</v>
      </c>
      <c r="D174" s="108" t="s">
        <v>340</v>
      </c>
      <c r="E174" s="107" t="s">
        <v>103</v>
      </c>
      <c r="F174" s="109">
        <v>12</v>
      </c>
      <c r="G174" s="58"/>
      <c r="H174" s="71"/>
      <c r="I174" s="104">
        <f t="shared" si="27"/>
        <v>0</v>
      </c>
      <c r="J174" s="98" t="s">
        <v>167</v>
      </c>
      <c r="K174" s="104" t="s">
        <v>168</v>
      </c>
      <c r="L174" s="105"/>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c r="BK174" s="38"/>
      <c r="BL174" s="38"/>
      <c r="BM174" s="38"/>
      <c r="BN174" s="38"/>
      <c r="BO174" s="38"/>
      <c r="BP174" s="38"/>
      <c r="BQ174" s="38"/>
      <c r="BR174" s="38"/>
      <c r="BS174" s="38"/>
      <c r="BT174" s="38"/>
      <c r="BU174" s="38"/>
      <c r="BV174" s="38"/>
      <c r="BW174" s="38"/>
      <c r="BX174" s="38"/>
      <c r="BY174" s="38"/>
      <c r="BZ174" s="38"/>
      <c r="CA174" s="38"/>
      <c r="CB174" s="38"/>
      <c r="CC174" s="38"/>
      <c r="CD174" s="38"/>
      <c r="CE174" s="38"/>
      <c r="CF174" s="38"/>
      <c r="CG174" s="38"/>
      <c r="CH174" s="38"/>
      <c r="CI174" s="38"/>
      <c r="CJ174" s="38"/>
      <c r="CK174" s="38"/>
      <c r="CL174" s="38"/>
      <c r="CM174" s="38"/>
      <c r="CN174" s="38"/>
      <c r="CO174" s="38"/>
      <c r="CP174" s="38"/>
      <c r="CQ174" s="38"/>
      <c r="CR174" s="38"/>
      <c r="CS174" s="38"/>
      <c r="CT174" s="38"/>
      <c r="CU174" s="38"/>
      <c r="CV174" s="38"/>
      <c r="CW174" s="38"/>
      <c r="CX174" s="38"/>
      <c r="CY174" s="38"/>
      <c r="CZ174" s="38"/>
      <c r="DA174" s="38"/>
      <c r="DB174" s="38"/>
      <c r="DC174" s="38"/>
      <c r="DD174" s="38"/>
      <c r="DE174" s="38"/>
      <c r="DF174" s="38"/>
      <c r="DG174" s="38"/>
      <c r="DH174" s="38"/>
      <c r="DI174" s="38"/>
      <c r="DJ174" s="38"/>
      <c r="DK174" s="38"/>
      <c r="DL174" s="38"/>
      <c r="DM174" s="38"/>
      <c r="DN174" s="38"/>
      <c r="DO174" s="38"/>
      <c r="DP174" s="38"/>
      <c r="DQ174" s="38"/>
      <c r="DR174" s="38"/>
      <c r="DS174" s="38"/>
      <c r="DT174" s="38"/>
      <c r="DU174" s="38"/>
      <c r="DV174" s="38"/>
      <c r="DW174" s="38"/>
      <c r="DX174" s="38"/>
      <c r="DY174" s="38"/>
      <c r="DZ174" s="38"/>
      <c r="EA174" s="38"/>
      <c r="EB174" s="38"/>
      <c r="EC174" s="38"/>
      <c r="ED174" s="38"/>
      <c r="EE174" s="38"/>
      <c r="EF174" s="38"/>
      <c r="EG174" s="38"/>
      <c r="EH174" s="38"/>
      <c r="EI174" s="38"/>
      <c r="EJ174" s="38"/>
      <c r="EK174" s="38"/>
      <c r="EL174" s="38"/>
      <c r="EM174" s="38"/>
      <c r="EN174" s="38"/>
      <c r="EO174" s="38"/>
      <c r="EP174" s="38"/>
      <c r="EQ174" s="38"/>
      <c r="ER174" s="38"/>
      <c r="ES174" s="38"/>
      <c r="ET174" s="38"/>
      <c r="EU174" s="38"/>
      <c r="EV174" s="38"/>
      <c r="EW174" s="38"/>
      <c r="EX174" s="38"/>
      <c r="EY174" s="38"/>
      <c r="EZ174" s="38"/>
      <c r="FA174" s="38"/>
      <c r="FB174" s="38"/>
      <c r="FC174" s="38"/>
      <c r="FD174" s="38"/>
      <c r="FE174" s="38"/>
      <c r="FF174" s="38"/>
      <c r="FG174" s="38"/>
      <c r="FH174" s="38"/>
      <c r="FI174" s="38"/>
      <c r="FJ174" s="38"/>
      <c r="FK174" s="38"/>
      <c r="FL174" s="38"/>
      <c r="FM174" s="38"/>
      <c r="FN174" s="38"/>
      <c r="FO174" s="38"/>
      <c r="FP174" s="38"/>
      <c r="FQ174" s="38"/>
      <c r="FR174" s="38"/>
      <c r="FS174" s="38"/>
      <c r="FT174" s="38"/>
      <c r="FU174" s="38"/>
      <c r="FV174" s="38"/>
      <c r="FW174" s="38"/>
      <c r="FX174" s="38"/>
      <c r="FY174" s="38"/>
      <c r="FZ174" s="38"/>
      <c r="GA174" s="38"/>
      <c r="GB174" s="38"/>
      <c r="GC174" s="38"/>
      <c r="GD174" s="38"/>
      <c r="GE174" s="38"/>
      <c r="GF174" s="38"/>
      <c r="GG174" s="38"/>
      <c r="GH174" s="38"/>
      <c r="GI174" s="38"/>
      <c r="GJ174" s="38"/>
      <c r="GK174" s="38"/>
      <c r="GL174" s="38"/>
      <c r="GM174" s="38"/>
      <c r="GN174" s="38"/>
      <c r="GO174" s="38"/>
      <c r="GP174" s="38"/>
      <c r="GQ174" s="38"/>
      <c r="GR174" s="38"/>
      <c r="GS174" s="38"/>
      <c r="GT174" s="38"/>
      <c r="GU174" s="38"/>
      <c r="GV174" s="38"/>
      <c r="GW174" s="38"/>
      <c r="GX174" s="38"/>
      <c r="GY174" s="38"/>
      <c r="GZ174" s="38"/>
      <c r="HA174" s="38"/>
      <c r="HB174" s="38"/>
      <c r="HC174" s="38"/>
      <c r="HD174" s="38"/>
      <c r="HE174" s="38"/>
      <c r="HF174" s="38"/>
      <c r="HG174" s="38"/>
      <c r="HH174" s="38"/>
      <c r="HI174" s="38"/>
      <c r="HJ174" s="38"/>
      <c r="HK174" s="38"/>
      <c r="HL174" s="38"/>
      <c r="HM174" s="38"/>
      <c r="HN174" s="38"/>
      <c r="HO174" s="38"/>
      <c r="HP174" s="38"/>
      <c r="HQ174" s="38"/>
      <c r="HR174" s="38"/>
      <c r="HS174" s="38"/>
      <c r="HT174" s="38"/>
      <c r="HU174" s="38"/>
      <c r="HV174" s="38"/>
      <c r="HW174" s="38"/>
      <c r="HX174" s="38"/>
      <c r="HY174" s="38"/>
      <c r="HZ174" s="38"/>
      <c r="IA174" s="38"/>
      <c r="IB174" s="38"/>
      <c r="IC174" s="38"/>
      <c r="ID174" s="38"/>
      <c r="IE174" s="38"/>
      <c r="IF174" s="38"/>
      <c r="IG174" s="38"/>
      <c r="IH174" s="38"/>
      <c r="II174" s="38"/>
      <c r="IJ174" s="38"/>
      <c r="IK174" s="38"/>
      <c r="IL174" s="38"/>
      <c r="IM174" s="38"/>
      <c r="IN174" s="38"/>
      <c r="IO174" s="38"/>
      <c r="IP174" s="38"/>
      <c r="IQ174" s="38"/>
      <c r="IR174" s="38"/>
      <c r="IS174" s="38"/>
      <c r="IT174" s="38"/>
      <c r="IU174" s="38"/>
      <c r="IV174" s="38"/>
      <c r="IW174" s="38"/>
      <c r="IX174" s="38"/>
      <c r="IY174" s="38"/>
      <c r="IZ174" s="38"/>
      <c r="JA174" s="38"/>
      <c r="JB174" s="38"/>
      <c r="JC174" s="38"/>
      <c r="JD174" s="38"/>
      <c r="JE174" s="38"/>
      <c r="JF174" s="38"/>
      <c r="JG174" s="38"/>
      <c r="JH174" s="38"/>
      <c r="JI174" s="38"/>
      <c r="JJ174" s="38"/>
      <c r="JK174" s="38"/>
      <c r="JL174" s="38"/>
      <c r="JM174" s="38"/>
      <c r="JN174" s="38"/>
      <c r="JO174" s="38"/>
      <c r="JP174" s="38"/>
      <c r="JQ174" s="38"/>
      <c r="JR174" s="38"/>
      <c r="JS174" s="38"/>
      <c r="JT174" s="38"/>
      <c r="JU174" s="38"/>
      <c r="JV174" s="38"/>
      <c r="JW174" s="38"/>
      <c r="JX174" s="38"/>
      <c r="JY174" s="38"/>
      <c r="JZ174" s="38"/>
      <c r="KA174" s="38"/>
      <c r="KB174" s="38"/>
      <c r="KC174" s="38"/>
      <c r="KD174" s="38"/>
      <c r="KE174" s="38"/>
      <c r="KF174" s="38"/>
      <c r="KG174" s="38"/>
      <c r="KH174" s="38"/>
      <c r="KI174" s="38"/>
      <c r="KJ174" s="38"/>
      <c r="KK174" s="38"/>
      <c r="KL174" s="38"/>
      <c r="KM174" s="38"/>
      <c r="KN174" s="38"/>
      <c r="KO174" s="38"/>
      <c r="KP174" s="38"/>
      <c r="KQ174" s="38"/>
      <c r="KR174" s="38"/>
      <c r="KS174" s="38"/>
      <c r="KT174" s="38"/>
      <c r="KU174" s="38"/>
      <c r="KV174" s="38"/>
      <c r="KW174" s="38"/>
      <c r="KX174" s="38"/>
      <c r="KY174" s="38"/>
      <c r="KZ174" s="38"/>
      <c r="LA174" s="38"/>
      <c r="LB174" s="38"/>
      <c r="LC174" s="38"/>
      <c r="LD174" s="38"/>
      <c r="LE174" s="38"/>
      <c r="LF174" s="38"/>
      <c r="LG174" s="38"/>
      <c r="LH174" s="38"/>
      <c r="LI174" s="38"/>
      <c r="LJ174" s="38"/>
      <c r="LK174" s="38"/>
      <c r="LL174" s="38"/>
      <c r="LM174" s="38"/>
      <c r="LN174" s="38"/>
      <c r="LO174" s="38"/>
      <c r="LP174" s="38"/>
      <c r="LQ174" s="38"/>
      <c r="LR174" s="38"/>
      <c r="LS174" s="38"/>
      <c r="LT174" s="38"/>
      <c r="LU174" s="38"/>
      <c r="LV174" s="38"/>
      <c r="LW174" s="38"/>
      <c r="LX174" s="38"/>
      <c r="LY174" s="38"/>
      <c r="LZ174" s="38"/>
      <c r="MA174" s="38"/>
      <c r="MB174" s="38"/>
      <c r="MC174" s="38"/>
      <c r="MD174" s="38"/>
      <c r="ME174" s="38"/>
      <c r="MF174" s="38"/>
      <c r="MG174" s="38"/>
      <c r="MH174" s="38"/>
      <c r="MI174" s="38"/>
      <c r="MJ174" s="38"/>
      <c r="MK174" s="38"/>
      <c r="ML174" s="38"/>
      <c r="MM174" s="38"/>
      <c r="MN174" s="38"/>
      <c r="MO174" s="38"/>
      <c r="MP174" s="38"/>
      <c r="MQ174" s="38"/>
      <c r="MR174" s="38"/>
      <c r="MS174" s="38"/>
      <c r="MT174" s="38"/>
      <c r="MU174" s="38"/>
      <c r="MV174" s="38"/>
      <c r="MW174" s="38"/>
      <c r="MX174" s="38"/>
      <c r="MY174" s="38"/>
      <c r="MZ174" s="38"/>
      <c r="NA174" s="38"/>
      <c r="NB174" s="38"/>
      <c r="NC174" s="38"/>
      <c r="ND174" s="38"/>
      <c r="NE174" s="38"/>
      <c r="NF174" s="38"/>
      <c r="NG174" s="38"/>
      <c r="NH174" s="38"/>
      <c r="NI174" s="38"/>
      <c r="NJ174" s="38"/>
      <c r="NK174" s="38"/>
      <c r="NL174" s="38"/>
      <c r="NM174" s="38"/>
      <c r="NN174" s="38"/>
      <c r="NO174" s="38"/>
      <c r="NP174" s="38"/>
      <c r="NQ174" s="38"/>
      <c r="NR174" s="38"/>
      <c r="NS174" s="38"/>
      <c r="NT174" s="38"/>
      <c r="NU174" s="38"/>
      <c r="NV174" s="38"/>
      <c r="NW174" s="38"/>
      <c r="NX174" s="38"/>
      <c r="NY174" s="38"/>
      <c r="NZ174" s="38"/>
      <c r="OA174" s="38"/>
      <c r="OB174" s="38"/>
      <c r="OC174" s="38"/>
      <c r="OD174" s="38"/>
      <c r="OE174" s="38"/>
      <c r="OF174" s="38"/>
      <c r="OG174" s="38"/>
      <c r="OH174" s="38"/>
      <c r="OI174" s="38"/>
      <c r="OJ174" s="38"/>
      <c r="OK174" s="38"/>
      <c r="OL174" s="38"/>
      <c r="OM174" s="38"/>
      <c r="ON174" s="38"/>
      <c r="OO174" s="38"/>
      <c r="OP174" s="38"/>
      <c r="OQ174" s="38"/>
      <c r="OR174" s="38"/>
      <c r="OS174" s="38"/>
      <c r="OT174" s="38"/>
      <c r="OU174" s="38"/>
      <c r="OV174" s="38"/>
      <c r="OW174" s="38"/>
      <c r="OX174" s="38"/>
      <c r="OY174" s="38"/>
      <c r="OZ174" s="38"/>
      <c r="PA174" s="38"/>
      <c r="PB174" s="38"/>
      <c r="PC174" s="38"/>
      <c r="PD174" s="38"/>
      <c r="PE174" s="38"/>
      <c r="PF174" s="38"/>
      <c r="PG174" s="38"/>
      <c r="PH174" s="38"/>
      <c r="PI174" s="38"/>
      <c r="PJ174" s="38"/>
      <c r="PK174" s="38"/>
      <c r="PL174" s="38"/>
      <c r="PM174" s="38"/>
      <c r="PN174" s="38"/>
      <c r="PO174" s="38"/>
      <c r="PP174" s="38"/>
      <c r="PQ174" s="38"/>
      <c r="PR174" s="38"/>
      <c r="PS174" s="38"/>
      <c r="PT174" s="38"/>
      <c r="PU174" s="38"/>
      <c r="PV174" s="38"/>
      <c r="PW174" s="38"/>
      <c r="PX174" s="38"/>
      <c r="PY174" s="38"/>
      <c r="PZ174" s="38"/>
      <c r="QA174" s="38"/>
      <c r="QB174" s="38"/>
      <c r="QC174" s="38"/>
      <c r="QD174" s="38"/>
      <c r="QE174" s="38"/>
      <c r="QF174" s="38"/>
      <c r="QG174" s="38"/>
      <c r="QH174" s="38"/>
      <c r="QI174" s="38"/>
      <c r="QJ174" s="38"/>
      <c r="QK174" s="38"/>
      <c r="QL174" s="38"/>
      <c r="QM174" s="38"/>
      <c r="QN174" s="38"/>
      <c r="QO174" s="38"/>
      <c r="QP174" s="38"/>
      <c r="QQ174" s="38"/>
      <c r="QR174" s="38"/>
      <c r="QS174" s="38"/>
      <c r="QT174" s="38"/>
      <c r="QU174" s="38"/>
      <c r="QV174" s="38"/>
      <c r="QW174" s="38"/>
      <c r="QX174" s="38"/>
      <c r="QY174" s="38"/>
      <c r="QZ174" s="38"/>
      <c r="RA174" s="38"/>
      <c r="RB174" s="38"/>
      <c r="RC174" s="38"/>
      <c r="RD174" s="38"/>
      <c r="RE174" s="38"/>
      <c r="RF174" s="38"/>
      <c r="RG174" s="38"/>
      <c r="RH174" s="38"/>
      <c r="RI174" s="38"/>
      <c r="RJ174" s="38"/>
      <c r="RK174" s="38"/>
      <c r="RL174" s="38"/>
      <c r="RM174" s="38"/>
      <c r="RN174" s="38"/>
      <c r="RO174" s="38"/>
      <c r="RP174" s="38"/>
      <c r="RQ174" s="38"/>
      <c r="RR174" s="38"/>
      <c r="RS174" s="38"/>
      <c r="RT174" s="38"/>
      <c r="RU174" s="38"/>
      <c r="RV174" s="38"/>
      <c r="RW174" s="38"/>
      <c r="RX174" s="38"/>
      <c r="RY174" s="38"/>
      <c r="RZ174" s="38"/>
      <c r="SA174" s="38"/>
      <c r="SB174" s="38"/>
      <c r="SC174" s="38"/>
      <c r="SD174" s="38"/>
      <c r="SE174" s="38"/>
      <c r="SF174" s="38"/>
      <c r="SG174" s="38"/>
      <c r="SH174" s="38"/>
      <c r="SI174" s="38"/>
      <c r="SJ174" s="38"/>
      <c r="SK174" s="38"/>
      <c r="SL174" s="38"/>
      <c r="SM174" s="38"/>
      <c r="SN174" s="38"/>
      <c r="SO174" s="38"/>
      <c r="SP174" s="38"/>
      <c r="SQ174" s="38"/>
      <c r="SR174" s="38"/>
      <c r="SS174" s="38"/>
      <c r="ST174" s="38"/>
      <c r="SU174" s="38"/>
      <c r="SV174" s="38"/>
      <c r="SW174" s="38"/>
      <c r="SX174" s="38"/>
      <c r="SY174" s="38"/>
      <c r="SZ174" s="38"/>
      <c r="TA174" s="38"/>
      <c r="TB174" s="38"/>
      <c r="TC174" s="38"/>
      <c r="TD174" s="38"/>
      <c r="TE174" s="38"/>
      <c r="TF174" s="38"/>
      <c r="TG174" s="38"/>
      <c r="TH174" s="38"/>
      <c r="TI174" s="38"/>
      <c r="TJ174" s="38"/>
      <c r="TK174" s="38"/>
      <c r="TL174" s="38"/>
      <c r="TM174" s="38"/>
    </row>
    <row r="175" spans="2:533" s="39" customFormat="1" ht="131.25" x14ac:dyDescent="0.25">
      <c r="B175" s="50" t="s">
        <v>341</v>
      </c>
      <c r="C175" s="41"/>
      <c r="D175" s="57" t="s">
        <v>342</v>
      </c>
      <c r="E175" s="86"/>
      <c r="F175" s="53"/>
      <c r="G175" s="58"/>
      <c r="H175" s="71"/>
      <c r="I175" s="55"/>
      <c r="J175" s="72"/>
      <c r="K175" s="47"/>
      <c r="L175" s="73"/>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c r="BK175" s="38"/>
      <c r="BL175" s="38"/>
      <c r="BM175" s="38"/>
      <c r="BN175" s="38"/>
      <c r="BO175" s="38"/>
      <c r="BP175" s="38"/>
      <c r="BQ175" s="38"/>
      <c r="BR175" s="38"/>
      <c r="BS175" s="38"/>
      <c r="BT175" s="38"/>
      <c r="BU175" s="38"/>
      <c r="BV175" s="38"/>
      <c r="BW175" s="38"/>
      <c r="BX175" s="38"/>
      <c r="BY175" s="38"/>
      <c r="BZ175" s="38"/>
      <c r="CA175" s="38"/>
      <c r="CB175" s="38"/>
      <c r="CC175" s="38"/>
      <c r="CD175" s="38"/>
      <c r="CE175" s="38"/>
      <c r="CF175" s="38"/>
      <c r="CG175" s="38"/>
      <c r="CH175" s="38"/>
      <c r="CI175" s="38"/>
      <c r="CJ175" s="38"/>
      <c r="CK175" s="38"/>
      <c r="CL175" s="38"/>
      <c r="CM175" s="38"/>
      <c r="CN175" s="38"/>
      <c r="CO175" s="38"/>
      <c r="CP175" s="38"/>
      <c r="CQ175" s="38"/>
      <c r="CR175" s="38"/>
      <c r="CS175" s="38"/>
      <c r="CT175" s="38"/>
      <c r="CU175" s="38"/>
      <c r="CV175" s="38"/>
      <c r="CW175" s="38"/>
      <c r="CX175" s="38"/>
      <c r="CY175" s="38"/>
      <c r="CZ175" s="38"/>
      <c r="DA175" s="38"/>
      <c r="DB175" s="38"/>
      <c r="DC175" s="38"/>
      <c r="DD175" s="38"/>
      <c r="DE175" s="38"/>
      <c r="DF175" s="38"/>
      <c r="DG175" s="38"/>
      <c r="DH175" s="38"/>
      <c r="DI175" s="38"/>
      <c r="DJ175" s="38"/>
      <c r="DK175" s="38"/>
      <c r="DL175" s="38"/>
      <c r="DM175" s="38"/>
      <c r="DN175" s="38"/>
      <c r="DO175" s="38"/>
      <c r="DP175" s="38"/>
      <c r="DQ175" s="38"/>
      <c r="DR175" s="38"/>
      <c r="DS175" s="38"/>
      <c r="DT175" s="38"/>
      <c r="DU175" s="38"/>
      <c r="DV175" s="38"/>
      <c r="DW175" s="38"/>
      <c r="DX175" s="38"/>
      <c r="DY175" s="38"/>
      <c r="DZ175" s="38"/>
      <c r="EA175" s="38"/>
      <c r="EB175" s="38"/>
      <c r="EC175" s="38"/>
      <c r="ED175" s="38"/>
      <c r="EE175" s="38"/>
      <c r="EF175" s="38"/>
      <c r="EG175" s="38"/>
      <c r="EH175" s="38"/>
      <c r="EI175" s="38"/>
      <c r="EJ175" s="38"/>
      <c r="EK175" s="38"/>
      <c r="EL175" s="38"/>
      <c r="EM175" s="38"/>
      <c r="EN175" s="38"/>
      <c r="EO175" s="38"/>
      <c r="EP175" s="38"/>
      <c r="EQ175" s="38"/>
      <c r="ER175" s="38"/>
      <c r="ES175" s="38"/>
      <c r="ET175" s="38"/>
      <c r="EU175" s="38"/>
      <c r="EV175" s="38"/>
      <c r="EW175" s="38"/>
      <c r="EX175" s="38"/>
      <c r="EY175" s="38"/>
      <c r="EZ175" s="38"/>
      <c r="FA175" s="38"/>
      <c r="FB175" s="38"/>
      <c r="FC175" s="38"/>
      <c r="FD175" s="38"/>
      <c r="FE175" s="38"/>
      <c r="FF175" s="38"/>
      <c r="FG175" s="38"/>
      <c r="FH175" s="38"/>
      <c r="FI175" s="38"/>
      <c r="FJ175" s="38"/>
      <c r="FK175" s="38"/>
      <c r="FL175" s="38"/>
      <c r="FM175" s="38"/>
      <c r="FN175" s="38"/>
      <c r="FO175" s="38"/>
      <c r="FP175" s="38"/>
      <c r="FQ175" s="38"/>
      <c r="FR175" s="38"/>
      <c r="FS175" s="38"/>
      <c r="FT175" s="38"/>
      <c r="FU175" s="38"/>
      <c r="FV175" s="38"/>
      <c r="FW175" s="38"/>
      <c r="FX175" s="38"/>
      <c r="FY175" s="38"/>
      <c r="FZ175" s="38"/>
      <c r="GA175" s="38"/>
      <c r="GB175" s="38"/>
      <c r="GC175" s="38"/>
      <c r="GD175" s="38"/>
      <c r="GE175" s="38"/>
      <c r="GF175" s="38"/>
      <c r="GG175" s="38"/>
      <c r="GH175" s="38"/>
      <c r="GI175" s="38"/>
      <c r="GJ175" s="38"/>
      <c r="GK175" s="38"/>
      <c r="GL175" s="38"/>
      <c r="GM175" s="38"/>
      <c r="GN175" s="38"/>
      <c r="GO175" s="38"/>
      <c r="GP175" s="38"/>
      <c r="GQ175" s="38"/>
      <c r="GR175" s="38"/>
      <c r="GS175" s="38"/>
      <c r="GT175" s="38"/>
      <c r="GU175" s="38"/>
      <c r="GV175" s="38"/>
      <c r="GW175" s="38"/>
      <c r="GX175" s="38"/>
      <c r="GY175" s="38"/>
      <c r="GZ175" s="38"/>
      <c r="HA175" s="38"/>
      <c r="HB175" s="38"/>
      <c r="HC175" s="38"/>
      <c r="HD175" s="38"/>
      <c r="HE175" s="38"/>
      <c r="HF175" s="38"/>
      <c r="HG175" s="38"/>
      <c r="HH175" s="38"/>
      <c r="HI175" s="38"/>
      <c r="HJ175" s="38"/>
      <c r="HK175" s="38"/>
      <c r="HL175" s="38"/>
      <c r="HM175" s="38"/>
      <c r="HN175" s="38"/>
      <c r="HO175" s="38"/>
      <c r="HP175" s="38"/>
      <c r="HQ175" s="38"/>
      <c r="HR175" s="38"/>
      <c r="HS175" s="38"/>
      <c r="HT175" s="38"/>
      <c r="HU175" s="38"/>
      <c r="HV175" s="38"/>
      <c r="HW175" s="38"/>
      <c r="HX175" s="38"/>
      <c r="HY175" s="38"/>
      <c r="HZ175" s="38"/>
      <c r="IA175" s="38"/>
      <c r="IB175" s="38"/>
      <c r="IC175" s="38"/>
      <c r="ID175" s="38"/>
      <c r="IE175" s="38"/>
      <c r="IF175" s="38"/>
      <c r="IG175" s="38"/>
      <c r="IH175" s="38"/>
      <c r="II175" s="38"/>
      <c r="IJ175" s="38"/>
      <c r="IK175" s="38"/>
      <c r="IL175" s="38"/>
      <c r="IM175" s="38"/>
      <c r="IN175" s="38"/>
      <c r="IO175" s="38"/>
      <c r="IP175" s="38"/>
      <c r="IQ175" s="38"/>
      <c r="IR175" s="38"/>
      <c r="IS175" s="38"/>
      <c r="IT175" s="38"/>
      <c r="IU175" s="38"/>
      <c r="IV175" s="38"/>
      <c r="IW175" s="38"/>
      <c r="IX175" s="38"/>
      <c r="IY175" s="38"/>
      <c r="IZ175" s="38"/>
      <c r="JA175" s="38"/>
      <c r="JB175" s="38"/>
      <c r="JC175" s="38"/>
      <c r="JD175" s="38"/>
      <c r="JE175" s="38"/>
      <c r="JF175" s="38"/>
      <c r="JG175" s="38"/>
      <c r="JH175" s="38"/>
      <c r="JI175" s="38"/>
      <c r="JJ175" s="38"/>
      <c r="JK175" s="38"/>
      <c r="JL175" s="38"/>
      <c r="JM175" s="38"/>
      <c r="JN175" s="38"/>
      <c r="JO175" s="38"/>
      <c r="JP175" s="38"/>
      <c r="JQ175" s="38"/>
      <c r="JR175" s="38"/>
      <c r="JS175" s="38"/>
      <c r="JT175" s="38"/>
      <c r="JU175" s="38"/>
      <c r="JV175" s="38"/>
      <c r="JW175" s="38"/>
      <c r="JX175" s="38"/>
      <c r="JY175" s="38"/>
      <c r="JZ175" s="38"/>
      <c r="KA175" s="38"/>
      <c r="KB175" s="38"/>
      <c r="KC175" s="38"/>
      <c r="KD175" s="38"/>
      <c r="KE175" s="38"/>
      <c r="KF175" s="38"/>
      <c r="KG175" s="38"/>
      <c r="KH175" s="38"/>
      <c r="KI175" s="38"/>
      <c r="KJ175" s="38"/>
      <c r="KK175" s="38"/>
      <c r="KL175" s="38"/>
      <c r="KM175" s="38"/>
      <c r="KN175" s="38"/>
      <c r="KO175" s="38"/>
      <c r="KP175" s="38"/>
      <c r="KQ175" s="38"/>
      <c r="KR175" s="38"/>
      <c r="KS175" s="38"/>
      <c r="KT175" s="38"/>
      <c r="KU175" s="38"/>
      <c r="KV175" s="38"/>
      <c r="KW175" s="38"/>
      <c r="KX175" s="38"/>
      <c r="KY175" s="38"/>
      <c r="KZ175" s="38"/>
      <c r="LA175" s="38"/>
      <c r="LB175" s="38"/>
      <c r="LC175" s="38"/>
      <c r="LD175" s="38"/>
      <c r="LE175" s="38"/>
      <c r="LF175" s="38"/>
      <c r="LG175" s="38"/>
      <c r="LH175" s="38"/>
      <c r="LI175" s="38"/>
      <c r="LJ175" s="38"/>
      <c r="LK175" s="38"/>
      <c r="LL175" s="38"/>
      <c r="LM175" s="38"/>
      <c r="LN175" s="38"/>
      <c r="LO175" s="38"/>
      <c r="LP175" s="38"/>
      <c r="LQ175" s="38"/>
      <c r="LR175" s="38"/>
      <c r="LS175" s="38"/>
      <c r="LT175" s="38"/>
      <c r="LU175" s="38"/>
      <c r="LV175" s="38"/>
      <c r="LW175" s="38"/>
      <c r="LX175" s="38"/>
      <c r="LY175" s="38"/>
      <c r="LZ175" s="38"/>
      <c r="MA175" s="38"/>
      <c r="MB175" s="38"/>
      <c r="MC175" s="38"/>
      <c r="MD175" s="38"/>
      <c r="ME175" s="38"/>
      <c r="MF175" s="38"/>
      <c r="MG175" s="38"/>
      <c r="MH175" s="38"/>
      <c r="MI175" s="38"/>
      <c r="MJ175" s="38"/>
      <c r="MK175" s="38"/>
      <c r="ML175" s="38"/>
      <c r="MM175" s="38"/>
      <c r="MN175" s="38"/>
      <c r="MO175" s="38"/>
      <c r="MP175" s="38"/>
      <c r="MQ175" s="38"/>
      <c r="MR175" s="38"/>
      <c r="MS175" s="38"/>
      <c r="MT175" s="38"/>
      <c r="MU175" s="38"/>
      <c r="MV175" s="38"/>
      <c r="MW175" s="38"/>
      <c r="MX175" s="38"/>
      <c r="MY175" s="38"/>
      <c r="MZ175" s="38"/>
      <c r="NA175" s="38"/>
      <c r="NB175" s="38"/>
      <c r="NC175" s="38"/>
      <c r="ND175" s="38"/>
      <c r="NE175" s="38"/>
      <c r="NF175" s="38"/>
      <c r="NG175" s="38"/>
      <c r="NH175" s="38"/>
      <c r="NI175" s="38"/>
      <c r="NJ175" s="38"/>
      <c r="NK175" s="38"/>
      <c r="NL175" s="38"/>
      <c r="NM175" s="38"/>
      <c r="NN175" s="38"/>
      <c r="NO175" s="38"/>
      <c r="NP175" s="38"/>
      <c r="NQ175" s="38"/>
      <c r="NR175" s="38"/>
      <c r="NS175" s="38"/>
      <c r="NT175" s="38"/>
      <c r="NU175" s="38"/>
      <c r="NV175" s="38"/>
      <c r="NW175" s="38"/>
      <c r="NX175" s="38"/>
      <c r="NY175" s="38"/>
      <c r="NZ175" s="38"/>
      <c r="OA175" s="38"/>
      <c r="OB175" s="38"/>
      <c r="OC175" s="38"/>
      <c r="OD175" s="38"/>
      <c r="OE175" s="38"/>
      <c r="OF175" s="38"/>
      <c r="OG175" s="38"/>
      <c r="OH175" s="38"/>
      <c r="OI175" s="38"/>
      <c r="OJ175" s="38"/>
      <c r="OK175" s="38"/>
      <c r="OL175" s="38"/>
      <c r="OM175" s="38"/>
      <c r="ON175" s="38"/>
      <c r="OO175" s="38"/>
      <c r="OP175" s="38"/>
      <c r="OQ175" s="38"/>
      <c r="OR175" s="38"/>
      <c r="OS175" s="38"/>
      <c r="OT175" s="38"/>
      <c r="OU175" s="38"/>
      <c r="OV175" s="38"/>
      <c r="OW175" s="38"/>
      <c r="OX175" s="38"/>
      <c r="OY175" s="38"/>
      <c r="OZ175" s="38"/>
      <c r="PA175" s="38"/>
      <c r="PB175" s="38"/>
      <c r="PC175" s="38"/>
      <c r="PD175" s="38"/>
      <c r="PE175" s="38"/>
      <c r="PF175" s="38"/>
      <c r="PG175" s="38"/>
      <c r="PH175" s="38"/>
      <c r="PI175" s="38"/>
      <c r="PJ175" s="38"/>
      <c r="PK175" s="38"/>
      <c r="PL175" s="38"/>
      <c r="PM175" s="38"/>
      <c r="PN175" s="38"/>
      <c r="PO175" s="38"/>
      <c r="PP175" s="38"/>
      <c r="PQ175" s="38"/>
      <c r="PR175" s="38"/>
      <c r="PS175" s="38"/>
      <c r="PT175" s="38"/>
      <c r="PU175" s="38"/>
      <c r="PV175" s="38"/>
      <c r="PW175" s="38"/>
      <c r="PX175" s="38"/>
      <c r="PY175" s="38"/>
      <c r="PZ175" s="38"/>
      <c r="QA175" s="38"/>
      <c r="QB175" s="38"/>
      <c r="QC175" s="38"/>
      <c r="QD175" s="38"/>
      <c r="QE175" s="38"/>
      <c r="QF175" s="38"/>
      <c r="QG175" s="38"/>
      <c r="QH175" s="38"/>
      <c r="QI175" s="38"/>
      <c r="QJ175" s="38"/>
      <c r="QK175" s="38"/>
      <c r="QL175" s="38"/>
      <c r="QM175" s="38"/>
      <c r="QN175" s="38"/>
      <c r="QO175" s="38"/>
      <c r="QP175" s="38"/>
      <c r="QQ175" s="38"/>
      <c r="QR175" s="38"/>
      <c r="QS175" s="38"/>
      <c r="QT175" s="38"/>
      <c r="QU175" s="38"/>
      <c r="QV175" s="38"/>
      <c r="QW175" s="38"/>
      <c r="QX175" s="38"/>
      <c r="QY175" s="38"/>
      <c r="QZ175" s="38"/>
      <c r="RA175" s="38"/>
      <c r="RB175" s="38"/>
      <c r="RC175" s="38"/>
      <c r="RD175" s="38"/>
      <c r="RE175" s="38"/>
      <c r="RF175" s="38"/>
      <c r="RG175" s="38"/>
      <c r="RH175" s="38"/>
      <c r="RI175" s="38"/>
      <c r="RJ175" s="38"/>
      <c r="RK175" s="38"/>
      <c r="RL175" s="38"/>
      <c r="RM175" s="38"/>
      <c r="RN175" s="38"/>
      <c r="RO175" s="38"/>
      <c r="RP175" s="38"/>
      <c r="RQ175" s="38"/>
      <c r="RR175" s="38"/>
      <c r="RS175" s="38"/>
      <c r="RT175" s="38"/>
      <c r="RU175" s="38"/>
      <c r="RV175" s="38"/>
      <c r="RW175" s="38"/>
      <c r="RX175" s="38"/>
      <c r="RY175" s="38"/>
      <c r="RZ175" s="38"/>
      <c r="SA175" s="38"/>
      <c r="SB175" s="38"/>
      <c r="SC175" s="38"/>
      <c r="SD175" s="38"/>
      <c r="SE175" s="38"/>
      <c r="SF175" s="38"/>
      <c r="SG175" s="38"/>
      <c r="SH175" s="38"/>
      <c r="SI175" s="38"/>
      <c r="SJ175" s="38"/>
      <c r="SK175" s="38"/>
      <c r="SL175" s="38"/>
      <c r="SM175" s="38"/>
      <c r="SN175" s="38"/>
      <c r="SO175" s="38"/>
      <c r="SP175" s="38"/>
      <c r="SQ175" s="38"/>
      <c r="SR175" s="38"/>
      <c r="SS175" s="38"/>
      <c r="ST175" s="38"/>
      <c r="SU175" s="38"/>
      <c r="SV175" s="38"/>
      <c r="SW175" s="38"/>
      <c r="SX175" s="38"/>
      <c r="SY175" s="38"/>
      <c r="SZ175" s="38"/>
      <c r="TA175" s="38"/>
      <c r="TB175" s="38"/>
      <c r="TC175" s="38"/>
      <c r="TD175" s="38"/>
      <c r="TE175" s="38"/>
      <c r="TF175" s="38"/>
      <c r="TG175" s="38"/>
      <c r="TH175" s="38"/>
      <c r="TI175" s="38"/>
      <c r="TJ175" s="38"/>
      <c r="TK175" s="38"/>
      <c r="TL175" s="38"/>
      <c r="TM175" s="38"/>
    </row>
    <row r="176" spans="2:533" s="39" customFormat="1" ht="18.75" x14ac:dyDescent="0.25">
      <c r="B176" s="40" t="s">
        <v>341</v>
      </c>
      <c r="C176" s="41" t="s">
        <v>343</v>
      </c>
      <c r="D176" s="56" t="s">
        <v>344</v>
      </c>
      <c r="E176" s="43" t="s">
        <v>36</v>
      </c>
      <c r="F176" s="53">
        <v>357</v>
      </c>
      <c r="G176" s="58"/>
      <c r="H176" s="46"/>
      <c r="I176" s="47">
        <f t="shared" ref="I176:I180" si="28">F176*G176</f>
        <v>0</v>
      </c>
      <c r="J176" s="48" t="s">
        <v>167</v>
      </c>
      <c r="K176" s="47" t="s">
        <v>168</v>
      </c>
      <c r="L176" s="49"/>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c r="BS176" s="38"/>
      <c r="BT176" s="38"/>
      <c r="BU176" s="38"/>
      <c r="BV176" s="38"/>
      <c r="BW176" s="38"/>
      <c r="BX176" s="38"/>
      <c r="BY176" s="38"/>
      <c r="BZ176" s="38"/>
      <c r="CA176" s="38"/>
      <c r="CB176" s="38"/>
      <c r="CC176" s="38"/>
      <c r="CD176" s="38"/>
      <c r="CE176" s="38"/>
      <c r="CF176" s="38"/>
      <c r="CG176" s="38"/>
      <c r="CH176" s="38"/>
      <c r="CI176" s="38"/>
      <c r="CJ176" s="38"/>
      <c r="CK176" s="38"/>
      <c r="CL176" s="38"/>
      <c r="CM176" s="38"/>
      <c r="CN176" s="38"/>
      <c r="CO176" s="38"/>
      <c r="CP176" s="38"/>
      <c r="CQ176" s="38"/>
      <c r="CR176" s="38"/>
      <c r="CS176" s="38"/>
      <c r="CT176" s="38"/>
      <c r="CU176" s="38"/>
      <c r="CV176" s="38"/>
      <c r="CW176" s="38"/>
      <c r="CX176" s="38"/>
      <c r="CY176" s="38"/>
      <c r="CZ176" s="38"/>
      <c r="DA176" s="38"/>
      <c r="DB176" s="38"/>
      <c r="DC176" s="38"/>
      <c r="DD176" s="38"/>
      <c r="DE176" s="38"/>
      <c r="DF176" s="38"/>
      <c r="DG176" s="38"/>
      <c r="DH176" s="38"/>
      <c r="DI176" s="38"/>
      <c r="DJ176" s="38"/>
      <c r="DK176" s="38"/>
      <c r="DL176" s="38"/>
      <c r="DM176" s="38"/>
      <c r="DN176" s="38"/>
      <c r="DO176" s="38"/>
      <c r="DP176" s="38"/>
      <c r="DQ176" s="38"/>
      <c r="DR176" s="38"/>
      <c r="DS176" s="38"/>
      <c r="DT176" s="38"/>
      <c r="DU176" s="38"/>
      <c r="DV176" s="38"/>
      <c r="DW176" s="38"/>
      <c r="DX176" s="38"/>
      <c r="DY176" s="38"/>
      <c r="DZ176" s="38"/>
      <c r="EA176" s="38"/>
      <c r="EB176" s="38"/>
      <c r="EC176" s="38"/>
      <c r="ED176" s="38"/>
      <c r="EE176" s="38"/>
      <c r="EF176" s="38"/>
      <c r="EG176" s="38"/>
      <c r="EH176" s="38"/>
      <c r="EI176" s="38"/>
      <c r="EJ176" s="38"/>
      <c r="EK176" s="38"/>
      <c r="EL176" s="38"/>
      <c r="EM176" s="38"/>
      <c r="EN176" s="38"/>
      <c r="EO176" s="38"/>
      <c r="EP176" s="38"/>
      <c r="EQ176" s="38"/>
      <c r="ER176" s="38"/>
      <c r="ES176" s="38"/>
      <c r="ET176" s="38"/>
      <c r="EU176" s="38"/>
      <c r="EV176" s="38"/>
      <c r="EW176" s="38"/>
      <c r="EX176" s="38"/>
      <c r="EY176" s="38"/>
      <c r="EZ176" s="38"/>
      <c r="FA176" s="38"/>
      <c r="FB176" s="38"/>
      <c r="FC176" s="38"/>
      <c r="FD176" s="38"/>
      <c r="FE176" s="38"/>
      <c r="FF176" s="38"/>
      <c r="FG176" s="38"/>
      <c r="FH176" s="38"/>
      <c r="FI176" s="38"/>
      <c r="FJ176" s="38"/>
      <c r="FK176" s="38"/>
      <c r="FL176" s="38"/>
      <c r="FM176" s="38"/>
      <c r="FN176" s="38"/>
      <c r="FO176" s="38"/>
      <c r="FP176" s="38"/>
      <c r="FQ176" s="38"/>
      <c r="FR176" s="38"/>
      <c r="FS176" s="38"/>
      <c r="FT176" s="38"/>
      <c r="FU176" s="38"/>
      <c r="FV176" s="38"/>
      <c r="FW176" s="38"/>
      <c r="FX176" s="38"/>
      <c r="FY176" s="38"/>
      <c r="FZ176" s="38"/>
      <c r="GA176" s="38"/>
      <c r="GB176" s="38"/>
      <c r="GC176" s="38"/>
      <c r="GD176" s="38"/>
      <c r="GE176" s="38"/>
      <c r="GF176" s="38"/>
      <c r="GG176" s="38"/>
      <c r="GH176" s="38"/>
      <c r="GI176" s="38"/>
      <c r="GJ176" s="38"/>
      <c r="GK176" s="38"/>
      <c r="GL176" s="38"/>
      <c r="GM176" s="38"/>
      <c r="GN176" s="38"/>
      <c r="GO176" s="38"/>
      <c r="GP176" s="38"/>
      <c r="GQ176" s="38"/>
      <c r="GR176" s="38"/>
      <c r="GS176" s="38"/>
      <c r="GT176" s="38"/>
      <c r="GU176" s="38"/>
      <c r="GV176" s="38"/>
      <c r="GW176" s="38"/>
      <c r="GX176" s="38"/>
      <c r="GY176" s="38"/>
      <c r="GZ176" s="38"/>
      <c r="HA176" s="38"/>
      <c r="HB176" s="38"/>
      <c r="HC176" s="38"/>
      <c r="HD176" s="38"/>
      <c r="HE176" s="38"/>
      <c r="HF176" s="38"/>
      <c r="HG176" s="38"/>
      <c r="HH176" s="38"/>
      <c r="HI176" s="38"/>
      <c r="HJ176" s="38"/>
      <c r="HK176" s="38"/>
      <c r="HL176" s="38"/>
      <c r="HM176" s="38"/>
      <c r="HN176" s="38"/>
      <c r="HO176" s="38"/>
      <c r="HP176" s="38"/>
      <c r="HQ176" s="38"/>
      <c r="HR176" s="38"/>
      <c r="HS176" s="38"/>
      <c r="HT176" s="38"/>
      <c r="HU176" s="38"/>
      <c r="HV176" s="38"/>
      <c r="HW176" s="38"/>
      <c r="HX176" s="38"/>
      <c r="HY176" s="38"/>
      <c r="HZ176" s="38"/>
      <c r="IA176" s="38"/>
      <c r="IB176" s="38"/>
      <c r="IC176" s="38"/>
      <c r="ID176" s="38"/>
      <c r="IE176" s="38"/>
      <c r="IF176" s="38"/>
      <c r="IG176" s="38"/>
      <c r="IH176" s="38"/>
      <c r="II176" s="38"/>
      <c r="IJ176" s="38"/>
      <c r="IK176" s="38"/>
      <c r="IL176" s="38"/>
      <c r="IM176" s="38"/>
      <c r="IN176" s="38"/>
      <c r="IO176" s="38"/>
      <c r="IP176" s="38"/>
      <c r="IQ176" s="38"/>
      <c r="IR176" s="38"/>
      <c r="IS176" s="38"/>
      <c r="IT176" s="38"/>
      <c r="IU176" s="38"/>
      <c r="IV176" s="38"/>
      <c r="IW176" s="38"/>
      <c r="IX176" s="38"/>
      <c r="IY176" s="38"/>
      <c r="IZ176" s="38"/>
      <c r="JA176" s="38"/>
      <c r="JB176" s="38"/>
      <c r="JC176" s="38"/>
      <c r="JD176" s="38"/>
      <c r="JE176" s="38"/>
      <c r="JF176" s="38"/>
      <c r="JG176" s="38"/>
      <c r="JH176" s="38"/>
      <c r="JI176" s="38"/>
      <c r="JJ176" s="38"/>
      <c r="JK176" s="38"/>
      <c r="JL176" s="38"/>
      <c r="JM176" s="38"/>
      <c r="JN176" s="38"/>
      <c r="JO176" s="38"/>
      <c r="JP176" s="38"/>
      <c r="JQ176" s="38"/>
      <c r="JR176" s="38"/>
      <c r="JS176" s="38"/>
      <c r="JT176" s="38"/>
      <c r="JU176" s="38"/>
      <c r="JV176" s="38"/>
      <c r="JW176" s="38"/>
      <c r="JX176" s="38"/>
      <c r="JY176" s="38"/>
      <c r="JZ176" s="38"/>
      <c r="KA176" s="38"/>
      <c r="KB176" s="38"/>
      <c r="KC176" s="38"/>
      <c r="KD176" s="38"/>
      <c r="KE176" s="38"/>
      <c r="KF176" s="38"/>
      <c r="KG176" s="38"/>
      <c r="KH176" s="38"/>
      <c r="KI176" s="38"/>
      <c r="KJ176" s="38"/>
      <c r="KK176" s="38"/>
      <c r="KL176" s="38"/>
      <c r="KM176" s="38"/>
      <c r="KN176" s="38"/>
      <c r="KO176" s="38"/>
      <c r="KP176" s="38"/>
      <c r="KQ176" s="38"/>
      <c r="KR176" s="38"/>
      <c r="KS176" s="38"/>
      <c r="KT176" s="38"/>
      <c r="KU176" s="38"/>
      <c r="KV176" s="38"/>
      <c r="KW176" s="38"/>
      <c r="KX176" s="38"/>
      <c r="KY176" s="38"/>
      <c r="KZ176" s="38"/>
      <c r="LA176" s="38"/>
      <c r="LB176" s="38"/>
      <c r="LC176" s="38"/>
      <c r="LD176" s="38"/>
      <c r="LE176" s="38"/>
      <c r="LF176" s="38"/>
      <c r="LG176" s="38"/>
      <c r="LH176" s="38"/>
      <c r="LI176" s="38"/>
      <c r="LJ176" s="38"/>
      <c r="LK176" s="38"/>
      <c r="LL176" s="38"/>
      <c r="LM176" s="38"/>
      <c r="LN176" s="38"/>
      <c r="LO176" s="38"/>
      <c r="LP176" s="38"/>
      <c r="LQ176" s="38"/>
      <c r="LR176" s="38"/>
      <c r="LS176" s="38"/>
      <c r="LT176" s="38"/>
      <c r="LU176" s="38"/>
      <c r="LV176" s="38"/>
      <c r="LW176" s="38"/>
      <c r="LX176" s="38"/>
      <c r="LY176" s="38"/>
      <c r="LZ176" s="38"/>
      <c r="MA176" s="38"/>
      <c r="MB176" s="38"/>
      <c r="MC176" s="38"/>
      <c r="MD176" s="38"/>
      <c r="ME176" s="38"/>
      <c r="MF176" s="38"/>
      <c r="MG176" s="38"/>
      <c r="MH176" s="38"/>
      <c r="MI176" s="38"/>
      <c r="MJ176" s="38"/>
      <c r="MK176" s="38"/>
      <c r="ML176" s="38"/>
      <c r="MM176" s="38"/>
      <c r="MN176" s="38"/>
      <c r="MO176" s="38"/>
      <c r="MP176" s="38"/>
      <c r="MQ176" s="38"/>
      <c r="MR176" s="38"/>
      <c r="MS176" s="38"/>
      <c r="MT176" s="38"/>
      <c r="MU176" s="38"/>
      <c r="MV176" s="38"/>
      <c r="MW176" s="38"/>
      <c r="MX176" s="38"/>
      <c r="MY176" s="38"/>
      <c r="MZ176" s="38"/>
      <c r="NA176" s="38"/>
      <c r="NB176" s="38"/>
      <c r="NC176" s="38"/>
      <c r="ND176" s="38"/>
      <c r="NE176" s="38"/>
      <c r="NF176" s="38"/>
      <c r="NG176" s="38"/>
      <c r="NH176" s="38"/>
      <c r="NI176" s="38"/>
      <c r="NJ176" s="38"/>
      <c r="NK176" s="38"/>
      <c r="NL176" s="38"/>
      <c r="NM176" s="38"/>
      <c r="NN176" s="38"/>
      <c r="NO176" s="38"/>
      <c r="NP176" s="38"/>
      <c r="NQ176" s="38"/>
      <c r="NR176" s="38"/>
      <c r="NS176" s="38"/>
      <c r="NT176" s="38"/>
      <c r="NU176" s="38"/>
      <c r="NV176" s="38"/>
      <c r="NW176" s="38"/>
      <c r="NX176" s="38"/>
      <c r="NY176" s="38"/>
      <c r="NZ176" s="38"/>
      <c r="OA176" s="38"/>
      <c r="OB176" s="38"/>
      <c r="OC176" s="38"/>
      <c r="OD176" s="38"/>
      <c r="OE176" s="38"/>
      <c r="OF176" s="38"/>
      <c r="OG176" s="38"/>
      <c r="OH176" s="38"/>
      <c r="OI176" s="38"/>
      <c r="OJ176" s="38"/>
      <c r="OK176" s="38"/>
      <c r="OL176" s="38"/>
      <c r="OM176" s="38"/>
      <c r="ON176" s="38"/>
      <c r="OO176" s="38"/>
      <c r="OP176" s="38"/>
      <c r="OQ176" s="38"/>
      <c r="OR176" s="38"/>
      <c r="OS176" s="38"/>
      <c r="OT176" s="38"/>
      <c r="OU176" s="38"/>
      <c r="OV176" s="38"/>
      <c r="OW176" s="38"/>
      <c r="OX176" s="38"/>
      <c r="OY176" s="38"/>
      <c r="OZ176" s="38"/>
      <c r="PA176" s="38"/>
      <c r="PB176" s="38"/>
      <c r="PC176" s="38"/>
      <c r="PD176" s="38"/>
      <c r="PE176" s="38"/>
      <c r="PF176" s="38"/>
      <c r="PG176" s="38"/>
      <c r="PH176" s="38"/>
      <c r="PI176" s="38"/>
      <c r="PJ176" s="38"/>
      <c r="PK176" s="38"/>
      <c r="PL176" s="38"/>
      <c r="PM176" s="38"/>
      <c r="PN176" s="38"/>
      <c r="PO176" s="38"/>
      <c r="PP176" s="38"/>
      <c r="PQ176" s="38"/>
      <c r="PR176" s="38"/>
      <c r="PS176" s="38"/>
      <c r="PT176" s="38"/>
      <c r="PU176" s="38"/>
      <c r="PV176" s="38"/>
      <c r="PW176" s="38"/>
      <c r="PX176" s="38"/>
      <c r="PY176" s="38"/>
      <c r="PZ176" s="38"/>
      <c r="QA176" s="38"/>
      <c r="QB176" s="38"/>
      <c r="QC176" s="38"/>
      <c r="QD176" s="38"/>
      <c r="QE176" s="38"/>
      <c r="QF176" s="38"/>
      <c r="QG176" s="38"/>
      <c r="QH176" s="38"/>
      <c r="QI176" s="38"/>
      <c r="QJ176" s="38"/>
      <c r="QK176" s="38"/>
      <c r="QL176" s="38"/>
      <c r="QM176" s="38"/>
      <c r="QN176" s="38"/>
      <c r="QO176" s="38"/>
      <c r="QP176" s="38"/>
      <c r="QQ176" s="38"/>
      <c r="QR176" s="38"/>
      <c r="QS176" s="38"/>
      <c r="QT176" s="38"/>
      <c r="QU176" s="38"/>
      <c r="QV176" s="38"/>
      <c r="QW176" s="38"/>
      <c r="QX176" s="38"/>
      <c r="QY176" s="38"/>
      <c r="QZ176" s="38"/>
      <c r="RA176" s="38"/>
      <c r="RB176" s="38"/>
      <c r="RC176" s="38"/>
      <c r="RD176" s="38"/>
      <c r="RE176" s="38"/>
      <c r="RF176" s="38"/>
      <c r="RG176" s="38"/>
      <c r="RH176" s="38"/>
      <c r="RI176" s="38"/>
      <c r="RJ176" s="38"/>
      <c r="RK176" s="38"/>
      <c r="RL176" s="38"/>
      <c r="RM176" s="38"/>
      <c r="RN176" s="38"/>
      <c r="RO176" s="38"/>
      <c r="RP176" s="38"/>
      <c r="RQ176" s="38"/>
      <c r="RR176" s="38"/>
      <c r="RS176" s="38"/>
      <c r="RT176" s="38"/>
      <c r="RU176" s="38"/>
      <c r="RV176" s="38"/>
      <c r="RW176" s="38"/>
      <c r="RX176" s="38"/>
      <c r="RY176" s="38"/>
      <c r="RZ176" s="38"/>
      <c r="SA176" s="38"/>
      <c r="SB176" s="38"/>
      <c r="SC176" s="38"/>
      <c r="SD176" s="38"/>
      <c r="SE176" s="38"/>
      <c r="SF176" s="38"/>
      <c r="SG176" s="38"/>
      <c r="SH176" s="38"/>
      <c r="SI176" s="38"/>
      <c r="SJ176" s="38"/>
      <c r="SK176" s="38"/>
      <c r="SL176" s="38"/>
      <c r="SM176" s="38"/>
      <c r="SN176" s="38"/>
      <c r="SO176" s="38"/>
      <c r="SP176" s="38"/>
      <c r="SQ176" s="38"/>
      <c r="SR176" s="38"/>
      <c r="SS176" s="38"/>
      <c r="ST176" s="38"/>
      <c r="SU176" s="38"/>
      <c r="SV176" s="38"/>
      <c r="SW176" s="38"/>
      <c r="SX176" s="38"/>
      <c r="SY176" s="38"/>
      <c r="SZ176" s="38"/>
      <c r="TA176" s="38"/>
      <c r="TB176" s="38"/>
      <c r="TC176" s="38"/>
      <c r="TD176" s="38"/>
      <c r="TE176" s="38"/>
      <c r="TF176" s="38"/>
      <c r="TG176" s="38"/>
      <c r="TH176" s="38"/>
      <c r="TI176" s="38"/>
      <c r="TJ176" s="38"/>
      <c r="TK176" s="38"/>
      <c r="TL176" s="38"/>
      <c r="TM176" s="38"/>
    </row>
    <row r="177" spans="1:533" s="39" customFormat="1" ht="75" x14ac:dyDescent="0.25">
      <c r="B177" s="50" t="s">
        <v>341</v>
      </c>
      <c r="C177" s="41"/>
      <c r="D177" s="57" t="s">
        <v>345</v>
      </c>
      <c r="E177" s="86"/>
      <c r="F177" s="53"/>
      <c r="G177" s="58"/>
      <c r="H177" s="71"/>
      <c r="I177" s="55"/>
      <c r="J177" s="72"/>
      <c r="K177" s="47"/>
      <c r="L177" s="73"/>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c r="BK177" s="38"/>
      <c r="BL177" s="38"/>
      <c r="BM177" s="38"/>
      <c r="BN177" s="38"/>
      <c r="BO177" s="38"/>
      <c r="BP177" s="38"/>
      <c r="BQ177" s="38"/>
      <c r="BR177" s="38"/>
      <c r="BS177" s="38"/>
      <c r="BT177" s="38"/>
      <c r="BU177" s="38"/>
      <c r="BV177" s="38"/>
      <c r="BW177" s="38"/>
      <c r="BX177" s="38"/>
      <c r="BY177" s="38"/>
      <c r="BZ177" s="38"/>
      <c r="CA177" s="38"/>
      <c r="CB177" s="38"/>
      <c r="CC177" s="38"/>
      <c r="CD177" s="38"/>
      <c r="CE177" s="38"/>
      <c r="CF177" s="38"/>
      <c r="CG177" s="38"/>
      <c r="CH177" s="38"/>
      <c r="CI177" s="38"/>
      <c r="CJ177" s="38"/>
      <c r="CK177" s="38"/>
      <c r="CL177" s="38"/>
      <c r="CM177" s="38"/>
      <c r="CN177" s="38"/>
      <c r="CO177" s="38"/>
      <c r="CP177" s="38"/>
      <c r="CQ177" s="38"/>
      <c r="CR177" s="38"/>
      <c r="CS177" s="38"/>
      <c r="CT177" s="38"/>
      <c r="CU177" s="38"/>
      <c r="CV177" s="38"/>
      <c r="CW177" s="38"/>
      <c r="CX177" s="38"/>
      <c r="CY177" s="38"/>
      <c r="CZ177" s="38"/>
      <c r="DA177" s="38"/>
      <c r="DB177" s="38"/>
      <c r="DC177" s="38"/>
      <c r="DD177" s="38"/>
      <c r="DE177" s="38"/>
      <c r="DF177" s="38"/>
      <c r="DG177" s="38"/>
      <c r="DH177" s="38"/>
      <c r="DI177" s="38"/>
      <c r="DJ177" s="38"/>
      <c r="DK177" s="38"/>
      <c r="DL177" s="38"/>
      <c r="DM177" s="38"/>
      <c r="DN177" s="38"/>
      <c r="DO177" s="38"/>
      <c r="DP177" s="38"/>
      <c r="DQ177" s="38"/>
      <c r="DR177" s="38"/>
      <c r="DS177" s="38"/>
      <c r="DT177" s="38"/>
      <c r="DU177" s="38"/>
      <c r="DV177" s="38"/>
      <c r="DW177" s="38"/>
      <c r="DX177" s="38"/>
      <c r="DY177" s="38"/>
      <c r="DZ177" s="38"/>
      <c r="EA177" s="38"/>
      <c r="EB177" s="38"/>
      <c r="EC177" s="38"/>
      <c r="ED177" s="38"/>
      <c r="EE177" s="38"/>
      <c r="EF177" s="38"/>
      <c r="EG177" s="38"/>
      <c r="EH177" s="38"/>
      <c r="EI177" s="38"/>
      <c r="EJ177" s="38"/>
      <c r="EK177" s="38"/>
      <c r="EL177" s="38"/>
      <c r="EM177" s="38"/>
      <c r="EN177" s="38"/>
      <c r="EO177" s="38"/>
      <c r="EP177" s="38"/>
      <c r="EQ177" s="38"/>
      <c r="ER177" s="38"/>
      <c r="ES177" s="38"/>
      <c r="ET177" s="38"/>
      <c r="EU177" s="38"/>
      <c r="EV177" s="38"/>
      <c r="EW177" s="38"/>
      <c r="EX177" s="38"/>
      <c r="EY177" s="38"/>
      <c r="EZ177" s="38"/>
      <c r="FA177" s="38"/>
      <c r="FB177" s="38"/>
      <c r="FC177" s="38"/>
      <c r="FD177" s="38"/>
      <c r="FE177" s="38"/>
      <c r="FF177" s="38"/>
      <c r="FG177" s="38"/>
      <c r="FH177" s="38"/>
      <c r="FI177" s="38"/>
      <c r="FJ177" s="38"/>
      <c r="FK177" s="38"/>
      <c r="FL177" s="38"/>
      <c r="FM177" s="38"/>
      <c r="FN177" s="38"/>
      <c r="FO177" s="38"/>
      <c r="FP177" s="38"/>
      <c r="FQ177" s="38"/>
      <c r="FR177" s="38"/>
      <c r="FS177" s="38"/>
      <c r="FT177" s="38"/>
      <c r="FU177" s="38"/>
      <c r="FV177" s="38"/>
      <c r="FW177" s="38"/>
      <c r="FX177" s="38"/>
      <c r="FY177" s="38"/>
      <c r="FZ177" s="38"/>
      <c r="GA177" s="38"/>
      <c r="GB177" s="38"/>
      <c r="GC177" s="38"/>
      <c r="GD177" s="38"/>
      <c r="GE177" s="38"/>
      <c r="GF177" s="38"/>
      <c r="GG177" s="38"/>
      <c r="GH177" s="38"/>
      <c r="GI177" s="38"/>
      <c r="GJ177" s="38"/>
      <c r="GK177" s="38"/>
      <c r="GL177" s="38"/>
      <c r="GM177" s="38"/>
      <c r="GN177" s="38"/>
      <c r="GO177" s="38"/>
      <c r="GP177" s="38"/>
      <c r="GQ177" s="38"/>
      <c r="GR177" s="38"/>
      <c r="GS177" s="38"/>
      <c r="GT177" s="38"/>
      <c r="GU177" s="38"/>
      <c r="GV177" s="38"/>
      <c r="GW177" s="38"/>
      <c r="GX177" s="38"/>
      <c r="GY177" s="38"/>
      <c r="GZ177" s="38"/>
      <c r="HA177" s="38"/>
      <c r="HB177" s="38"/>
      <c r="HC177" s="38"/>
      <c r="HD177" s="38"/>
      <c r="HE177" s="38"/>
      <c r="HF177" s="38"/>
      <c r="HG177" s="38"/>
      <c r="HH177" s="38"/>
      <c r="HI177" s="38"/>
      <c r="HJ177" s="38"/>
      <c r="HK177" s="38"/>
      <c r="HL177" s="38"/>
      <c r="HM177" s="38"/>
      <c r="HN177" s="38"/>
      <c r="HO177" s="38"/>
      <c r="HP177" s="38"/>
      <c r="HQ177" s="38"/>
      <c r="HR177" s="38"/>
      <c r="HS177" s="38"/>
      <c r="HT177" s="38"/>
      <c r="HU177" s="38"/>
      <c r="HV177" s="38"/>
      <c r="HW177" s="38"/>
      <c r="HX177" s="38"/>
      <c r="HY177" s="38"/>
      <c r="HZ177" s="38"/>
      <c r="IA177" s="38"/>
      <c r="IB177" s="38"/>
      <c r="IC177" s="38"/>
      <c r="ID177" s="38"/>
      <c r="IE177" s="38"/>
      <c r="IF177" s="38"/>
      <c r="IG177" s="38"/>
      <c r="IH177" s="38"/>
      <c r="II177" s="38"/>
      <c r="IJ177" s="38"/>
      <c r="IK177" s="38"/>
      <c r="IL177" s="38"/>
      <c r="IM177" s="38"/>
      <c r="IN177" s="38"/>
      <c r="IO177" s="38"/>
      <c r="IP177" s="38"/>
      <c r="IQ177" s="38"/>
      <c r="IR177" s="38"/>
      <c r="IS177" s="38"/>
      <c r="IT177" s="38"/>
      <c r="IU177" s="38"/>
      <c r="IV177" s="38"/>
      <c r="IW177" s="38"/>
      <c r="IX177" s="38"/>
      <c r="IY177" s="38"/>
      <c r="IZ177" s="38"/>
      <c r="JA177" s="38"/>
      <c r="JB177" s="38"/>
      <c r="JC177" s="38"/>
      <c r="JD177" s="38"/>
      <c r="JE177" s="38"/>
      <c r="JF177" s="38"/>
      <c r="JG177" s="38"/>
      <c r="JH177" s="38"/>
      <c r="JI177" s="38"/>
      <c r="JJ177" s="38"/>
      <c r="JK177" s="38"/>
      <c r="JL177" s="38"/>
      <c r="JM177" s="38"/>
      <c r="JN177" s="38"/>
      <c r="JO177" s="38"/>
      <c r="JP177" s="38"/>
      <c r="JQ177" s="38"/>
      <c r="JR177" s="38"/>
      <c r="JS177" s="38"/>
      <c r="JT177" s="38"/>
      <c r="JU177" s="38"/>
      <c r="JV177" s="38"/>
      <c r="JW177" s="38"/>
      <c r="JX177" s="38"/>
      <c r="JY177" s="38"/>
      <c r="JZ177" s="38"/>
      <c r="KA177" s="38"/>
      <c r="KB177" s="38"/>
      <c r="KC177" s="38"/>
      <c r="KD177" s="38"/>
      <c r="KE177" s="38"/>
      <c r="KF177" s="38"/>
      <c r="KG177" s="38"/>
      <c r="KH177" s="38"/>
      <c r="KI177" s="38"/>
      <c r="KJ177" s="38"/>
      <c r="KK177" s="38"/>
      <c r="KL177" s="38"/>
      <c r="KM177" s="38"/>
      <c r="KN177" s="38"/>
      <c r="KO177" s="38"/>
      <c r="KP177" s="38"/>
      <c r="KQ177" s="38"/>
      <c r="KR177" s="38"/>
      <c r="KS177" s="38"/>
      <c r="KT177" s="38"/>
      <c r="KU177" s="38"/>
      <c r="KV177" s="38"/>
      <c r="KW177" s="38"/>
      <c r="KX177" s="38"/>
      <c r="KY177" s="38"/>
      <c r="KZ177" s="38"/>
      <c r="LA177" s="38"/>
      <c r="LB177" s="38"/>
      <c r="LC177" s="38"/>
      <c r="LD177" s="38"/>
      <c r="LE177" s="38"/>
      <c r="LF177" s="38"/>
      <c r="LG177" s="38"/>
      <c r="LH177" s="38"/>
      <c r="LI177" s="38"/>
      <c r="LJ177" s="38"/>
      <c r="LK177" s="38"/>
      <c r="LL177" s="38"/>
      <c r="LM177" s="38"/>
      <c r="LN177" s="38"/>
      <c r="LO177" s="38"/>
      <c r="LP177" s="38"/>
      <c r="LQ177" s="38"/>
      <c r="LR177" s="38"/>
      <c r="LS177" s="38"/>
      <c r="LT177" s="38"/>
      <c r="LU177" s="38"/>
      <c r="LV177" s="38"/>
      <c r="LW177" s="38"/>
      <c r="LX177" s="38"/>
      <c r="LY177" s="38"/>
      <c r="LZ177" s="38"/>
      <c r="MA177" s="38"/>
      <c r="MB177" s="38"/>
      <c r="MC177" s="38"/>
      <c r="MD177" s="38"/>
      <c r="ME177" s="38"/>
      <c r="MF177" s="38"/>
      <c r="MG177" s="38"/>
      <c r="MH177" s="38"/>
      <c r="MI177" s="38"/>
      <c r="MJ177" s="38"/>
      <c r="MK177" s="38"/>
      <c r="ML177" s="38"/>
      <c r="MM177" s="38"/>
      <c r="MN177" s="38"/>
      <c r="MO177" s="38"/>
      <c r="MP177" s="38"/>
      <c r="MQ177" s="38"/>
      <c r="MR177" s="38"/>
      <c r="MS177" s="38"/>
      <c r="MT177" s="38"/>
      <c r="MU177" s="38"/>
      <c r="MV177" s="38"/>
      <c r="MW177" s="38"/>
      <c r="MX177" s="38"/>
      <c r="MY177" s="38"/>
      <c r="MZ177" s="38"/>
      <c r="NA177" s="38"/>
      <c r="NB177" s="38"/>
      <c r="NC177" s="38"/>
      <c r="ND177" s="38"/>
      <c r="NE177" s="38"/>
      <c r="NF177" s="38"/>
      <c r="NG177" s="38"/>
      <c r="NH177" s="38"/>
      <c r="NI177" s="38"/>
      <c r="NJ177" s="38"/>
      <c r="NK177" s="38"/>
      <c r="NL177" s="38"/>
      <c r="NM177" s="38"/>
      <c r="NN177" s="38"/>
      <c r="NO177" s="38"/>
      <c r="NP177" s="38"/>
      <c r="NQ177" s="38"/>
      <c r="NR177" s="38"/>
      <c r="NS177" s="38"/>
      <c r="NT177" s="38"/>
      <c r="NU177" s="38"/>
      <c r="NV177" s="38"/>
      <c r="NW177" s="38"/>
      <c r="NX177" s="38"/>
      <c r="NY177" s="38"/>
      <c r="NZ177" s="38"/>
      <c r="OA177" s="38"/>
      <c r="OB177" s="38"/>
      <c r="OC177" s="38"/>
      <c r="OD177" s="38"/>
      <c r="OE177" s="38"/>
      <c r="OF177" s="38"/>
      <c r="OG177" s="38"/>
      <c r="OH177" s="38"/>
      <c r="OI177" s="38"/>
      <c r="OJ177" s="38"/>
      <c r="OK177" s="38"/>
      <c r="OL177" s="38"/>
      <c r="OM177" s="38"/>
      <c r="ON177" s="38"/>
      <c r="OO177" s="38"/>
      <c r="OP177" s="38"/>
      <c r="OQ177" s="38"/>
      <c r="OR177" s="38"/>
      <c r="OS177" s="38"/>
      <c r="OT177" s="38"/>
      <c r="OU177" s="38"/>
      <c r="OV177" s="38"/>
      <c r="OW177" s="38"/>
      <c r="OX177" s="38"/>
      <c r="OY177" s="38"/>
      <c r="OZ177" s="38"/>
      <c r="PA177" s="38"/>
      <c r="PB177" s="38"/>
      <c r="PC177" s="38"/>
      <c r="PD177" s="38"/>
      <c r="PE177" s="38"/>
      <c r="PF177" s="38"/>
      <c r="PG177" s="38"/>
      <c r="PH177" s="38"/>
      <c r="PI177" s="38"/>
      <c r="PJ177" s="38"/>
      <c r="PK177" s="38"/>
      <c r="PL177" s="38"/>
      <c r="PM177" s="38"/>
      <c r="PN177" s="38"/>
      <c r="PO177" s="38"/>
      <c r="PP177" s="38"/>
      <c r="PQ177" s="38"/>
      <c r="PR177" s="38"/>
      <c r="PS177" s="38"/>
      <c r="PT177" s="38"/>
      <c r="PU177" s="38"/>
      <c r="PV177" s="38"/>
      <c r="PW177" s="38"/>
      <c r="PX177" s="38"/>
      <c r="PY177" s="38"/>
      <c r="PZ177" s="38"/>
      <c r="QA177" s="38"/>
      <c r="QB177" s="38"/>
      <c r="QC177" s="38"/>
      <c r="QD177" s="38"/>
      <c r="QE177" s="38"/>
      <c r="QF177" s="38"/>
      <c r="QG177" s="38"/>
      <c r="QH177" s="38"/>
      <c r="QI177" s="38"/>
      <c r="QJ177" s="38"/>
      <c r="QK177" s="38"/>
      <c r="QL177" s="38"/>
      <c r="QM177" s="38"/>
      <c r="QN177" s="38"/>
      <c r="QO177" s="38"/>
      <c r="QP177" s="38"/>
      <c r="QQ177" s="38"/>
      <c r="QR177" s="38"/>
      <c r="QS177" s="38"/>
      <c r="QT177" s="38"/>
      <c r="QU177" s="38"/>
      <c r="QV177" s="38"/>
      <c r="QW177" s="38"/>
      <c r="QX177" s="38"/>
      <c r="QY177" s="38"/>
      <c r="QZ177" s="38"/>
      <c r="RA177" s="38"/>
      <c r="RB177" s="38"/>
      <c r="RC177" s="38"/>
      <c r="RD177" s="38"/>
      <c r="RE177" s="38"/>
      <c r="RF177" s="38"/>
      <c r="RG177" s="38"/>
      <c r="RH177" s="38"/>
      <c r="RI177" s="38"/>
      <c r="RJ177" s="38"/>
      <c r="RK177" s="38"/>
      <c r="RL177" s="38"/>
      <c r="RM177" s="38"/>
      <c r="RN177" s="38"/>
      <c r="RO177" s="38"/>
      <c r="RP177" s="38"/>
      <c r="RQ177" s="38"/>
      <c r="RR177" s="38"/>
      <c r="RS177" s="38"/>
      <c r="RT177" s="38"/>
      <c r="RU177" s="38"/>
      <c r="RV177" s="38"/>
      <c r="RW177" s="38"/>
      <c r="RX177" s="38"/>
      <c r="RY177" s="38"/>
      <c r="RZ177" s="38"/>
      <c r="SA177" s="38"/>
      <c r="SB177" s="38"/>
      <c r="SC177" s="38"/>
      <c r="SD177" s="38"/>
      <c r="SE177" s="38"/>
      <c r="SF177" s="38"/>
      <c r="SG177" s="38"/>
      <c r="SH177" s="38"/>
      <c r="SI177" s="38"/>
      <c r="SJ177" s="38"/>
      <c r="SK177" s="38"/>
      <c r="SL177" s="38"/>
      <c r="SM177" s="38"/>
      <c r="SN177" s="38"/>
      <c r="SO177" s="38"/>
      <c r="SP177" s="38"/>
      <c r="SQ177" s="38"/>
      <c r="SR177" s="38"/>
      <c r="SS177" s="38"/>
      <c r="ST177" s="38"/>
      <c r="SU177" s="38"/>
      <c r="SV177" s="38"/>
      <c r="SW177" s="38"/>
      <c r="SX177" s="38"/>
      <c r="SY177" s="38"/>
      <c r="SZ177" s="38"/>
      <c r="TA177" s="38"/>
      <c r="TB177" s="38"/>
      <c r="TC177" s="38"/>
      <c r="TD177" s="38"/>
      <c r="TE177" s="38"/>
      <c r="TF177" s="38"/>
      <c r="TG177" s="38"/>
      <c r="TH177" s="38"/>
      <c r="TI177" s="38"/>
      <c r="TJ177" s="38"/>
      <c r="TK177" s="38"/>
      <c r="TL177" s="38"/>
      <c r="TM177" s="38"/>
    </row>
    <row r="178" spans="1:533" s="39" customFormat="1" ht="18.75" x14ac:dyDescent="0.25">
      <c r="B178" s="40" t="s">
        <v>341</v>
      </c>
      <c r="C178" s="41" t="s">
        <v>346</v>
      </c>
      <c r="D178" s="56" t="s">
        <v>347</v>
      </c>
      <c r="E178" s="43" t="s">
        <v>36</v>
      </c>
      <c r="F178" s="53">
        <v>150</v>
      </c>
      <c r="G178" s="58"/>
      <c r="H178" s="46"/>
      <c r="I178" s="47">
        <f t="shared" si="28"/>
        <v>0</v>
      </c>
      <c r="J178" s="48" t="s">
        <v>167</v>
      </c>
      <c r="K178" s="47" t="s">
        <v>168</v>
      </c>
      <c r="L178" s="49"/>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c r="BS178" s="38"/>
      <c r="BT178" s="38"/>
      <c r="BU178" s="38"/>
      <c r="BV178" s="38"/>
      <c r="BW178" s="38"/>
      <c r="BX178" s="38"/>
      <c r="BY178" s="38"/>
      <c r="BZ178" s="38"/>
      <c r="CA178" s="38"/>
      <c r="CB178" s="38"/>
      <c r="CC178" s="38"/>
      <c r="CD178" s="38"/>
      <c r="CE178" s="38"/>
      <c r="CF178" s="38"/>
      <c r="CG178" s="38"/>
      <c r="CH178" s="38"/>
      <c r="CI178" s="38"/>
      <c r="CJ178" s="38"/>
      <c r="CK178" s="38"/>
      <c r="CL178" s="38"/>
      <c r="CM178" s="38"/>
      <c r="CN178" s="38"/>
      <c r="CO178" s="38"/>
      <c r="CP178" s="38"/>
      <c r="CQ178" s="38"/>
      <c r="CR178" s="38"/>
      <c r="CS178" s="38"/>
      <c r="CT178" s="38"/>
      <c r="CU178" s="38"/>
      <c r="CV178" s="38"/>
      <c r="CW178" s="38"/>
      <c r="CX178" s="38"/>
      <c r="CY178" s="38"/>
      <c r="CZ178" s="38"/>
      <c r="DA178" s="38"/>
      <c r="DB178" s="38"/>
      <c r="DC178" s="38"/>
      <c r="DD178" s="38"/>
      <c r="DE178" s="38"/>
      <c r="DF178" s="38"/>
      <c r="DG178" s="38"/>
      <c r="DH178" s="38"/>
      <c r="DI178" s="38"/>
      <c r="DJ178" s="38"/>
      <c r="DK178" s="38"/>
      <c r="DL178" s="38"/>
      <c r="DM178" s="38"/>
      <c r="DN178" s="38"/>
      <c r="DO178" s="38"/>
      <c r="DP178" s="38"/>
      <c r="DQ178" s="38"/>
      <c r="DR178" s="38"/>
      <c r="DS178" s="38"/>
      <c r="DT178" s="38"/>
      <c r="DU178" s="38"/>
      <c r="DV178" s="38"/>
      <c r="DW178" s="38"/>
      <c r="DX178" s="38"/>
      <c r="DY178" s="38"/>
      <c r="DZ178" s="38"/>
      <c r="EA178" s="38"/>
      <c r="EB178" s="38"/>
      <c r="EC178" s="38"/>
      <c r="ED178" s="38"/>
      <c r="EE178" s="38"/>
      <c r="EF178" s="38"/>
      <c r="EG178" s="38"/>
      <c r="EH178" s="38"/>
      <c r="EI178" s="38"/>
      <c r="EJ178" s="38"/>
      <c r="EK178" s="38"/>
      <c r="EL178" s="38"/>
      <c r="EM178" s="38"/>
      <c r="EN178" s="38"/>
      <c r="EO178" s="38"/>
      <c r="EP178" s="38"/>
      <c r="EQ178" s="38"/>
      <c r="ER178" s="38"/>
      <c r="ES178" s="38"/>
      <c r="ET178" s="38"/>
      <c r="EU178" s="38"/>
      <c r="EV178" s="38"/>
      <c r="EW178" s="38"/>
      <c r="EX178" s="38"/>
      <c r="EY178" s="38"/>
      <c r="EZ178" s="38"/>
      <c r="FA178" s="38"/>
      <c r="FB178" s="38"/>
      <c r="FC178" s="38"/>
      <c r="FD178" s="38"/>
      <c r="FE178" s="38"/>
      <c r="FF178" s="38"/>
      <c r="FG178" s="38"/>
      <c r="FH178" s="38"/>
      <c r="FI178" s="38"/>
      <c r="FJ178" s="38"/>
      <c r="FK178" s="38"/>
      <c r="FL178" s="38"/>
      <c r="FM178" s="38"/>
      <c r="FN178" s="38"/>
      <c r="FO178" s="38"/>
      <c r="FP178" s="38"/>
      <c r="FQ178" s="38"/>
      <c r="FR178" s="38"/>
      <c r="FS178" s="38"/>
      <c r="FT178" s="38"/>
      <c r="FU178" s="38"/>
      <c r="FV178" s="38"/>
      <c r="FW178" s="38"/>
      <c r="FX178" s="38"/>
      <c r="FY178" s="38"/>
      <c r="FZ178" s="38"/>
      <c r="GA178" s="38"/>
      <c r="GB178" s="38"/>
      <c r="GC178" s="38"/>
      <c r="GD178" s="38"/>
      <c r="GE178" s="38"/>
      <c r="GF178" s="38"/>
      <c r="GG178" s="38"/>
      <c r="GH178" s="38"/>
      <c r="GI178" s="38"/>
      <c r="GJ178" s="38"/>
      <c r="GK178" s="38"/>
      <c r="GL178" s="38"/>
      <c r="GM178" s="38"/>
      <c r="GN178" s="38"/>
      <c r="GO178" s="38"/>
      <c r="GP178" s="38"/>
      <c r="GQ178" s="38"/>
      <c r="GR178" s="38"/>
      <c r="GS178" s="38"/>
      <c r="GT178" s="38"/>
      <c r="GU178" s="38"/>
      <c r="GV178" s="38"/>
      <c r="GW178" s="38"/>
      <c r="GX178" s="38"/>
      <c r="GY178" s="38"/>
      <c r="GZ178" s="38"/>
      <c r="HA178" s="38"/>
      <c r="HB178" s="38"/>
      <c r="HC178" s="38"/>
      <c r="HD178" s="38"/>
      <c r="HE178" s="38"/>
      <c r="HF178" s="38"/>
      <c r="HG178" s="38"/>
      <c r="HH178" s="38"/>
      <c r="HI178" s="38"/>
      <c r="HJ178" s="38"/>
      <c r="HK178" s="38"/>
      <c r="HL178" s="38"/>
      <c r="HM178" s="38"/>
      <c r="HN178" s="38"/>
      <c r="HO178" s="38"/>
      <c r="HP178" s="38"/>
      <c r="HQ178" s="38"/>
      <c r="HR178" s="38"/>
      <c r="HS178" s="38"/>
      <c r="HT178" s="38"/>
      <c r="HU178" s="38"/>
      <c r="HV178" s="38"/>
      <c r="HW178" s="38"/>
      <c r="HX178" s="38"/>
      <c r="HY178" s="38"/>
      <c r="HZ178" s="38"/>
      <c r="IA178" s="38"/>
      <c r="IB178" s="38"/>
      <c r="IC178" s="38"/>
      <c r="ID178" s="38"/>
      <c r="IE178" s="38"/>
      <c r="IF178" s="38"/>
      <c r="IG178" s="38"/>
      <c r="IH178" s="38"/>
      <c r="II178" s="38"/>
      <c r="IJ178" s="38"/>
      <c r="IK178" s="38"/>
      <c r="IL178" s="38"/>
      <c r="IM178" s="38"/>
      <c r="IN178" s="38"/>
      <c r="IO178" s="38"/>
      <c r="IP178" s="38"/>
      <c r="IQ178" s="38"/>
      <c r="IR178" s="38"/>
      <c r="IS178" s="38"/>
      <c r="IT178" s="38"/>
      <c r="IU178" s="38"/>
      <c r="IV178" s="38"/>
      <c r="IW178" s="38"/>
      <c r="IX178" s="38"/>
      <c r="IY178" s="38"/>
      <c r="IZ178" s="38"/>
      <c r="JA178" s="38"/>
      <c r="JB178" s="38"/>
      <c r="JC178" s="38"/>
      <c r="JD178" s="38"/>
      <c r="JE178" s="38"/>
      <c r="JF178" s="38"/>
      <c r="JG178" s="38"/>
      <c r="JH178" s="38"/>
      <c r="JI178" s="38"/>
      <c r="JJ178" s="38"/>
      <c r="JK178" s="38"/>
      <c r="JL178" s="38"/>
      <c r="JM178" s="38"/>
      <c r="JN178" s="38"/>
      <c r="JO178" s="38"/>
      <c r="JP178" s="38"/>
      <c r="JQ178" s="38"/>
      <c r="JR178" s="38"/>
      <c r="JS178" s="38"/>
      <c r="JT178" s="38"/>
      <c r="JU178" s="38"/>
      <c r="JV178" s="38"/>
      <c r="JW178" s="38"/>
      <c r="JX178" s="38"/>
      <c r="JY178" s="38"/>
      <c r="JZ178" s="38"/>
      <c r="KA178" s="38"/>
      <c r="KB178" s="38"/>
      <c r="KC178" s="38"/>
      <c r="KD178" s="38"/>
      <c r="KE178" s="38"/>
      <c r="KF178" s="38"/>
      <c r="KG178" s="38"/>
      <c r="KH178" s="38"/>
      <c r="KI178" s="38"/>
      <c r="KJ178" s="38"/>
      <c r="KK178" s="38"/>
      <c r="KL178" s="38"/>
      <c r="KM178" s="38"/>
      <c r="KN178" s="38"/>
      <c r="KO178" s="38"/>
      <c r="KP178" s="38"/>
      <c r="KQ178" s="38"/>
      <c r="KR178" s="38"/>
      <c r="KS178" s="38"/>
      <c r="KT178" s="38"/>
      <c r="KU178" s="38"/>
      <c r="KV178" s="38"/>
      <c r="KW178" s="38"/>
      <c r="KX178" s="38"/>
      <c r="KY178" s="38"/>
      <c r="KZ178" s="38"/>
      <c r="LA178" s="38"/>
      <c r="LB178" s="38"/>
      <c r="LC178" s="38"/>
      <c r="LD178" s="38"/>
      <c r="LE178" s="38"/>
      <c r="LF178" s="38"/>
      <c r="LG178" s="38"/>
      <c r="LH178" s="38"/>
      <c r="LI178" s="38"/>
      <c r="LJ178" s="38"/>
      <c r="LK178" s="38"/>
      <c r="LL178" s="38"/>
      <c r="LM178" s="38"/>
      <c r="LN178" s="38"/>
      <c r="LO178" s="38"/>
      <c r="LP178" s="38"/>
      <c r="LQ178" s="38"/>
      <c r="LR178" s="38"/>
      <c r="LS178" s="38"/>
      <c r="LT178" s="38"/>
      <c r="LU178" s="38"/>
      <c r="LV178" s="38"/>
      <c r="LW178" s="38"/>
      <c r="LX178" s="38"/>
      <c r="LY178" s="38"/>
      <c r="LZ178" s="38"/>
      <c r="MA178" s="38"/>
      <c r="MB178" s="38"/>
      <c r="MC178" s="38"/>
      <c r="MD178" s="38"/>
      <c r="ME178" s="38"/>
      <c r="MF178" s="38"/>
      <c r="MG178" s="38"/>
      <c r="MH178" s="38"/>
      <c r="MI178" s="38"/>
      <c r="MJ178" s="38"/>
      <c r="MK178" s="38"/>
      <c r="ML178" s="38"/>
      <c r="MM178" s="38"/>
      <c r="MN178" s="38"/>
      <c r="MO178" s="38"/>
      <c r="MP178" s="38"/>
      <c r="MQ178" s="38"/>
      <c r="MR178" s="38"/>
      <c r="MS178" s="38"/>
      <c r="MT178" s="38"/>
      <c r="MU178" s="38"/>
      <c r="MV178" s="38"/>
      <c r="MW178" s="38"/>
      <c r="MX178" s="38"/>
      <c r="MY178" s="38"/>
      <c r="MZ178" s="38"/>
      <c r="NA178" s="38"/>
      <c r="NB178" s="38"/>
      <c r="NC178" s="38"/>
      <c r="ND178" s="38"/>
      <c r="NE178" s="38"/>
      <c r="NF178" s="38"/>
      <c r="NG178" s="38"/>
      <c r="NH178" s="38"/>
      <c r="NI178" s="38"/>
      <c r="NJ178" s="38"/>
      <c r="NK178" s="38"/>
      <c r="NL178" s="38"/>
      <c r="NM178" s="38"/>
      <c r="NN178" s="38"/>
      <c r="NO178" s="38"/>
      <c r="NP178" s="38"/>
      <c r="NQ178" s="38"/>
      <c r="NR178" s="38"/>
      <c r="NS178" s="38"/>
      <c r="NT178" s="38"/>
      <c r="NU178" s="38"/>
      <c r="NV178" s="38"/>
      <c r="NW178" s="38"/>
      <c r="NX178" s="38"/>
      <c r="NY178" s="38"/>
      <c r="NZ178" s="38"/>
      <c r="OA178" s="38"/>
      <c r="OB178" s="38"/>
      <c r="OC178" s="38"/>
      <c r="OD178" s="38"/>
      <c r="OE178" s="38"/>
      <c r="OF178" s="38"/>
      <c r="OG178" s="38"/>
      <c r="OH178" s="38"/>
      <c r="OI178" s="38"/>
      <c r="OJ178" s="38"/>
      <c r="OK178" s="38"/>
      <c r="OL178" s="38"/>
      <c r="OM178" s="38"/>
      <c r="ON178" s="38"/>
      <c r="OO178" s="38"/>
      <c r="OP178" s="38"/>
      <c r="OQ178" s="38"/>
      <c r="OR178" s="38"/>
      <c r="OS178" s="38"/>
      <c r="OT178" s="38"/>
      <c r="OU178" s="38"/>
      <c r="OV178" s="38"/>
      <c r="OW178" s="38"/>
      <c r="OX178" s="38"/>
      <c r="OY178" s="38"/>
      <c r="OZ178" s="38"/>
      <c r="PA178" s="38"/>
      <c r="PB178" s="38"/>
      <c r="PC178" s="38"/>
      <c r="PD178" s="38"/>
      <c r="PE178" s="38"/>
      <c r="PF178" s="38"/>
      <c r="PG178" s="38"/>
      <c r="PH178" s="38"/>
      <c r="PI178" s="38"/>
      <c r="PJ178" s="38"/>
      <c r="PK178" s="38"/>
      <c r="PL178" s="38"/>
      <c r="PM178" s="38"/>
      <c r="PN178" s="38"/>
      <c r="PO178" s="38"/>
      <c r="PP178" s="38"/>
      <c r="PQ178" s="38"/>
      <c r="PR178" s="38"/>
      <c r="PS178" s="38"/>
      <c r="PT178" s="38"/>
      <c r="PU178" s="38"/>
      <c r="PV178" s="38"/>
      <c r="PW178" s="38"/>
      <c r="PX178" s="38"/>
      <c r="PY178" s="38"/>
      <c r="PZ178" s="38"/>
      <c r="QA178" s="38"/>
      <c r="QB178" s="38"/>
      <c r="QC178" s="38"/>
      <c r="QD178" s="38"/>
      <c r="QE178" s="38"/>
      <c r="QF178" s="38"/>
      <c r="QG178" s="38"/>
      <c r="QH178" s="38"/>
      <c r="QI178" s="38"/>
      <c r="QJ178" s="38"/>
      <c r="QK178" s="38"/>
      <c r="QL178" s="38"/>
      <c r="QM178" s="38"/>
      <c r="QN178" s="38"/>
      <c r="QO178" s="38"/>
      <c r="QP178" s="38"/>
      <c r="QQ178" s="38"/>
      <c r="QR178" s="38"/>
      <c r="QS178" s="38"/>
      <c r="QT178" s="38"/>
      <c r="QU178" s="38"/>
      <c r="QV178" s="38"/>
      <c r="QW178" s="38"/>
      <c r="QX178" s="38"/>
      <c r="QY178" s="38"/>
      <c r="QZ178" s="38"/>
      <c r="RA178" s="38"/>
      <c r="RB178" s="38"/>
      <c r="RC178" s="38"/>
      <c r="RD178" s="38"/>
      <c r="RE178" s="38"/>
      <c r="RF178" s="38"/>
      <c r="RG178" s="38"/>
      <c r="RH178" s="38"/>
      <c r="RI178" s="38"/>
      <c r="RJ178" s="38"/>
      <c r="RK178" s="38"/>
      <c r="RL178" s="38"/>
      <c r="RM178" s="38"/>
      <c r="RN178" s="38"/>
      <c r="RO178" s="38"/>
      <c r="RP178" s="38"/>
      <c r="RQ178" s="38"/>
      <c r="RR178" s="38"/>
      <c r="RS178" s="38"/>
      <c r="RT178" s="38"/>
      <c r="RU178" s="38"/>
      <c r="RV178" s="38"/>
      <c r="RW178" s="38"/>
      <c r="RX178" s="38"/>
      <c r="RY178" s="38"/>
      <c r="RZ178" s="38"/>
      <c r="SA178" s="38"/>
      <c r="SB178" s="38"/>
      <c r="SC178" s="38"/>
      <c r="SD178" s="38"/>
      <c r="SE178" s="38"/>
      <c r="SF178" s="38"/>
      <c r="SG178" s="38"/>
      <c r="SH178" s="38"/>
      <c r="SI178" s="38"/>
      <c r="SJ178" s="38"/>
      <c r="SK178" s="38"/>
      <c r="SL178" s="38"/>
      <c r="SM178" s="38"/>
      <c r="SN178" s="38"/>
      <c r="SO178" s="38"/>
      <c r="SP178" s="38"/>
      <c r="SQ178" s="38"/>
      <c r="SR178" s="38"/>
      <c r="SS178" s="38"/>
      <c r="ST178" s="38"/>
      <c r="SU178" s="38"/>
      <c r="SV178" s="38"/>
      <c r="SW178" s="38"/>
      <c r="SX178" s="38"/>
      <c r="SY178" s="38"/>
      <c r="SZ178" s="38"/>
      <c r="TA178" s="38"/>
      <c r="TB178" s="38"/>
      <c r="TC178" s="38"/>
      <c r="TD178" s="38"/>
      <c r="TE178" s="38"/>
      <c r="TF178" s="38"/>
      <c r="TG178" s="38"/>
      <c r="TH178" s="38"/>
      <c r="TI178" s="38"/>
      <c r="TJ178" s="38"/>
      <c r="TK178" s="38"/>
      <c r="TL178" s="38"/>
      <c r="TM178" s="38"/>
    </row>
    <row r="179" spans="1:533" s="39" customFormat="1" ht="93.75" x14ac:dyDescent="0.25">
      <c r="B179" s="50" t="s">
        <v>348</v>
      </c>
      <c r="C179" s="41"/>
      <c r="D179" s="57" t="s">
        <v>349</v>
      </c>
      <c r="E179" s="86"/>
      <c r="F179" s="53"/>
      <c r="G179" s="58"/>
      <c r="H179" s="71"/>
      <c r="I179" s="55"/>
      <c r="J179" s="72"/>
      <c r="K179" s="47"/>
      <c r="L179" s="73"/>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c r="BS179" s="38"/>
      <c r="BT179" s="38"/>
      <c r="BU179" s="38"/>
      <c r="BV179" s="38"/>
      <c r="BW179" s="38"/>
      <c r="BX179" s="38"/>
      <c r="BY179" s="38"/>
      <c r="BZ179" s="38"/>
      <c r="CA179" s="38"/>
      <c r="CB179" s="38"/>
      <c r="CC179" s="38"/>
      <c r="CD179" s="38"/>
      <c r="CE179" s="38"/>
      <c r="CF179" s="38"/>
      <c r="CG179" s="38"/>
      <c r="CH179" s="38"/>
      <c r="CI179" s="38"/>
      <c r="CJ179" s="38"/>
      <c r="CK179" s="38"/>
      <c r="CL179" s="38"/>
      <c r="CM179" s="38"/>
      <c r="CN179" s="38"/>
      <c r="CO179" s="38"/>
      <c r="CP179" s="38"/>
      <c r="CQ179" s="38"/>
      <c r="CR179" s="38"/>
      <c r="CS179" s="38"/>
      <c r="CT179" s="38"/>
      <c r="CU179" s="38"/>
      <c r="CV179" s="38"/>
      <c r="CW179" s="38"/>
      <c r="CX179" s="38"/>
      <c r="CY179" s="38"/>
      <c r="CZ179" s="38"/>
      <c r="DA179" s="38"/>
      <c r="DB179" s="38"/>
      <c r="DC179" s="38"/>
      <c r="DD179" s="38"/>
      <c r="DE179" s="38"/>
      <c r="DF179" s="38"/>
      <c r="DG179" s="38"/>
      <c r="DH179" s="38"/>
      <c r="DI179" s="38"/>
      <c r="DJ179" s="38"/>
      <c r="DK179" s="38"/>
      <c r="DL179" s="38"/>
      <c r="DM179" s="38"/>
      <c r="DN179" s="38"/>
      <c r="DO179" s="38"/>
      <c r="DP179" s="38"/>
      <c r="DQ179" s="38"/>
      <c r="DR179" s="38"/>
      <c r="DS179" s="38"/>
      <c r="DT179" s="38"/>
      <c r="DU179" s="38"/>
      <c r="DV179" s="38"/>
      <c r="DW179" s="38"/>
      <c r="DX179" s="38"/>
      <c r="DY179" s="38"/>
      <c r="DZ179" s="38"/>
      <c r="EA179" s="38"/>
      <c r="EB179" s="38"/>
      <c r="EC179" s="38"/>
      <c r="ED179" s="38"/>
      <c r="EE179" s="38"/>
      <c r="EF179" s="38"/>
      <c r="EG179" s="38"/>
      <c r="EH179" s="38"/>
      <c r="EI179" s="38"/>
      <c r="EJ179" s="38"/>
      <c r="EK179" s="38"/>
      <c r="EL179" s="38"/>
      <c r="EM179" s="38"/>
      <c r="EN179" s="38"/>
      <c r="EO179" s="38"/>
      <c r="EP179" s="38"/>
      <c r="EQ179" s="38"/>
      <c r="ER179" s="38"/>
      <c r="ES179" s="38"/>
      <c r="ET179" s="38"/>
      <c r="EU179" s="38"/>
      <c r="EV179" s="38"/>
      <c r="EW179" s="38"/>
      <c r="EX179" s="38"/>
      <c r="EY179" s="38"/>
      <c r="EZ179" s="38"/>
      <c r="FA179" s="38"/>
      <c r="FB179" s="38"/>
      <c r="FC179" s="38"/>
      <c r="FD179" s="38"/>
      <c r="FE179" s="38"/>
      <c r="FF179" s="38"/>
      <c r="FG179" s="38"/>
      <c r="FH179" s="38"/>
      <c r="FI179" s="38"/>
      <c r="FJ179" s="38"/>
      <c r="FK179" s="38"/>
      <c r="FL179" s="38"/>
      <c r="FM179" s="38"/>
      <c r="FN179" s="38"/>
      <c r="FO179" s="38"/>
      <c r="FP179" s="38"/>
      <c r="FQ179" s="38"/>
      <c r="FR179" s="38"/>
      <c r="FS179" s="38"/>
      <c r="FT179" s="38"/>
      <c r="FU179" s="38"/>
      <c r="FV179" s="38"/>
      <c r="FW179" s="38"/>
      <c r="FX179" s="38"/>
      <c r="FY179" s="38"/>
      <c r="FZ179" s="38"/>
      <c r="GA179" s="38"/>
      <c r="GB179" s="38"/>
      <c r="GC179" s="38"/>
      <c r="GD179" s="38"/>
      <c r="GE179" s="38"/>
      <c r="GF179" s="38"/>
      <c r="GG179" s="38"/>
      <c r="GH179" s="38"/>
      <c r="GI179" s="38"/>
      <c r="GJ179" s="38"/>
      <c r="GK179" s="38"/>
      <c r="GL179" s="38"/>
      <c r="GM179" s="38"/>
      <c r="GN179" s="38"/>
      <c r="GO179" s="38"/>
      <c r="GP179" s="38"/>
      <c r="GQ179" s="38"/>
      <c r="GR179" s="38"/>
      <c r="GS179" s="38"/>
      <c r="GT179" s="38"/>
      <c r="GU179" s="38"/>
      <c r="GV179" s="38"/>
      <c r="GW179" s="38"/>
      <c r="GX179" s="38"/>
      <c r="GY179" s="38"/>
      <c r="GZ179" s="38"/>
      <c r="HA179" s="38"/>
      <c r="HB179" s="38"/>
      <c r="HC179" s="38"/>
      <c r="HD179" s="38"/>
      <c r="HE179" s="38"/>
      <c r="HF179" s="38"/>
      <c r="HG179" s="38"/>
      <c r="HH179" s="38"/>
      <c r="HI179" s="38"/>
      <c r="HJ179" s="38"/>
      <c r="HK179" s="38"/>
      <c r="HL179" s="38"/>
      <c r="HM179" s="38"/>
      <c r="HN179" s="38"/>
      <c r="HO179" s="38"/>
      <c r="HP179" s="38"/>
      <c r="HQ179" s="38"/>
      <c r="HR179" s="38"/>
      <c r="HS179" s="38"/>
      <c r="HT179" s="38"/>
      <c r="HU179" s="38"/>
      <c r="HV179" s="38"/>
      <c r="HW179" s="38"/>
      <c r="HX179" s="38"/>
      <c r="HY179" s="38"/>
      <c r="HZ179" s="38"/>
      <c r="IA179" s="38"/>
      <c r="IB179" s="38"/>
      <c r="IC179" s="38"/>
      <c r="ID179" s="38"/>
      <c r="IE179" s="38"/>
      <c r="IF179" s="38"/>
      <c r="IG179" s="38"/>
      <c r="IH179" s="38"/>
      <c r="II179" s="38"/>
      <c r="IJ179" s="38"/>
      <c r="IK179" s="38"/>
      <c r="IL179" s="38"/>
      <c r="IM179" s="38"/>
      <c r="IN179" s="38"/>
      <c r="IO179" s="38"/>
      <c r="IP179" s="38"/>
      <c r="IQ179" s="38"/>
      <c r="IR179" s="38"/>
      <c r="IS179" s="38"/>
      <c r="IT179" s="38"/>
      <c r="IU179" s="38"/>
      <c r="IV179" s="38"/>
      <c r="IW179" s="38"/>
      <c r="IX179" s="38"/>
      <c r="IY179" s="38"/>
      <c r="IZ179" s="38"/>
      <c r="JA179" s="38"/>
      <c r="JB179" s="38"/>
      <c r="JC179" s="38"/>
      <c r="JD179" s="38"/>
      <c r="JE179" s="38"/>
      <c r="JF179" s="38"/>
      <c r="JG179" s="38"/>
      <c r="JH179" s="38"/>
      <c r="JI179" s="38"/>
      <c r="JJ179" s="38"/>
      <c r="JK179" s="38"/>
      <c r="JL179" s="38"/>
      <c r="JM179" s="38"/>
      <c r="JN179" s="38"/>
      <c r="JO179" s="38"/>
      <c r="JP179" s="38"/>
      <c r="JQ179" s="38"/>
      <c r="JR179" s="38"/>
      <c r="JS179" s="38"/>
      <c r="JT179" s="38"/>
      <c r="JU179" s="38"/>
      <c r="JV179" s="38"/>
      <c r="JW179" s="38"/>
      <c r="JX179" s="38"/>
      <c r="JY179" s="38"/>
      <c r="JZ179" s="38"/>
      <c r="KA179" s="38"/>
      <c r="KB179" s="38"/>
      <c r="KC179" s="38"/>
      <c r="KD179" s="38"/>
      <c r="KE179" s="38"/>
      <c r="KF179" s="38"/>
      <c r="KG179" s="38"/>
      <c r="KH179" s="38"/>
      <c r="KI179" s="38"/>
      <c r="KJ179" s="38"/>
      <c r="KK179" s="38"/>
      <c r="KL179" s="38"/>
      <c r="KM179" s="38"/>
      <c r="KN179" s="38"/>
      <c r="KO179" s="38"/>
      <c r="KP179" s="38"/>
      <c r="KQ179" s="38"/>
      <c r="KR179" s="38"/>
      <c r="KS179" s="38"/>
      <c r="KT179" s="38"/>
      <c r="KU179" s="38"/>
      <c r="KV179" s="38"/>
      <c r="KW179" s="38"/>
      <c r="KX179" s="38"/>
      <c r="KY179" s="38"/>
      <c r="KZ179" s="38"/>
      <c r="LA179" s="38"/>
      <c r="LB179" s="38"/>
      <c r="LC179" s="38"/>
      <c r="LD179" s="38"/>
      <c r="LE179" s="38"/>
      <c r="LF179" s="38"/>
      <c r="LG179" s="38"/>
      <c r="LH179" s="38"/>
      <c r="LI179" s="38"/>
      <c r="LJ179" s="38"/>
      <c r="LK179" s="38"/>
      <c r="LL179" s="38"/>
      <c r="LM179" s="38"/>
      <c r="LN179" s="38"/>
      <c r="LO179" s="38"/>
      <c r="LP179" s="38"/>
      <c r="LQ179" s="38"/>
      <c r="LR179" s="38"/>
      <c r="LS179" s="38"/>
      <c r="LT179" s="38"/>
      <c r="LU179" s="38"/>
      <c r="LV179" s="38"/>
      <c r="LW179" s="38"/>
      <c r="LX179" s="38"/>
      <c r="LY179" s="38"/>
      <c r="LZ179" s="38"/>
      <c r="MA179" s="38"/>
      <c r="MB179" s="38"/>
      <c r="MC179" s="38"/>
      <c r="MD179" s="38"/>
      <c r="ME179" s="38"/>
      <c r="MF179" s="38"/>
      <c r="MG179" s="38"/>
      <c r="MH179" s="38"/>
      <c r="MI179" s="38"/>
      <c r="MJ179" s="38"/>
      <c r="MK179" s="38"/>
      <c r="ML179" s="38"/>
      <c r="MM179" s="38"/>
      <c r="MN179" s="38"/>
      <c r="MO179" s="38"/>
      <c r="MP179" s="38"/>
      <c r="MQ179" s="38"/>
      <c r="MR179" s="38"/>
      <c r="MS179" s="38"/>
      <c r="MT179" s="38"/>
      <c r="MU179" s="38"/>
      <c r="MV179" s="38"/>
      <c r="MW179" s="38"/>
      <c r="MX179" s="38"/>
      <c r="MY179" s="38"/>
      <c r="MZ179" s="38"/>
      <c r="NA179" s="38"/>
      <c r="NB179" s="38"/>
      <c r="NC179" s="38"/>
      <c r="ND179" s="38"/>
      <c r="NE179" s="38"/>
      <c r="NF179" s="38"/>
      <c r="NG179" s="38"/>
      <c r="NH179" s="38"/>
      <c r="NI179" s="38"/>
      <c r="NJ179" s="38"/>
      <c r="NK179" s="38"/>
      <c r="NL179" s="38"/>
      <c r="NM179" s="38"/>
      <c r="NN179" s="38"/>
      <c r="NO179" s="38"/>
      <c r="NP179" s="38"/>
      <c r="NQ179" s="38"/>
      <c r="NR179" s="38"/>
      <c r="NS179" s="38"/>
      <c r="NT179" s="38"/>
      <c r="NU179" s="38"/>
      <c r="NV179" s="38"/>
      <c r="NW179" s="38"/>
      <c r="NX179" s="38"/>
      <c r="NY179" s="38"/>
      <c r="NZ179" s="38"/>
      <c r="OA179" s="38"/>
      <c r="OB179" s="38"/>
      <c r="OC179" s="38"/>
      <c r="OD179" s="38"/>
      <c r="OE179" s="38"/>
      <c r="OF179" s="38"/>
      <c r="OG179" s="38"/>
      <c r="OH179" s="38"/>
      <c r="OI179" s="38"/>
      <c r="OJ179" s="38"/>
      <c r="OK179" s="38"/>
      <c r="OL179" s="38"/>
      <c r="OM179" s="38"/>
      <c r="ON179" s="38"/>
      <c r="OO179" s="38"/>
      <c r="OP179" s="38"/>
      <c r="OQ179" s="38"/>
      <c r="OR179" s="38"/>
      <c r="OS179" s="38"/>
      <c r="OT179" s="38"/>
      <c r="OU179" s="38"/>
      <c r="OV179" s="38"/>
      <c r="OW179" s="38"/>
      <c r="OX179" s="38"/>
      <c r="OY179" s="38"/>
      <c r="OZ179" s="38"/>
      <c r="PA179" s="38"/>
      <c r="PB179" s="38"/>
      <c r="PC179" s="38"/>
      <c r="PD179" s="38"/>
      <c r="PE179" s="38"/>
      <c r="PF179" s="38"/>
      <c r="PG179" s="38"/>
      <c r="PH179" s="38"/>
      <c r="PI179" s="38"/>
      <c r="PJ179" s="38"/>
      <c r="PK179" s="38"/>
      <c r="PL179" s="38"/>
      <c r="PM179" s="38"/>
      <c r="PN179" s="38"/>
      <c r="PO179" s="38"/>
      <c r="PP179" s="38"/>
      <c r="PQ179" s="38"/>
      <c r="PR179" s="38"/>
      <c r="PS179" s="38"/>
      <c r="PT179" s="38"/>
      <c r="PU179" s="38"/>
      <c r="PV179" s="38"/>
      <c r="PW179" s="38"/>
      <c r="PX179" s="38"/>
      <c r="PY179" s="38"/>
      <c r="PZ179" s="38"/>
      <c r="QA179" s="38"/>
      <c r="QB179" s="38"/>
      <c r="QC179" s="38"/>
      <c r="QD179" s="38"/>
      <c r="QE179" s="38"/>
      <c r="QF179" s="38"/>
      <c r="QG179" s="38"/>
      <c r="QH179" s="38"/>
      <c r="QI179" s="38"/>
      <c r="QJ179" s="38"/>
      <c r="QK179" s="38"/>
      <c r="QL179" s="38"/>
      <c r="QM179" s="38"/>
      <c r="QN179" s="38"/>
      <c r="QO179" s="38"/>
      <c r="QP179" s="38"/>
      <c r="QQ179" s="38"/>
      <c r="QR179" s="38"/>
      <c r="QS179" s="38"/>
      <c r="QT179" s="38"/>
      <c r="QU179" s="38"/>
      <c r="QV179" s="38"/>
      <c r="QW179" s="38"/>
      <c r="QX179" s="38"/>
      <c r="QY179" s="38"/>
      <c r="QZ179" s="38"/>
      <c r="RA179" s="38"/>
      <c r="RB179" s="38"/>
      <c r="RC179" s="38"/>
      <c r="RD179" s="38"/>
      <c r="RE179" s="38"/>
      <c r="RF179" s="38"/>
      <c r="RG179" s="38"/>
      <c r="RH179" s="38"/>
      <c r="RI179" s="38"/>
      <c r="RJ179" s="38"/>
      <c r="RK179" s="38"/>
      <c r="RL179" s="38"/>
      <c r="RM179" s="38"/>
      <c r="RN179" s="38"/>
      <c r="RO179" s="38"/>
      <c r="RP179" s="38"/>
      <c r="RQ179" s="38"/>
      <c r="RR179" s="38"/>
      <c r="RS179" s="38"/>
      <c r="RT179" s="38"/>
      <c r="RU179" s="38"/>
      <c r="RV179" s="38"/>
      <c r="RW179" s="38"/>
      <c r="RX179" s="38"/>
      <c r="RY179" s="38"/>
      <c r="RZ179" s="38"/>
      <c r="SA179" s="38"/>
      <c r="SB179" s="38"/>
      <c r="SC179" s="38"/>
      <c r="SD179" s="38"/>
      <c r="SE179" s="38"/>
      <c r="SF179" s="38"/>
      <c r="SG179" s="38"/>
      <c r="SH179" s="38"/>
      <c r="SI179" s="38"/>
      <c r="SJ179" s="38"/>
      <c r="SK179" s="38"/>
      <c r="SL179" s="38"/>
      <c r="SM179" s="38"/>
      <c r="SN179" s="38"/>
      <c r="SO179" s="38"/>
      <c r="SP179" s="38"/>
      <c r="SQ179" s="38"/>
      <c r="SR179" s="38"/>
      <c r="SS179" s="38"/>
      <c r="ST179" s="38"/>
      <c r="SU179" s="38"/>
      <c r="SV179" s="38"/>
      <c r="SW179" s="38"/>
      <c r="SX179" s="38"/>
      <c r="SY179" s="38"/>
      <c r="SZ179" s="38"/>
      <c r="TA179" s="38"/>
      <c r="TB179" s="38"/>
      <c r="TC179" s="38"/>
      <c r="TD179" s="38"/>
      <c r="TE179" s="38"/>
      <c r="TF179" s="38"/>
      <c r="TG179" s="38"/>
      <c r="TH179" s="38"/>
      <c r="TI179" s="38"/>
      <c r="TJ179" s="38"/>
      <c r="TK179" s="38"/>
      <c r="TL179" s="38"/>
      <c r="TM179" s="38"/>
    </row>
    <row r="180" spans="1:533" s="110" customFormat="1" ht="18.75" x14ac:dyDescent="0.25">
      <c r="B180" s="40" t="s">
        <v>348</v>
      </c>
      <c r="C180" s="41" t="s">
        <v>350</v>
      </c>
      <c r="D180" s="56" t="s">
        <v>351</v>
      </c>
      <c r="E180" s="43" t="s">
        <v>225</v>
      </c>
      <c r="F180" s="53">
        <v>1242</v>
      </c>
      <c r="G180" s="58"/>
      <c r="H180" s="46"/>
      <c r="I180" s="47">
        <f t="shared" si="28"/>
        <v>0</v>
      </c>
      <c r="J180" s="48" t="s">
        <v>167</v>
      </c>
      <c r="K180" s="47" t="s">
        <v>168</v>
      </c>
      <c r="L180" s="49"/>
    </row>
    <row r="181" spans="1:533" ht="63" customHeight="1" x14ac:dyDescent="0.25">
      <c r="B181" s="251" t="s">
        <v>352</v>
      </c>
      <c r="C181" s="251"/>
      <c r="D181" s="251"/>
      <c r="E181" s="251"/>
      <c r="F181" s="251"/>
      <c r="G181" s="251"/>
      <c r="H181" s="251"/>
      <c r="I181" s="111">
        <f>SUM(I8:I180)</f>
        <v>0</v>
      </c>
      <c r="J181" s="112"/>
      <c r="K181" s="111"/>
      <c r="L181" s="113"/>
    </row>
    <row r="182" spans="1:533" ht="36" customHeight="1" x14ac:dyDescent="0.25">
      <c r="B182" s="114"/>
      <c r="C182" s="115"/>
      <c r="D182" s="116" t="s">
        <v>353</v>
      </c>
      <c r="E182" s="115"/>
      <c r="F182" s="115"/>
      <c r="G182" s="115"/>
      <c r="H182" s="115"/>
      <c r="I182" s="117"/>
      <c r="J182" s="114"/>
      <c r="K182" s="117"/>
      <c r="L182" s="118"/>
    </row>
    <row r="183" spans="1:533" s="74" customFormat="1" ht="150" x14ac:dyDescent="0.25">
      <c r="A183"/>
      <c r="B183" s="119" t="s">
        <v>354</v>
      </c>
      <c r="C183" s="120"/>
      <c r="D183" s="121" t="s">
        <v>355</v>
      </c>
      <c r="E183" s="122"/>
      <c r="F183" s="123"/>
      <c r="G183" s="124"/>
      <c r="H183" s="125"/>
      <c r="I183" s="122"/>
      <c r="J183" s="119"/>
      <c r="K183" s="122"/>
      <c r="L183" s="126"/>
    </row>
    <row r="184" spans="1:533" s="74" customFormat="1" ht="37.5" x14ac:dyDescent="0.25">
      <c r="A184"/>
      <c r="B184" s="40" t="s">
        <v>354</v>
      </c>
      <c r="C184" s="84" t="s">
        <v>356</v>
      </c>
      <c r="D184" s="42" t="s">
        <v>357</v>
      </c>
      <c r="E184" s="65" t="s">
        <v>103</v>
      </c>
      <c r="F184" s="127">
        <v>2</v>
      </c>
      <c r="G184" s="45"/>
      <c r="H184" s="128"/>
      <c r="I184" s="60">
        <f>F184*G184</f>
        <v>0</v>
      </c>
      <c r="J184" s="61">
        <v>2283</v>
      </c>
      <c r="K184" s="60" t="s">
        <v>358</v>
      </c>
      <c r="L184" s="62"/>
    </row>
    <row r="185" spans="1:533" s="74" customFormat="1" ht="37.5" x14ac:dyDescent="0.25">
      <c r="A185"/>
      <c r="B185" s="129" t="s">
        <v>354</v>
      </c>
      <c r="C185" s="84" t="s">
        <v>359</v>
      </c>
      <c r="D185" s="130" t="s">
        <v>360</v>
      </c>
      <c r="E185" s="131" t="s">
        <v>103</v>
      </c>
      <c r="F185" s="127">
        <v>2</v>
      </c>
      <c r="G185" s="132"/>
      <c r="H185" s="133"/>
      <c r="I185" s="134">
        <f t="shared" ref="I185" si="29">F185*G185</f>
        <v>0</v>
      </c>
      <c r="J185" s="61" t="s">
        <v>167</v>
      </c>
      <c r="K185" s="60" t="s">
        <v>168</v>
      </c>
      <c r="L185" s="62"/>
    </row>
    <row r="186" spans="1:533" s="74" customFormat="1" ht="318.75" x14ac:dyDescent="0.25">
      <c r="A186"/>
      <c r="B186" s="129" t="s">
        <v>361</v>
      </c>
      <c r="C186" s="135"/>
      <c r="D186" s="136" t="s">
        <v>362</v>
      </c>
      <c r="E186" s="134"/>
      <c r="F186" s="127"/>
      <c r="G186" s="132"/>
      <c r="H186" s="133"/>
      <c r="I186" s="134"/>
      <c r="J186" s="129"/>
      <c r="K186" s="134"/>
      <c r="L186" s="137"/>
    </row>
    <row r="187" spans="1:533" s="74" customFormat="1" ht="225" x14ac:dyDescent="0.25">
      <c r="A187"/>
      <c r="B187" s="129" t="s">
        <v>363</v>
      </c>
      <c r="C187" s="135"/>
      <c r="D187" s="63" t="s">
        <v>364</v>
      </c>
      <c r="E187" s="134"/>
      <c r="F187" s="127"/>
      <c r="G187" s="132"/>
      <c r="H187" s="133"/>
      <c r="I187" s="134"/>
      <c r="J187" s="129"/>
      <c r="K187" s="134"/>
      <c r="L187" s="137"/>
    </row>
    <row r="188" spans="1:533" s="74" customFormat="1" ht="18.75" x14ac:dyDescent="0.25">
      <c r="A188"/>
      <c r="B188" s="129" t="s">
        <v>363</v>
      </c>
      <c r="C188" s="135" t="s">
        <v>365</v>
      </c>
      <c r="D188" s="138" t="s">
        <v>366</v>
      </c>
      <c r="E188" s="131" t="s">
        <v>75</v>
      </c>
      <c r="F188" s="127">
        <v>5</v>
      </c>
      <c r="G188" s="132"/>
      <c r="H188" s="133"/>
      <c r="I188" s="134">
        <f t="shared" ref="I188" si="30">F188*G188</f>
        <v>0</v>
      </c>
      <c r="J188" s="61">
        <v>2054</v>
      </c>
      <c r="K188" s="60" t="s">
        <v>30</v>
      </c>
      <c r="L188" s="62"/>
    </row>
    <row r="189" spans="1:533" s="74" customFormat="1" ht="187.5" x14ac:dyDescent="0.25">
      <c r="A189"/>
      <c r="B189" s="129" t="s">
        <v>363</v>
      </c>
      <c r="C189" s="135"/>
      <c r="D189" s="136" t="s">
        <v>367</v>
      </c>
      <c r="E189" s="134"/>
      <c r="F189" s="127"/>
      <c r="G189" s="132"/>
      <c r="H189" s="133"/>
      <c r="I189" s="134"/>
      <c r="J189" s="129"/>
      <c r="K189" s="134"/>
      <c r="L189" s="137"/>
    </row>
    <row r="190" spans="1:533" s="74" customFormat="1" ht="18.75" x14ac:dyDescent="0.25">
      <c r="A190"/>
      <c r="B190" s="129" t="s">
        <v>363</v>
      </c>
      <c r="C190" s="135" t="s">
        <v>368</v>
      </c>
      <c r="D190" s="138" t="s">
        <v>369</v>
      </c>
      <c r="E190" s="131" t="s">
        <v>75</v>
      </c>
      <c r="F190" s="127">
        <v>205</v>
      </c>
      <c r="G190" s="132"/>
      <c r="H190" s="133"/>
      <c r="I190" s="134">
        <f t="shared" ref="I190:I197" si="31">F190*G190</f>
        <v>0</v>
      </c>
      <c r="J190" s="61" t="s">
        <v>167</v>
      </c>
      <c r="K190" s="60" t="s">
        <v>168</v>
      </c>
      <c r="L190" s="62"/>
    </row>
    <row r="191" spans="1:533" s="74" customFormat="1" ht="18.75" x14ac:dyDescent="0.25">
      <c r="A191"/>
      <c r="B191" s="129" t="s">
        <v>363</v>
      </c>
      <c r="C191" s="135" t="s">
        <v>370</v>
      </c>
      <c r="D191" s="138" t="s">
        <v>371</v>
      </c>
      <c r="E191" s="131" t="s">
        <v>75</v>
      </c>
      <c r="F191" s="127">
        <v>20</v>
      </c>
      <c r="G191" s="132"/>
      <c r="H191" s="133"/>
      <c r="I191" s="134">
        <f t="shared" si="31"/>
        <v>0</v>
      </c>
      <c r="J191" s="61" t="s">
        <v>167</v>
      </c>
      <c r="K191" s="60" t="s">
        <v>168</v>
      </c>
      <c r="L191" s="62"/>
    </row>
    <row r="192" spans="1:533" s="74" customFormat="1" ht="18.75" x14ac:dyDescent="0.25">
      <c r="A192"/>
      <c r="B192" s="129" t="s">
        <v>363</v>
      </c>
      <c r="C192" s="135" t="s">
        <v>372</v>
      </c>
      <c r="D192" s="138" t="s">
        <v>373</v>
      </c>
      <c r="E192" s="131" t="s">
        <v>75</v>
      </c>
      <c r="F192" s="127">
        <v>40</v>
      </c>
      <c r="G192" s="132"/>
      <c r="H192" s="133"/>
      <c r="I192" s="134">
        <f t="shared" si="31"/>
        <v>0</v>
      </c>
      <c r="J192" s="61" t="s">
        <v>167</v>
      </c>
      <c r="K192" s="60" t="s">
        <v>168</v>
      </c>
      <c r="L192" s="62"/>
    </row>
    <row r="193" spans="1:12" s="74" customFormat="1" ht="18.75" x14ac:dyDescent="0.25">
      <c r="A193"/>
      <c r="B193" s="129" t="s">
        <v>363</v>
      </c>
      <c r="C193" s="135" t="s">
        <v>374</v>
      </c>
      <c r="D193" s="138" t="s">
        <v>375</v>
      </c>
      <c r="E193" s="131" t="s">
        <v>75</v>
      </c>
      <c r="F193" s="127">
        <v>5</v>
      </c>
      <c r="G193" s="132"/>
      <c r="H193" s="133"/>
      <c r="I193" s="134">
        <f t="shared" si="31"/>
        <v>0</v>
      </c>
      <c r="J193" s="61" t="s">
        <v>167</v>
      </c>
      <c r="K193" s="60" t="s">
        <v>168</v>
      </c>
      <c r="L193" s="62"/>
    </row>
    <row r="194" spans="1:12" s="74" customFormat="1" ht="18.75" x14ac:dyDescent="0.25">
      <c r="A194"/>
      <c r="B194" s="129" t="s">
        <v>363</v>
      </c>
      <c r="C194" s="135" t="s">
        <v>376</v>
      </c>
      <c r="D194" s="138" t="s">
        <v>377</v>
      </c>
      <c r="E194" s="131" t="s">
        <v>75</v>
      </c>
      <c r="F194" s="127">
        <v>15</v>
      </c>
      <c r="G194" s="132"/>
      <c r="H194" s="133"/>
      <c r="I194" s="134">
        <f t="shared" si="31"/>
        <v>0</v>
      </c>
      <c r="J194" s="61" t="s">
        <v>167</v>
      </c>
      <c r="K194" s="60" t="s">
        <v>168</v>
      </c>
      <c r="L194" s="62"/>
    </row>
    <row r="195" spans="1:12" s="74" customFormat="1" ht="18.75" x14ac:dyDescent="0.25">
      <c r="A195"/>
      <c r="B195" s="129" t="s">
        <v>378</v>
      </c>
      <c r="C195" s="135" t="s">
        <v>379</v>
      </c>
      <c r="D195" s="138" t="s">
        <v>380</v>
      </c>
      <c r="E195" s="131" t="s">
        <v>75</v>
      </c>
      <c r="F195" s="127">
        <v>45</v>
      </c>
      <c r="G195" s="132"/>
      <c r="H195" s="133"/>
      <c r="I195" s="134">
        <f t="shared" si="31"/>
        <v>0</v>
      </c>
      <c r="J195" s="61" t="s">
        <v>167</v>
      </c>
      <c r="K195" s="60" t="s">
        <v>168</v>
      </c>
      <c r="L195" s="62"/>
    </row>
    <row r="196" spans="1:12" s="74" customFormat="1" ht="18.75" x14ac:dyDescent="0.25">
      <c r="A196"/>
      <c r="B196" s="129" t="s">
        <v>363</v>
      </c>
      <c r="C196" s="135" t="s">
        <v>381</v>
      </c>
      <c r="D196" s="138" t="s">
        <v>382</v>
      </c>
      <c r="E196" s="131" t="s">
        <v>75</v>
      </c>
      <c r="F196" s="127">
        <v>5</v>
      </c>
      <c r="G196" s="132"/>
      <c r="H196" s="133"/>
      <c r="I196" s="134">
        <f t="shared" si="31"/>
        <v>0</v>
      </c>
      <c r="J196" s="61" t="s">
        <v>167</v>
      </c>
      <c r="K196" s="60" t="s">
        <v>168</v>
      </c>
      <c r="L196" s="62"/>
    </row>
    <row r="197" spans="1:12" s="74" customFormat="1" ht="18.75" x14ac:dyDescent="0.25">
      <c r="A197"/>
      <c r="B197" s="129" t="s">
        <v>378</v>
      </c>
      <c r="C197" s="135" t="s">
        <v>383</v>
      </c>
      <c r="D197" s="138" t="s">
        <v>366</v>
      </c>
      <c r="E197" s="131" t="s">
        <v>75</v>
      </c>
      <c r="F197" s="127">
        <v>6</v>
      </c>
      <c r="G197" s="132"/>
      <c r="H197" s="133"/>
      <c r="I197" s="134">
        <f t="shared" si="31"/>
        <v>0</v>
      </c>
      <c r="J197" s="61" t="s">
        <v>167</v>
      </c>
      <c r="K197" s="60" t="s">
        <v>168</v>
      </c>
      <c r="L197" s="62"/>
    </row>
    <row r="198" spans="1:12" s="74" customFormat="1" ht="131.25" x14ac:dyDescent="0.25">
      <c r="A198"/>
      <c r="B198" s="129" t="s">
        <v>363</v>
      </c>
      <c r="C198" s="135"/>
      <c r="D198" s="136" t="s">
        <v>384</v>
      </c>
      <c r="E198" s="134"/>
      <c r="F198" s="127"/>
      <c r="G198" s="132"/>
      <c r="H198" s="133"/>
      <c r="I198" s="134"/>
      <c r="J198" s="129"/>
      <c r="K198" s="134"/>
      <c r="L198" s="137"/>
    </row>
    <row r="199" spans="1:12" s="74" customFormat="1" ht="18.75" x14ac:dyDescent="0.25">
      <c r="A199"/>
      <c r="B199" s="129" t="s">
        <v>363</v>
      </c>
      <c r="C199" s="135" t="s">
        <v>385</v>
      </c>
      <c r="D199" s="138" t="s">
        <v>375</v>
      </c>
      <c r="E199" s="131" t="s">
        <v>75</v>
      </c>
      <c r="F199" s="127">
        <v>5</v>
      </c>
      <c r="G199" s="132"/>
      <c r="H199" s="133"/>
      <c r="I199" s="134">
        <f t="shared" ref="I199" si="32">F199*G199</f>
        <v>0</v>
      </c>
      <c r="J199" s="61">
        <v>2062</v>
      </c>
      <c r="K199" s="60" t="s">
        <v>30</v>
      </c>
      <c r="L199" s="62"/>
    </row>
    <row r="200" spans="1:12" s="74" customFormat="1" ht="18.75" x14ac:dyDescent="0.25">
      <c r="A200"/>
      <c r="B200" s="129" t="s">
        <v>363</v>
      </c>
      <c r="C200" s="135"/>
      <c r="D200" s="136" t="s">
        <v>386</v>
      </c>
      <c r="E200" s="134"/>
      <c r="F200" s="127"/>
      <c r="G200" s="132"/>
      <c r="H200" s="133"/>
      <c r="I200" s="134"/>
      <c r="J200" s="129"/>
      <c r="K200" s="134"/>
      <c r="L200" s="137"/>
    </row>
    <row r="201" spans="1:12" s="74" customFormat="1" ht="37.5" x14ac:dyDescent="0.25">
      <c r="A201"/>
      <c r="B201" s="129" t="s">
        <v>363</v>
      </c>
      <c r="C201" s="135" t="s">
        <v>387</v>
      </c>
      <c r="D201" s="139" t="s">
        <v>388</v>
      </c>
      <c r="E201" s="134" t="s">
        <v>103</v>
      </c>
      <c r="F201" s="127">
        <v>1</v>
      </c>
      <c r="G201" s="132"/>
      <c r="H201" s="133"/>
      <c r="I201" s="134">
        <f t="shared" ref="I201:I210" si="33">F201*G201</f>
        <v>0</v>
      </c>
      <c r="J201" s="61" t="s">
        <v>167</v>
      </c>
      <c r="K201" s="60" t="s">
        <v>168</v>
      </c>
      <c r="L201" s="62"/>
    </row>
    <row r="202" spans="1:12" s="74" customFormat="1" ht="56.25" x14ac:dyDescent="0.25">
      <c r="A202"/>
      <c r="B202" s="129" t="s">
        <v>363</v>
      </c>
      <c r="C202" s="135" t="s">
        <v>389</v>
      </c>
      <c r="D202" s="139" t="s">
        <v>390</v>
      </c>
      <c r="E202" s="134" t="s">
        <v>103</v>
      </c>
      <c r="F202" s="127">
        <v>1</v>
      </c>
      <c r="G202" s="132"/>
      <c r="H202" s="133"/>
      <c r="I202" s="134">
        <f t="shared" si="33"/>
        <v>0</v>
      </c>
      <c r="J202" s="61" t="s">
        <v>167</v>
      </c>
      <c r="K202" s="60" t="s">
        <v>168</v>
      </c>
      <c r="L202" s="62"/>
    </row>
    <row r="203" spans="1:12" s="74" customFormat="1" ht="37.5" x14ac:dyDescent="0.25">
      <c r="A203"/>
      <c r="B203" s="129" t="s">
        <v>363</v>
      </c>
      <c r="C203" s="135" t="s">
        <v>391</v>
      </c>
      <c r="D203" s="139" t="s">
        <v>392</v>
      </c>
      <c r="E203" s="134" t="s">
        <v>103</v>
      </c>
      <c r="F203" s="127">
        <v>1</v>
      </c>
      <c r="G203" s="132"/>
      <c r="H203" s="133"/>
      <c r="I203" s="134">
        <f t="shared" si="33"/>
        <v>0</v>
      </c>
      <c r="J203" s="61" t="s">
        <v>167</v>
      </c>
      <c r="K203" s="60" t="s">
        <v>168</v>
      </c>
      <c r="L203" s="62"/>
    </row>
    <row r="204" spans="1:12" s="74" customFormat="1" ht="18.75" x14ac:dyDescent="0.25">
      <c r="A204"/>
      <c r="B204" s="40" t="s">
        <v>363</v>
      </c>
      <c r="C204" s="135" t="s">
        <v>393</v>
      </c>
      <c r="D204" s="140" t="s">
        <v>394</v>
      </c>
      <c r="E204" s="60" t="s">
        <v>103</v>
      </c>
      <c r="F204" s="44">
        <v>1</v>
      </c>
      <c r="G204" s="45"/>
      <c r="H204" s="128"/>
      <c r="I204" s="60">
        <f t="shared" si="33"/>
        <v>0</v>
      </c>
      <c r="J204" s="61" t="s">
        <v>167</v>
      </c>
      <c r="K204" s="60" t="s">
        <v>168</v>
      </c>
      <c r="L204" s="62"/>
    </row>
    <row r="205" spans="1:12" s="74" customFormat="1" ht="18.75" x14ac:dyDescent="0.25">
      <c r="A205"/>
      <c r="B205" s="129" t="s">
        <v>363</v>
      </c>
      <c r="C205" s="135" t="s">
        <v>395</v>
      </c>
      <c r="D205" s="139" t="s">
        <v>396</v>
      </c>
      <c r="E205" s="134" t="s">
        <v>103</v>
      </c>
      <c r="F205" s="127">
        <v>1</v>
      </c>
      <c r="G205" s="132"/>
      <c r="H205" s="133"/>
      <c r="I205" s="134">
        <f t="shared" si="33"/>
        <v>0</v>
      </c>
      <c r="J205" s="61" t="s">
        <v>167</v>
      </c>
      <c r="K205" s="60" t="s">
        <v>168</v>
      </c>
      <c r="L205" s="62"/>
    </row>
    <row r="206" spans="1:12" s="74" customFormat="1" ht="18.75" x14ac:dyDescent="0.25">
      <c r="A206"/>
      <c r="B206" s="129" t="s">
        <v>363</v>
      </c>
      <c r="C206" s="135"/>
      <c r="D206" s="136" t="s">
        <v>397</v>
      </c>
      <c r="E206" s="134"/>
      <c r="F206" s="127"/>
      <c r="G206" s="132"/>
      <c r="H206" s="133"/>
      <c r="I206" s="134"/>
      <c r="J206" s="61"/>
      <c r="K206" s="60"/>
      <c r="L206" s="62"/>
    </row>
    <row r="207" spans="1:12" s="74" customFormat="1" ht="18.75" x14ac:dyDescent="0.25">
      <c r="A207"/>
      <c r="B207" s="40" t="s">
        <v>363</v>
      </c>
      <c r="C207" s="84" t="s">
        <v>398</v>
      </c>
      <c r="D207" s="140" t="s">
        <v>399</v>
      </c>
      <c r="E207" s="60" t="s">
        <v>103</v>
      </c>
      <c r="F207" s="44">
        <v>2</v>
      </c>
      <c r="G207" s="45"/>
      <c r="H207" s="128"/>
      <c r="I207" s="60">
        <f t="shared" ref="I207:I208" si="34">F207*G207</f>
        <v>0</v>
      </c>
      <c r="J207" s="61" t="s">
        <v>167</v>
      </c>
      <c r="K207" s="60" t="s">
        <v>168</v>
      </c>
      <c r="L207" s="62"/>
    </row>
    <row r="208" spans="1:12" s="74" customFormat="1" ht="18.75" x14ac:dyDescent="0.25">
      <c r="A208"/>
      <c r="B208" s="40" t="s">
        <v>363</v>
      </c>
      <c r="C208" s="84" t="s">
        <v>387</v>
      </c>
      <c r="D208" s="140" t="s">
        <v>400</v>
      </c>
      <c r="E208" s="60" t="s">
        <v>103</v>
      </c>
      <c r="F208" s="44">
        <v>4</v>
      </c>
      <c r="G208" s="45"/>
      <c r="H208" s="128"/>
      <c r="I208" s="60">
        <f t="shared" si="34"/>
        <v>0</v>
      </c>
      <c r="J208" s="61" t="s">
        <v>167</v>
      </c>
      <c r="K208" s="60" t="s">
        <v>168</v>
      </c>
      <c r="L208" s="62"/>
    </row>
    <row r="209" spans="1:12" s="74" customFormat="1" ht="37.5" x14ac:dyDescent="0.25">
      <c r="A209"/>
      <c r="B209" s="40" t="s">
        <v>363</v>
      </c>
      <c r="C209" s="84" t="s">
        <v>401</v>
      </c>
      <c r="D209" s="140" t="s">
        <v>402</v>
      </c>
      <c r="E209" s="60" t="s">
        <v>103</v>
      </c>
      <c r="F209" s="44">
        <v>33</v>
      </c>
      <c r="G209" s="45"/>
      <c r="H209" s="128"/>
      <c r="I209" s="60">
        <f t="shared" si="33"/>
        <v>0</v>
      </c>
      <c r="J209" s="61" t="s">
        <v>167</v>
      </c>
      <c r="K209" s="60" t="s">
        <v>168</v>
      </c>
      <c r="L209" s="62"/>
    </row>
    <row r="210" spans="1:12" s="74" customFormat="1" ht="37.5" x14ac:dyDescent="0.25">
      <c r="A210"/>
      <c r="B210" s="141" t="s">
        <v>363</v>
      </c>
      <c r="C210" s="84" t="s">
        <v>403</v>
      </c>
      <c r="D210" s="140" t="s">
        <v>404</v>
      </c>
      <c r="E210" s="60" t="s">
        <v>103</v>
      </c>
      <c r="F210" s="44">
        <v>22</v>
      </c>
      <c r="G210" s="45"/>
      <c r="H210" s="128"/>
      <c r="I210" s="60">
        <f t="shared" si="33"/>
        <v>0</v>
      </c>
      <c r="J210" s="61" t="s">
        <v>167</v>
      </c>
      <c r="K210" s="60" t="s">
        <v>168</v>
      </c>
      <c r="L210" s="62"/>
    </row>
    <row r="211" spans="1:12" s="74" customFormat="1" ht="37.5" x14ac:dyDescent="0.25">
      <c r="A211"/>
      <c r="B211" s="141" t="s">
        <v>363</v>
      </c>
      <c r="C211" s="84" t="s">
        <v>405</v>
      </c>
      <c r="D211" s="140" t="s">
        <v>406</v>
      </c>
      <c r="E211" s="60" t="s">
        <v>103</v>
      </c>
      <c r="F211" s="44">
        <v>16</v>
      </c>
      <c r="G211" s="45"/>
      <c r="H211" s="128"/>
      <c r="I211" s="60">
        <v>0</v>
      </c>
      <c r="J211" s="61" t="s">
        <v>167</v>
      </c>
      <c r="K211" s="60" t="s">
        <v>168</v>
      </c>
      <c r="L211" s="62"/>
    </row>
    <row r="212" spans="1:12" s="74" customFormat="1" ht="37.5" x14ac:dyDescent="0.25">
      <c r="A212"/>
      <c r="B212" s="141" t="s">
        <v>363</v>
      </c>
      <c r="C212" s="84" t="s">
        <v>407</v>
      </c>
      <c r="D212" s="140" t="s">
        <v>408</v>
      </c>
      <c r="E212" s="60" t="s">
        <v>103</v>
      </c>
      <c r="F212" s="44">
        <v>2</v>
      </c>
      <c r="G212" s="45"/>
      <c r="H212" s="128"/>
      <c r="I212" s="60">
        <f t="shared" ref="I212" si="35">F212*G212</f>
        <v>0</v>
      </c>
      <c r="J212" s="61" t="s">
        <v>167</v>
      </c>
      <c r="K212" s="60" t="s">
        <v>168</v>
      </c>
      <c r="L212" s="62"/>
    </row>
    <row r="213" spans="1:12" s="74" customFormat="1" ht="187.5" x14ac:dyDescent="0.25">
      <c r="A213"/>
      <c r="B213" s="129" t="s">
        <v>363</v>
      </c>
      <c r="C213" s="135"/>
      <c r="D213" s="136" t="s">
        <v>409</v>
      </c>
      <c r="E213" s="134"/>
      <c r="F213" s="127"/>
      <c r="G213" s="132"/>
      <c r="H213" s="133"/>
      <c r="I213" s="134"/>
      <c r="J213" s="129"/>
      <c r="K213" s="134"/>
      <c r="L213" s="137"/>
    </row>
    <row r="214" spans="1:12" s="74" customFormat="1" ht="18.75" x14ac:dyDescent="0.25">
      <c r="A214"/>
      <c r="B214" s="129" t="s">
        <v>363</v>
      </c>
      <c r="C214" s="135" t="s">
        <v>410</v>
      </c>
      <c r="D214" s="138" t="s">
        <v>411</v>
      </c>
      <c r="E214" s="134" t="s">
        <v>103</v>
      </c>
      <c r="F214" s="127">
        <v>1</v>
      </c>
      <c r="G214" s="132"/>
      <c r="H214" s="133"/>
      <c r="I214" s="134">
        <f t="shared" ref="I214" si="36">F214*G214</f>
        <v>0</v>
      </c>
      <c r="J214" s="61" t="s">
        <v>167</v>
      </c>
      <c r="K214" s="60" t="s">
        <v>168</v>
      </c>
      <c r="L214" s="62"/>
    </row>
    <row r="215" spans="1:12" s="74" customFormat="1" ht="168.75" x14ac:dyDescent="0.25">
      <c r="A215"/>
      <c r="B215" s="129" t="s">
        <v>412</v>
      </c>
      <c r="C215" s="135"/>
      <c r="D215" s="136" t="s">
        <v>413</v>
      </c>
      <c r="E215" s="134"/>
      <c r="F215" s="127"/>
      <c r="G215" s="132"/>
      <c r="H215" s="133"/>
      <c r="I215" s="134"/>
      <c r="J215" s="129"/>
      <c r="K215" s="134"/>
      <c r="L215" s="137"/>
    </row>
    <row r="216" spans="1:12" s="74" customFormat="1" ht="18.75" x14ac:dyDescent="0.25">
      <c r="A216"/>
      <c r="B216" s="129" t="s">
        <v>412</v>
      </c>
      <c r="C216" s="135" t="s">
        <v>414</v>
      </c>
      <c r="D216" s="138" t="s">
        <v>415</v>
      </c>
      <c r="E216" s="134" t="s">
        <v>103</v>
      </c>
      <c r="F216" s="127">
        <v>1</v>
      </c>
      <c r="G216" s="132"/>
      <c r="H216" s="133"/>
      <c r="I216" s="134">
        <f t="shared" ref="I216" si="37">F216*G216</f>
        <v>0</v>
      </c>
      <c r="J216" s="61">
        <v>2057</v>
      </c>
      <c r="K216" s="60" t="s">
        <v>30</v>
      </c>
      <c r="L216" s="62"/>
    </row>
    <row r="217" spans="1:12" s="74" customFormat="1" ht="187.5" x14ac:dyDescent="0.25">
      <c r="A217"/>
      <c r="B217" s="129" t="s">
        <v>416</v>
      </c>
      <c r="C217" s="135"/>
      <c r="D217" s="142" t="s">
        <v>417</v>
      </c>
      <c r="E217" s="134"/>
      <c r="F217" s="127"/>
      <c r="G217" s="132"/>
      <c r="H217" s="133"/>
      <c r="I217" s="134"/>
      <c r="J217" s="129"/>
      <c r="K217" s="134"/>
      <c r="L217" s="137"/>
    </row>
    <row r="218" spans="1:12" s="74" customFormat="1" ht="37.5" x14ac:dyDescent="0.25">
      <c r="A218"/>
      <c r="B218" s="129" t="s">
        <v>418</v>
      </c>
      <c r="C218" s="135" t="s">
        <v>419</v>
      </c>
      <c r="D218" s="138" t="s">
        <v>420</v>
      </c>
      <c r="E218" s="134" t="s">
        <v>103</v>
      </c>
      <c r="F218" s="127">
        <v>1</v>
      </c>
      <c r="G218" s="132"/>
      <c r="H218" s="133"/>
      <c r="I218" s="134">
        <f t="shared" ref="I218" si="38">F218*G218</f>
        <v>0</v>
      </c>
      <c r="J218" s="61" t="s">
        <v>167</v>
      </c>
      <c r="K218" s="60" t="s">
        <v>168</v>
      </c>
      <c r="L218" s="62"/>
    </row>
    <row r="219" spans="1:12" s="74" customFormat="1" ht="300" x14ac:dyDescent="0.25">
      <c r="A219"/>
      <c r="B219" s="129" t="s">
        <v>421</v>
      </c>
      <c r="C219" s="135"/>
      <c r="D219" s="136" t="s">
        <v>422</v>
      </c>
      <c r="E219" s="134"/>
      <c r="F219" s="127"/>
      <c r="G219" s="132"/>
      <c r="H219" s="133"/>
      <c r="I219" s="134"/>
      <c r="J219" s="129"/>
      <c r="K219" s="134"/>
      <c r="L219" s="137"/>
    </row>
    <row r="220" spans="1:12" s="74" customFormat="1" ht="150" x14ac:dyDescent="0.25">
      <c r="A220"/>
      <c r="B220" s="129" t="s">
        <v>423</v>
      </c>
      <c r="C220" s="135"/>
      <c r="D220" s="136" t="s">
        <v>424</v>
      </c>
      <c r="E220" s="134"/>
      <c r="F220" s="127"/>
      <c r="G220" s="132"/>
      <c r="H220" s="133"/>
      <c r="I220" s="134"/>
      <c r="J220" s="129"/>
      <c r="K220" s="134"/>
      <c r="L220" s="137"/>
    </row>
    <row r="221" spans="1:12" s="74" customFormat="1" ht="37.5" x14ac:dyDescent="0.25">
      <c r="A221"/>
      <c r="B221" s="129" t="s">
        <v>423</v>
      </c>
      <c r="C221" s="135" t="s">
        <v>425</v>
      </c>
      <c r="D221" s="42" t="s">
        <v>426</v>
      </c>
      <c r="E221" s="131" t="s">
        <v>103</v>
      </c>
      <c r="F221" s="127">
        <v>2</v>
      </c>
      <c r="G221" s="132"/>
      <c r="H221" s="133"/>
      <c r="I221" s="134">
        <f t="shared" ref="I221:I227" si="39">F221*G221</f>
        <v>0</v>
      </c>
      <c r="J221" s="61">
        <v>2058</v>
      </c>
      <c r="K221" s="60" t="s">
        <v>30</v>
      </c>
      <c r="L221" s="62"/>
    </row>
    <row r="222" spans="1:12" s="74" customFormat="1" ht="37.5" x14ac:dyDescent="0.25">
      <c r="A222"/>
      <c r="B222" s="40" t="s">
        <v>423</v>
      </c>
      <c r="C222" s="135" t="s">
        <v>427</v>
      </c>
      <c r="D222" s="42" t="s">
        <v>428</v>
      </c>
      <c r="E222" s="65" t="s">
        <v>103</v>
      </c>
      <c r="F222" s="44">
        <v>2</v>
      </c>
      <c r="G222" s="45"/>
      <c r="H222" s="128"/>
      <c r="I222" s="60">
        <f t="shared" si="39"/>
        <v>0</v>
      </c>
      <c r="J222" s="61">
        <v>2058</v>
      </c>
      <c r="K222" s="60" t="s">
        <v>30</v>
      </c>
      <c r="L222" s="62"/>
    </row>
    <row r="223" spans="1:12" s="74" customFormat="1" ht="37.5" x14ac:dyDescent="0.25">
      <c r="A223"/>
      <c r="B223" s="129" t="s">
        <v>423</v>
      </c>
      <c r="C223" s="135" t="s">
        <v>429</v>
      </c>
      <c r="D223" s="130" t="s">
        <v>430</v>
      </c>
      <c r="E223" s="131" t="s">
        <v>103</v>
      </c>
      <c r="F223" s="127">
        <v>1</v>
      </c>
      <c r="G223" s="132"/>
      <c r="H223" s="133"/>
      <c r="I223" s="134">
        <f t="shared" si="39"/>
        <v>0</v>
      </c>
      <c r="J223" s="61">
        <v>2058</v>
      </c>
      <c r="K223" s="60" t="s">
        <v>30</v>
      </c>
      <c r="L223" s="62"/>
    </row>
    <row r="224" spans="1:12" s="74" customFormat="1" ht="18.75" x14ac:dyDescent="0.25">
      <c r="A224"/>
      <c r="B224" s="129" t="s">
        <v>423</v>
      </c>
      <c r="C224" s="135" t="s">
        <v>431</v>
      </c>
      <c r="D224" s="130" t="s">
        <v>432</v>
      </c>
      <c r="E224" s="131" t="s">
        <v>103</v>
      </c>
      <c r="F224" s="127">
        <v>5</v>
      </c>
      <c r="G224" s="132"/>
      <c r="H224" s="133"/>
      <c r="I224" s="134">
        <f t="shared" si="39"/>
        <v>0</v>
      </c>
      <c r="J224" s="61">
        <v>2058</v>
      </c>
      <c r="K224" s="60" t="s">
        <v>30</v>
      </c>
      <c r="L224" s="62"/>
    </row>
    <row r="225" spans="1:12" s="74" customFormat="1" ht="37.5" x14ac:dyDescent="0.25">
      <c r="A225"/>
      <c r="B225" s="40" t="s">
        <v>423</v>
      </c>
      <c r="C225" s="135" t="s">
        <v>433</v>
      </c>
      <c r="D225" s="42" t="s">
        <v>434</v>
      </c>
      <c r="E225" s="65" t="s">
        <v>103</v>
      </c>
      <c r="F225" s="44">
        <v>1</v>
      </c>
      <c r="G225" s="45"/>
      <c r="H225" s="128"/>
      <c r="I225" s="60">
        <f t="shared" si="39"/>
        <v>0</v>
      </c>
      <c r="J225" s="61">
        <v>2058</v>
      </c>
      <c r="K225" s="60" t="s">
        <v>30</v>
      </c>
      <c r="L225" s="62"/>
    </row>
    <row r="226" spans="1:12" s="74" customFormat="1" ht="18.75" x14ac:dyDescent="0.25">
      <c r="A226"/>
      <c r="B226" s="141" t="s">
        <v>423</v>
      </c>
      <c r="C226" s="135" t="s">
        <v>435</v>
      </c>
      <c r="D226" s="42" t="s">
        <v>436</v>
      </c>
      <c r="E226" s="65" t="s">
        <v>103</v>
      </c>
      <c r="F226" s="44">
        <v>2</v>
      </c>
      <c r="G226" s="45"/>
      <c r="H226" s="128"/>
      <c r="I226" s="60">
        <f t="shared" si="39"/>
        <v>0</v>
      </c>
      <c r="J226" s="61">
        <v>2058</v>
      </c>
      <c r="K226" s="60" t="s">
        <v>30</v>
      </c>
      <c r="L226" s="62"/>
    </row>
    <row r="227" spans="1:12" s="74" customFormat="1" ht="18.75" x14ac:dyDescent="0.25">
      <c r="A227"/>
      <c r="B227" s="129" t="s">
        <v>423</v>
      </c>
      <c r="C227" s="135" t="s">
        <v>437</v>
      </c>
      <c r="D227" s="130" t="s">
        <v>438</v>
      </c>
      <c r="E227" s="131" t="s">
        <v>103</v>
      </c>
      <c r="F227" s="127">
        <v>1</v>
      </c>
      <c r="G227" s="132"/>
      <c r="H227" s="133"/>
      <c r="I227" s="134">
        <f t="shared" si="39"/>
        <v>0</v>
      </c>
      <c r="J227" s="61">
        <v>2058</v>
      </c>
      <c r="K227" s="60" t="s">
        <v>30</v>
      </c>
      <c r="L227" s="62"/>
    </row>
    <row r="228" spans="1:12" s="74" customFormat="1" ht="281.25" x14ac:dyDescent="0.25">
      <c r="A228"/>
      <c r="B228" s="129">
        <v>221316</v>
      </c>
      <c r="C228" s="135"/>
      <c r="D228" s="136" t="s">
        <v>439</v>
      </c>
      <c r="E228" s="134"/>
      <c r="F228" s="127"/>
      <c r="G228" s="132"/>
      <c r="H228" s="133"/>
      <c r="I228" s="134"/>
      <c r="J228" s="129"/>
      <c r="K228" s="134"/>
      <c r="L228" s="137"/>
    </row>
    <row r="229" spans="1:12" s="74" customFormat="1" ht="18.75" x14ac:dyDescent="0.25">
      <c r="A229"/>
      <c r="B229" s="129">
        <v>221316</v>
      </c>
      <c r="C229" s="135" t="s">
        <v>440</v>
      </c>
      <c r="D229" s="130" t="s">
        <v>375</v>
      </c>
      <c r="E229" s="131" t="s">
        <v>75</v>
      </c>
      <c r="F229" s="127">
        <v>7</v>
      </c>
      <c r="G229" s="132"/>
      <c r="H229" s="133"/>
      <c r="I229" s="134">
        <f t="shared" ref="I229:I231" si="40">F229*G229</f>
        <v>0</v>
      </c>
      <c r="J229" s="61">
        <v>2064</v>
      </c>
      <c r="K229" s="60" t="s">
        <v>30</v>
      </c>
      <c r="L229" s="62"/>
    </row>
    <row r="230" spans="1:12" s="74" customFormat="1" ht="18.75" x14ac:dyDescent="0.25">
      <c r="A230"/>
      <c r="B230" s="129">
        <v>221316</v>
      </c>
      <c r="C230" s="135" t="s">
        <v>441</v>
      </c>
      <c r="D230" s="130" t="s">
        <v>380</v>
      </c>
      <c r="E230" s="131" t="s">
        <v>75</v>
      </c>
      <c r="F230" s="127">
        <v>35</v>
      </c>
      <c r="G230" s="132"/>
      <c r="H230" s="133"/>
      <c r="I230" s="134">
        <f t="shared" si="40"/>
        <v>0</v>
      </c>
      <c r="J230" s="61">
        <v>2064</v>
      </c>
      <c r="K230" s="60" t="s">
        <v>30</v>
      </c>
      <c r="L230" s="62"/>
    </row>
    <row r="231" spans="1:12" s="74" customFormat="1" ht="18.75" x14ac:dyDescent="0.25">
      <c r="A231"/>
      <c r="B231" s="129">
        <v>221316</v>
      </c>
      <c r="C231" s="135" t="s">
        <v>442</v>
      </c>
      <c r="D231" s="130" t="s">
        <v>382</v>
      </c>
      <c r="E231" s="131" t="s">
        <v>75</v>
      </c>
      <c r="F231" s="127">
        <v>30</v>
      </c>
      <c r="G231" s="132"/>
      <c r="H231" s="133"/>
      <c r="I231" s="134">
        <f t="shared" si="40"/>
        <v>0</v>
      </c>
      <c r="J231" s="61">
        <v>2064</v>
      </c>
      <c r="K231" s="60" t="s">
        <v>30</v>
      </c>
      <c r="L231" s="62"/>
    </row>
    <row r="232" spans="1:12" s="74" customFormat="1" ht="75" x14ac:dyDescent="0.25">
      <c r="A232"/>
      <c r="B232" s="129">
        <v>221316</v>
      </c>
      <c r="C232" s="135"/>
      <c r="D232" s="136" t="s">
        <v>443</v>
      </c>
      <c r="E232" s="134"/>
      <c r="F232" s="127"/>
      <c r="G232" s="132"/>
      <c r="H232" s="133"/>
      <c r="I232" s="134"/>
      <c r="J232" s="129"/>
      <c r="K232" s="134"/>
      <c r="L232" s="137"/>
    </row>
    <row r="233" spans="1:12" s="74" customFormat="1" ht="18.75" x14ac:dyDescent="0.25">
      <c r="A233"/>
      <c r="B233" s="129">
        <v>221316</v>
      </c>
      <c r="C233" s="135" t="s">
        <v>444</v>
      </c>
      <c r="D233" s="130" t="s">
        <v>375</v>
      </c>
      <c r="E233" s="131" t="s">
        <v>75</v>
      </c>
      <c r="F233" s="127">
        <v>20</v>
      </c>
      <c r="G233" s="132"/>
      <c r="H233" s="133"/>
      <c r="I233" s="134">
        <f t="shared" ref="I233" si="41">F233*G233</f>
        <v>0</v>
      </c>
      <c r="J233" s="61">
        <v>2065</v>
      </c>
      <c r="K233" s="60" t="s">
        <v>30</v>
      </c>
      <c r="L233" s="62"/>
    </row>
    <row r="234" spans="1:12" s="74" customFormat="1" ht="56.25" x14ac:dyDescent="0.25">
      <c r="A234"/>
      <c r="B234" s="129">
        <v>221316</v>
      </c>
      <c r="C234" s="135"/>
      <c r="D234" s="136" t="s">
        <v>445</v>
      </c>
      <c r="E234" s="134"/>
      <c r="F234" s="127"/>
      <c r="G234" s="132"/>
      <c r="H234" s="133"/>
      <c r="I234" s="134"/>
      <c r="J234" s="129"/>
      <c r="K234" s="134"/>
      <c r="L234" s="137"/>
    </row>
    <row r="235" spans="1:12" s="74" customFormat="1" ht="18.75" x14ac:dyDescent="0.25">
      <c r="A235"/>
      <c r="B235" s="129">
        <v>221316</v>
      </c>
      <c r="C235" s="135" t="s">
        <v>446</v>
      </c>
      <c r="D235" s="130" t="s">
        <v>375</v>
      </c>
      <c r="E235" s="131" t="s">
        <v>75</v>
      </c>
      <c r="F235" s="127">
        <v>10</v>
      </c>
      <c r="G235" s="132"/>
      <c r="H235" s="133"/>
      <c r="I235" s="134">
        <f t="shared" ref="I235" si="42">F235*G235</f>
        <v>0</v>
      </c>
      <c r="J235" s="61">
        <v>2065</v>
      </c>
      <c r="K235" s="60" t="s">
        <v>30</v>
      </c>
      <c r="L235" s="62"/>
    </row>
    <row r="236" spans="1:12" s="74" customFormat="1" ht="75" x14ac:dyDescent="0.25">
      <c r="A236"/>
      <c r="B236" s="129">
        <v>221316</v>
      </c>
      <c r="C236" s="135"/>
      <c r="D236" s="136" t="s">
        <v>447</v>
      </c>
      <c r="E236" s="134"/>
      <c r="F236" s="127"/>
      <c r="G236" s="132"/>
      <c r="H236" s="133"/>
      <c r="I236" s="134"/>
      <c r="J236" s="129"/>
      <c r="K236" s="134"/>
      <c r="L236" s="137"/>
    </row>
    <row r="237" spans="1:12" s="74" customFormat="1" ht="18.75" x14ac:dyDescent="0.25">
      <c r="A237"/>
      <c r="B237" s="129">
        <v>221316</v>
      </c>
      <c r="C237" s="135" t="s">
        <v>448</v>
      </c>
      <c r="D237" s="130" t="s">
        <v>375</v>
      </c>
      <c r="E237" s="131" t="s">
        <v>75</v>
      </c>
      <c r="F237" s="127">
        <v>40</v>
      </c>
      <c r="G237" s="132"/>
      <c r="H237" s="133"/>
      <c r="I237" s="134">
        <f t="shared" ref="I237" si="43">F237*G237</f>
        <v>0</v>
      </c>
      <c r="J237" s="61">
        <v>2065</v>
      </c>
      <c r="K237" s="60" t="s">
        <v>30</v>
      </c>
      <c r="L237" s="62"/>
    </row>
    <row r="238" spans="1:12" s="74" customFormat="1" ht="75" x14ac:dyDescent="0.25">
      <c r="A238"/>
      <c r="B238" s="129">
        <v>221316</v>
      </c>
      <c r="C238" s="135"/>
      <c r="D238" s="136" t="s">
        <v>449</v>
      </c>
      <c r="E238" s="134"/>
      <c r="F238" s="127"/>
      <c r="G238" s="132"/>
      <c r="H238" s="133"/>
      <c r="I238" s="134"/>
      <c r="J238" s="129"/>
      <c r="K238" s="134"/>
      <c r="L238" s="137"/>
    </row>
    <row r="239" spans="1:12" s="74" customFormat="1" ht="18.75" x14ac:dyDescent="0.25">
      <c r="A239"/>
      <c r="B239" s="129">
        <v>221316</v>
      </c>
      <c r="C239" s="135" t="s">
        <v>450</v>
      </c>
      <c r="D239" s="130" t="s">
        <v>380</v>
      </c>
      <c r="E239" s="131" t="s">
        <v>75</v>
      </c>
      <c r="F239" s="127">
        <v>5</v>
      </c>
      <c r="G239" s="132"/>
      <c r="H239" s="133"/>
      <c r="I239" s="134">
        <f t="shared" ref="I239:I240" si="44">F239*G239</f>
        <v>0</v>
      </c>
      <c r="J239" s="61">
        <v>2064</v>
      </c>
      <c r="K239" s="60" t="s">
        <v>30</v>
      </c>
      <c r="L239" s="62"/>
    </row>
    <row r="240" spans="1:12" s="74" customFormat="1" ht="18.75" x14ac:dyDescent="0.25">
      <c r="A240"/>
      <c r="B240" s="129">
        <v>221316</v>
      </c>
      <c r="C240" s="135" t="s">
        <v>451</v>
      </c>
      <c r="D240" s="130" t="s">
        <v>382</v>
      </c>
      <c r="E240" s="131" t="s">
        <v>75</v>
      </c>
      <c r="F240" s="127">
        <v>10</v>
      </c>
      <c r="G240" s="132"/>
      <c r="H240" s="133"/>
      <c r="I240" s="134">
        <f t="shared" si="44"/>
        <v>0</v>
      </c>
      <c r="J240" s="61">
        <v>2064</v>
      </c>
      <c r="K240" s="60" t="s">
        <v>30</v>
      </c>
      <c r="L240" s="62"/>
    </row>
    <row r="241" spans="1:12" s="74" customFormat="1" ht="75" x14ac:dyDescent="0.25">
      <c r="A241"/>
      <c r="B241" s="129">
        <v>221316</v>
      </c>
      <c r="C241" s="135"/>
      <c r="D241" s="136" t="s">
        <v>452</v>
      </c>
      <c r="E241" s="134"/>
      <c r="F241" s="127"/>
      <c r="G241" s="132"/>
      <c r="H241" s="133"/>
      <c r="I241" s="134"/>
      <c r="J241" s="129"/>
      <c r="K241" s="134"/>
      <c r="L241" s="137"/>
    </row>
    <row r="242" spans="1:12" s="74" customFormat="1" ht="18.75" x14ac:dyDescent="0.25">
      <c r="A242"/>
      <c r="B242" s="129">
        <v>221316</v>
      </c>
      <c r="C242" s="135" t="s">
        <v>453</v>
      </c>
      <c r="D242" s="130" t="s">
        <v>375</v>
      </c>
      <c r="E242" s="131" t="s">
        <v>75</v>
      </c>
      <c r="F242" s="127">
        <v>5</v>
      </c>
      <c r="G242" s="132"/>
      <c r="H242" s="133"/>
      <c r="I242" s="134">
        <f t="shared" ref="I242" si="45">F242*G242</f>
        <v>0</v>
      </c>
      <c r="J242" s="61">
        <v>2065</v>
      </c>
      <c r="K242" s="60" t="s">
        <v>30</v>
      </c>
      <c r="L242" s="62"/>
    </row>
    <row r="243" spans="1:12" s="74" customFormat="1" ht="75" x14ac:dyDescent="0.25">
      <c r="A243"/>
      <c r="B243" s="129">
        <v>221316</v>
      </c>
      <c r="C243" s="135"/>
      <c r="D243" s="136" t="s">
        <v>454</v>
      </c>
      <c r="E243" s="134"/>
      <c r="F243" s="127"/>
      <c r="G243" s="132"/>
      <c r="H243" s="133"/>
      <c r="I243" s="134"/>
      <c r="J243" s="129"/>
      <c r="K243" s="134"/>
      <c r="L243" s="137"/>
    </row>
    <row r="244" spans="1:12" s="74" customFormat="1" ht="18.75" x14ac:dyDescent="0.25">
      <c r="A244"/>
      <c r="B244" s="129">
        <v>221316</v>
      </c>
      <c r="C244" s="135" t="s">
        <v>455</v>
      </c>
      <c r="D244" s="130" t="s">
        <v>456</v>
      </c>
      <c r="E244" s="131" t="s">
        <v>75</v>
      </c>
      <c r="F244" s="127">
        <v>25</v>
      </c>
      <c r="G244" s="132"/>
      <c r="H244" s="133"/>
      <c r="I244" s="134">
        <f t="shared" ref="I244:I248" si="46">F244*G244</f>
        <v>0</v>
      </c>
      <c r="J244" s="61" t="s">
        <v>167</v>
      </c>
      <c r="K244" s="60" t="s">
        <v>168</v>
      </c>
      <c r="L244" s="62"/>
    </row>
    <row r="245" spans="1:12" s="74" customFormat="1" ht="18.75" x14ac:dyDescent="0.25">
      <c r="A245"/>
      <c r="B245" s="129">
        <v>221316</v>
      </c>
      <c r="C245" s="135" t="s">
        <v>457</v>
      </c>
      <c r="D245" s="130" t="s">
        <v>369</v>
      </c>
      <c r="E245" s="131" t="s">
        <v>75</v>
      </c>
      <c r="F245" s="127">
        <v>20</v>
      </c>
      <c r="G245" s="132"/>
      <c r="H245" s="133"/>
      <c r="I245" s="134">
        <f t="shared" si="46"/>
        <v>0</v>
      </c>
      <c r="J245" s="61" t="s">
        <v>167</v>
      </c>
      <c r="K245" s="60" t="s">
        <v>168</v>
      </c>
      <c r="L245" s="62"/>
    </row>
    <row r="246" spans="1:12" s="74" customFormat="1" ht="18.75" x14ac:dyDescent="0.25">
      <c r="A246"/>
      <c r="B246" s="129">
        <v>221316</v>
      </c>
      <c r="C246" s="135" t="s">
        <v>458</v>
      </c>
      <c r="D246" s="130" t="s">
        <v>371</v>
      </c>
      <c r="E246" s="131" t="s">
        <v>75</v>
      </c>
      <c r="F246" s="127">
        <v>15</v>
      </c>
      <c r="G246" s="132"/>
      <c r="H246" s="133"/>
      <c r="I246" s="134">
        <f t="shared" si="46"/>
        <v>0</v>
      </c>
      <c r="J246" s="61" t="s">
        <v>167</v>
      </c>
      <c r="K246" s="60" t="s">
        <v>168</v>
      </c>
      <c r="L246" s="62"/>
    </row>
    <row r="247" spans="1:12" s="74" customFormat="1" ht="18.75" x14ac:dyDescent="0.25">
      <c r="A247"/>
      <c r="B247" s="129">
        <v>221317</v>
      </c>
      <c r="C247" s="135" t="s">
        <v>459</v>
      </c>
      <c r="D247" s="130" t="s">
        <v>373</v>
      </c>
      <c r="E247" s="131" t="s">
        <v>75</v>
      </c>
      <c r="F247" s="127">
        <v>15</v>
      </c>
      <c r="G247" s="132"/>
      <c r="H247" s="133"/>
      <c r="I247" s="134">
        <f>F247*G247</f>
        <v>0</v>
      </c>
      <c r="J247" s="61" t="s">
        <v>167</v>
      </c>
      <c r="K247" s="60" t="s">
        <v>168</v>
      </c>
      <c r="L247" s="62"/>
    </row>
    <row r="248" spans="1:12" s="74" customFormat="1" ht="18.75" x14ac:dyDescent="0.25">
      <c r="A248"/>
      <c r="B248" s="129">
        <v>221316</v>
      </c>
      <c r="C248" s="135" t="s">
        <v>460</v>
      </c>
      <c r="D248" s="130" t="s">
        <v>375</v>
      </c>
      <c r="E248" s="131" t="s">
        <v>75</v>
      </c>
      <c r="F248" s="127">
        <v>10</v>
      </c>
      <c r="G248" s="132"/>
      <c r="H248" s="133"/>
      <c r="I248" s="134">
        <f t="shared" si="46"/>
        <v>0</v>
      </c>
      <c r="J248" s="61" t="s">
        <v>167</v>
      </c>
      <c r="K248" s="60" t="s">
        <v>168</v>
      </c>
      <c r="L248" s="62"/>
    </row>
    <row r="249" spans="1:12" s="74" customFormat="1" ht="18.75" x14ac:dyDescent="0.25">
      <c r="A249"/>
      <c r="B249" s="129" t="s">
        <v>461</v>
      </c>
      <c r="C249" s="135"/>
      <c r="D249" s="136" t="s">
        <v>462</v>
      </c>
      <c r="E249" s="134"/>
      <c r="F249" s="127"/>
      <c r="G249" s="132"/>
      <c r="H249" s="133"/>
      <c r="I249" s="134"/>
      <c r="J249" s="61"/>
      <c r="K249" s="60"/>
      <c r="L249" s="62"/>
    </row>
    <row r="250" spans="1:12" s="74" customFormat="1" ht="18.75" x14ac:dyDescent="0.25">
      <c r="A250"/>
      <c r="B250" s="129" t="s">
        <v>461</v>
      </c>
      <c r="C250" s="135" t="s">
        <v>463</v>
      </c>
      <c r="D250" s="130" t="s">
        <v>464</v>
      </c>
      <c r="E250" s="131" t="s">
        <v>103</v>
      </c>
      <c r="F250" s="127">
        <v>2</v>
      </c>
      <c r="G250" s="132"/>
      <c r="H250" s="133"/>
      <c r="I250" s="134">
        <f t="shared" ref="I250:I260" si="47">F250*G250</f>
        <v>0</v>
      </c>
      <c r="J250" s="61" t="s">
        <v>167</v>
      </c>
      <c r="K250" s="60" t="s">
        <v>168</v>
      </c>
      <c r="L250" s="62"/>
    </row>
    <row r="251" spans="1:12" s="74" customFormat="1" ht="18.75" x14ac:dyDescent="0.25">
      <c r="A251"/>
      <c r="B251" s="129" t="s">
        <v>461</v>
      </c>
      <c r="C251" s="135" t="s">
        <v>465</v>
      </c>
      <c r="D251" s="130" t="s">
        <v>466</v>
      </c>
      <c r="E251" s="131" t="s">
        <v>103</v>
      </c>
      <c r="F251" s="127">
        <v>2</v>
      </c>
      <c r="G251" s="132"/>
      <c r="H251" s="133"/>
      <c r="I251" s="134">
        <f t="shared" si="47"/>
        <v>0</v>
      </c>
      <c r="J251" s="61" t="s">
        <v>167</v>
      </c>
      <c r="K251" s="60" t="s">
        <v>168</v>
      </c>
      <c r="L251" s="62"/>
    </row>
    <row r="252" spans="1:12" s="74" customFormat="1" ht="18.75" x14ac:dyDescent="0.25">
      <c r="A252"/>
      <c r="B252" s="129" t="s">
        <v>461</v>
      </c>
      <c r="C252" s="135" t="s">
        <v>467</v>
      </c>
      <c r="D252" s="130" t="s">
        <v>468</v>
      </c>
      <c r="E252" s="131" t="s">
        <v>103</v>
      </c>
      <c r="F252" s="127">
        <v>3</v>
      </c>
      <c r="G252" s="132"/>
      <c r="H252" s="133"/>
      <c r="I252" s="134">
        <f t="shared" si="47"/>
        <v>0</v>
      </c>
      <c r="J252" s="61" t="s">
        <v>167</v>
      </c>
      <c r="K252" s="60" t="s">
        <v>168</v>
      </c>
      <c r="L252" s="62"/>
    </row>
    <row r="253" spans="1:12" s="74" customFormat="1" ht="18.75" x14ac:dyDescent="0.25">
      <c r="A253"/>
      <c r="B253" s="129" t="s">
        <v>469</v>
      </c>
      <c r="C253" s="135" t="s">
        <v>470</v>
      </c>
      <c r="D253" s="130" t="s">
        <v>471</v>
      </c>
      <c r="E253" s="131" t="s">
        <v>103</v>
      </c>
      <c r="F253" s="127">
        <v>1</v>
      </c>
      <c r="G253" s="132"/>
      <c r="H253" s="133"/>
      <c r="I253" s="134">
        <f t="shared" si="47"/>
        <v>0</v>
      </c>
      <c r="J253" s="61" t="s">
        <v>167</v>
      </c>
      <c r="K253" s="60" t="s">
        <v>168</v>
      </c>
      <c r="L253" s="62"/>
    </row>
    <row r="254" spans="1:12" s="74" customFormat="1" ht="18.75" x14ac:dyDescent="0.25">
      <c r="A254"/>
      <c r="B254" s="129" t="s">
        <v>461</v>
      </c>
      <c r="C254" s="135" t="s">
        <v>472</v>
      </c>
      <c r="D254" s="130" t="s">
        <v>473</v>
      </c>
      <c r="E254" s="131" t="s">
        <v>103</v>
      </c>
      <c r="F254" s="127">
        <v>5</v>
      </c>
      <c r="G254" s="132"/>
      <c r="H254" s="133"/>
      <c r="I254" s="134">
        <f t="shared" si="47"/>
        <v>0</v>
      </c>
      <c r="J254" s="61" t="s">
        <v>167</v>
      </c>
      <c r="K254" s="60" t="s">
        <v>168</v>
      </c>
      <c r="L254" s="62"/>
    </row>
    <row r="255" spans="1:12" s="74" customFormat="1" ht="18.75" x14ac:dyDescent="0.25">
      <c r="A255"/>
      <c r="B255" s="129" t="s">
        <v>469</v>
      </c>
      <c r="C255" s="135" t="s">
        <v>474</v>
      </c>
      <c r="D255" s="130" t="s">
        <v>475</v>
      </c>
      <c r="E255" s="131" t="s">
        <v>103</v>
      </c>
      <c r="F255" s="127">
        <v>2</v>
      </c>
      <c r="G255" s="132"/>
      <c r="H255" s="133"/>
      <c r="I255" s="134">
        <f t="shared" si="47"/>
        <v>0</v>
      </c>
      <c r="J255" s="61" t="s">
        <v>167</v>
      </c>
      <c r="K255" s="60" t="s">
        <v>168</v>
      </c>
      <c r="L255" s="62"/>
    </row>
    <row r="256" spans="1:12" s="74" customFormat="1" ht="18.75" x14ac:dyDescent="0.25">
      <c r="A256"/>
      <c r="B256" s="129" t="s">
        <v>461</v>
      </c>
      <c r="C256" s="135" t="s">
        <v>476</v>
      </c>
      <c r="D256" s="130" t="s">
        <v>477</v>
      </c>
      <c r="E256" s="131" t="s">
        <v>103</v>
      </c>
      <c r="F256" s="127">
        <v>2</v>
      </c>
      <c r="G256" s="132"/>
      <c r="H256" s="133"/>
      <c r="I256" s="134">
        <f t="shared" si="47"/>
        <v>0</v>
      </c>
      <c r="J256" s="61" t="s">
        <v>167</v>
      </c>
      <c r="K256" s="60" t="s">
        <v>168</v>
      </c>
      <c r="L256" s="62"/>
    </row>
    <row r="257" spans="1:12" s="74" customFormat="1" ht="18.75" x14ac:dyDescent="0.25">
      <c r="A257"/>
      <c r="B257" s="129" t="s">
        <v>461</v>
      </c>
      <c r="C257" s="135" t="s">
        <v>478</v>
      </c>
      <c r="D257" s="130" t="s">
        <v>479</v>
      </c>
      <c r="E257" s="131" t="s">
        <v>103</v>
      </c>
      <c r="F257" s="127">
        <v>2</v>
      </c>
      <c r="G257" s="132"/>
      <c r="H257" s="133"/>
      <c r="I257" s="134">
        <f t="shared" si="47"/>
        <v>0</v>
      </c>
      <c r="J257" s="61" t="s">
        <v>167</v>
      </c>
      <c r="K257" s="60" t="s">
        <v>168</v>
      </c>
      <c r="L257" s="62"/>
    </row>
    <row r="258" spans="1:12" s="74" customFormat="1" ht="18.75" x14ac:dyDescent="0.25">
      <c r="A258"/>
      <c r="B258" s="129" t="s">
        <v>461</v>
      </c>
      <c r="C258" s="135" t="s">
        <v>480</v>
      </c>
      <c r="D258" s="130" t="s">
        <v>481</v>
      </c>
      <c r="E258" s="131" t="s">
        <v>103</v>
      </c>
      <c r="F258" s="127">
        <v>2</v>
      </c>
      <c r="G258" s="132"/>
      <c r="H258" s="133"/>
      <c r="I258" s="134">
        <f t="shared" si="47"/>
        <v>0</v>
      </c>
      <c r="J258" s="61" t="s">
        <v>167</v>
      </c>
      <c r="K258" s="60" t="s">
        <v>168</v>
      </c>
      <c r="L258" s="62"/>
    </row>
    <row r="259" spans="1:12" s="74" customFormat="1" ht="18.75" x14ac:dyDescent="0.25">
      <c r="A259"/>
      <c r="B259" s="129" t="s">
        <v>461</v>
      </c>
      <c r="C259" s="135" t="s">
        <v>482</v>
      </c>
      <c r="D259" s="130" t="s">
        <v>483</v>
      </c>
      <c r="E259" s="131" t="s">
        <v>103</v>
      </c>
      <c r="F259" s="127">
        <v>2</v>
      </c>
      <c r="G259" s="132"/>
      <c r="H259" s="133"/>
      <c r="I259" s="134">
        <f t="shared" si="47"/>
        <v>0</v>
      </c>
      <c r="J259" s="61" t="s">
        <v>167</v>
      </c>
      <c r="K259" s="60" t="s">
        <v>168</v>
      </c>
      <c r="L259" s="62"/>
    </row>
    <row r="260" spans="1:12" s="74" customFormat="1" ht="18.75" x14ac:dyDescent="0.25">
      <c r="A260"/>
      <c r="B260" s="129" t="s">
        <v>461</v>
      </c>
      <c r="C260" s="135" t="s">
        <v>484</v>
      </c>
      <c r="D260" s="130" t="s">
        <v>485</v>
      </c>
      <c r="E260" s="131" t="s">
        <v>103</v>
      </c>
      <c r="F260" s="127">
        <v>2</v>
      </c>
      <c r="G260" s="132"/>
      <c r="H260" s="133"/>
      <c r="I260" s="134">
        <f t="shared" si="47"/>
        <v>0</v>
      </c>
      <c r="J260" s="61" t="s">
        <v>167</v>
      </c>
      <c r="K260" s="60" t="s">
        <v>168</v>
      </c>
      <c r="L260" s="62"/>
    </row>
    <row r="261" spans="1:12" s="74" customFormat="1" ht="168.75" x14ac:dyDescent="0.25">
      <c r="A261"/>
      <c r="B261" s="129" t="s">
        <v>486</v>
      </c>
      <c r="C261" s="135"/>
      <c r="D261" s="136" t="s">
        <v>487</v>
      </c>
      <c r="E261" s="134"/>
      <c r="F261" s="127"/>
      <c r="G261" s="132"/>
      <c r="H261" s="133"/>
      <c r="I261" s="134"/>
      <c r="J261" s="61"/>
      <c r="K261" s="60"/>
      <c r="L261" s="62"/>
    </row>
    <row r="262" spans="1:12" s="74" customFormat="1" ht="18.75" x14ac:dyDescent="0.25">
      <c r="A262"/>
      <c r="B262" s="129" t="s">
        <v>486</v>
      </c>
      <c r="C262" s="135" t="s">
        <v>488</v>
      </c>
      <c r="D262" s="130" t="s">
        <v>489</v>
      </c>
      <c r="E262" s="131" t="s">
        <v>103</v>
      </c>
      <c r="F262" s="127">
        <v>1</v>
      </c>
      <c r="G262" s="132"/>
      <c r="H262" s="133"/>
      <c r="I262" s="134">
        <f t="shared" ref="I262:I263" si="48">F262*G262</f>
        <v>0</v>
      </c>
      <c r="J262" s="143">
        <v>2063</v>
      </c>
      <c r="K262" s="60" t="s">
        <v>30</v>
      </c>
      <c r="L262" s="144"/>
    </row>
    <row r="263" spans="1:12" s="74" customFormat="1" ht="18.75" x14ac:dyDescent="0.25">
      <c r="A263"/>
      <c r="B263" s="129" t="s">
        <v>486</v>
      </c>
      <c r="C263" s="135" t="s">
        <v>490</v>
      </c>
      <c r="D263" s="130" t="s">
        <v>491</v>
      </c>
      <c r="E263" s="131" t="s">
        <v>103</v>
      </c>
      <c r="F263" s="127">
        <v>1</v>
      </c>
      <c r="G263" s="132"/>
      <c r="H263" s="133"/>
      <c r="I263" s="134">
        <f t="shared" si="48"/>
        <v>0</v>
      </c>
      <c r="J263" s="143">
        <v>2063</v>
      </c>
      <c r="K263" s="60" t="s">
        <v>30</v>
      </c>
      <c r="L263" s="144"/>
    </row>
    <row r="264" spans="1:12" s="74" customFormat="1" ht="262.5" x14ac:dyDescent="0.25">
      <c r="A264"/>
      <c r="B264" s="129" t="s">
        <v>492</v>
      </c>
      <c r="C264" s="135"/>
      <c r="D264" s="136" t="s">
        <v>493</v>
      </c>
      <c r="E264" s="134"/>
      <c r="F264" s="127"/>
      <c r="G264" s="132"/>
      <c r="H264" s="133"/>
      <c r="I264" s="134"/>
      <c r="J264" s="129"/>
      <c r="K264" s="134"/>
      <c r="L264" s="137"/>
    </row>
    <row r="265" spans="1:12" s="74" customFormat="1" ht="18.75" x14ac:dyDescent="0.25">
      <c r="A265"/>
      <c r="B265" s="129" t="s">
        <v>492</v>
      </c>
      <c r="C265" s="135" t="s">
        <v>494</v>
      </c>
      <c r="D265" s="130" t="s">
        <v>373</v>
      </c>
      <c r="E265" s="131" t="s">
        <v>75</v>
      </c>
      <c r="F265" s="127">
        <v>15</v>
      </c>
      <c r="G265" s="132"/>
      <c r="H265" s="133"/>
      <c r="I265" s="134">
        <f t="shared" ref="I265:I266" si="49">F265*G265</f>
        <v>0</v>
      </c>
      <c r="J265" s="61">
        <v>2104</v>
      </c>
      <c r="K265" s="60" t="s">
        <v>30</v>
      </c>
      <c r="L265" s="62"/>
    </row>
    <row r="266" spans="1:12" s="74" customFormat="1" ht="18.75" x14ac:dyDescent="0.25">
      <c r="A266"/>
      <c r="B266" s="129" t="s">
        <v>495</v>
      </c>
      <c r="C266" s="135" t="s">
        <v>496</v>
      </c>
      <c r="D266" s="130" t="s">
        <v>497</v>
      </c>
      <c r="E266" s="131" t="s">
        <v>75</v>
      </c>
      <c r="F266" s="127">
        <v>15</v>
      </c>
      <c r="G266" s="132"/>
      <c r="H266" s="133"/>
      <c r="I266" s="134">
        <f t="shared" si="49"/>
        <v>0</v>
      </c>
      <c r="J266" s="61">
        <v>2104</v>
      </c>
      <c r="K266" s="60" t="s">
        <v>30</v>
      </c>
      <c r="L266" s="62"/>
    </row>
    <row r="267" spans="1:12" s="74" customFormat="1" ht="75" x14ac:dyDescent="0.25">
      <c r="A267"/>
      <c r="B267" s="129" t="s">
        <v>492</v>
      </c>
      <c r="C267" s="135"/>
      <c r="D267" s="136" t="s">
        <v>498</v>
      </c>
      <c r="E267" s="134"/>
      <c r="F267" s="127"/>
      <c r="G267" s="132"/>
      <c r="H267" s="133"/>
      <c r="I267" s="134"/>
      <c r="J267" s="129"/>
      <c r="K267" s="134"/>
      <c r="L267" s="137"/>
    </row>
    <row r="268" spans="1:12" s="74" customFormat="1" ht="18.75" x14ac:dyDescent="0.25">
      <c r="A268"/>
      <c r="B268" s="129" t="s">
        <v>492</v>
      </c>
      <c r="C268" s="135" t="s">
        <v>499</v>
      </c>
      <c r="D268" s="130" t="s">
        <v>500</v>
      </c>
      <c r="E268" s="131" t="s">
        <v>75</v>
      </c>
      <c r="F268" s="127">
        <v>25</v>
      </c>
      <c r="G268" s="132"/>
      <c r="H268" s="133"/>
      <c r="I268" s="134">
        <f t="shared" ref="I268:I273" si="50">F268*G268</f>
        <v>0</v>
      </c>
      <c r="J268" s="61">
        <v>2062</v>
      </c>
      <c r="K268" s="60" t="s">
        <v>30</v>
      </c>
      <c r="L268" s="62"/>
    </row>
    <row r="269" spans="1:12" s="74" customFormat="1" ht="18.75" x14ac:dyDescent="0.25">
      <c r="A269"/>
      <c r="B269" s="129" t="s">
        <v>492</v>
      </c>
      <c r="C269" s="135" t="s">
        <v>501</v>
      </c>
      <c r="D269" s="130" t="s">
        <v>456</v>
      </c>
      <c r="E269" s="131" t="s">
        <v>75</v>
      </c>
      <c r="F269" s="127">
        <v>30</v>
      </c>
      <c r="G269" s="132"/>
      <c r="H269" s="133"/>
      <c r="I269" s="134">
        <f t="shared" si="50"/>
        <v>0</v>
      </c>
      <c r="J269" s="61">
        <v>2062</v>
      </c>
      <c r="K269" s="60" t="s">
        <v>30</v>
      </c>
      <c r="L269" s="62"/>
    </row>
    <row r="270" spans="1:12" s="74" customFormat="1" ht="18.75" x14ac:dyDescent="0.25">
      <c r="A270"/>
      <c r="B270" s="129" t="s">
        <v>492</v>
      </c>
      <c r="C270" s="135" t="s">
        <v>502</v>
      </c>
      <c r="D270" s="130" t="s">
        <v>369</v>
      </c>
      <c r="E270" s="131" t="s">
        <v>75</v>
      </c>
      <c r="F270" s="127">
        <v>45</v>
      </c>
      <c r="G270" s="132"/>
      <c r="H270" s="133"/>
      <c r="I270" s="134">
        <f t="shared" si="50"/>
        <v>0</v>
      </c>
      <c r="J270" s="61">
        <v>2062</v>
      </c>
      <c r="K270" s="60" t="s">
        <v>30</v>
      </c>
      <c r="L270" s="62"/>
    </row>
    <row r="271" spans="1:12" s="74" customFormat="1" ht="18.75" x14ac:dyDescent="0.25">
      <c r="A271"/>
      <c r="B271" s="129" t="s">
        <v>492</v>
      </c>
      <c r="C271" s="135" t="s">
        <v>503</v>
      </c>
      <c r="D271" s="130" t="s">
        <v>371</v>
      </c>
      <c r="E271" s="131" t="s">
        <v>75</v>
      </c>
      <c r="F271" s="127">
        <v>10</v>
      </c>
      <c r="G271" s="132"/>
      <c r="H271" s="133"/>
      <c r="I271" s="134">
        <f t="shared" si="50"/>
        <v>0</v>
      </c>
      <c r="J271" s="61">
        <v>2062</v>
      </c>
      <c r="K271" s="60" t="s">
        <v>30</v>
      </c>
      <c r="L271" s="62"/>
    </row>
    <row r="272" spans="1:12" s="74" customFormat="1" ht="18.75" x14ac:dyDescent="0.25">
      <c r="A272"/>
      <c r="B272" s="129" t="s">
        <v>492</v>
      </c>
      <c r="C272" s="135" t="s">
        <v>504</v>
      </c>
      <c r="D272" s="130" t="s">
        <v>373</v>
      </c>
      <c r="E272" s="131" t="s">
        <v>75</v>
      </c>
      <c r="F272" s="127">
        <v>15</v>
      </c>
      <c r="G272" s="132"/>
      <c r="H272" s="133"/>
      <c r="I272" s="134">
        <f t="shared" si="50"/>
        <v>0</v>
      </c>
      <c r="J272" s="61">
        <v>2062</v>
      </c>
      <c r="K272" s="60" t="s">
        <v>30</v>
      </c>
      <c r="L272" s="62"/>
    </row>
    <row r="273" spans="1:12" s="74" customFormat="1" ht="18.75" x14ac:dyDescent="0.25">
      <c r="A273"/>
      <c r="B273" s="129" t="s">
        <v>495</v>
      </c>
      <c r="C273" s="135" t="s">
        <v>505</v>
      </c>
      <c r="D273" s="130" t="s">
        <v>375</v>
      </c>
      <c r="E273" s="131" t="s">
        <v>75</v>
      </c>
      <c r="F273" s="127">
        <v>10</v>
      </c>
      <c r="G273" s="132"/>
      <c r="H273" s="133"/>
      <c r="I273" s="134">
        <f t="shared" si="50"/>
        <v>0</v>
      </c>
      <c r="J273" s="61">
        <v>2063</v>
      </c>
      <c r="K273" s="60" t="s">
        <v>30</v>
      </c>
      <c r="L273" s="62"/>
    </row>
    <row r="274" spans="1:12" s="74" customFormat="1" ht="93.75" x14ac:dyDescent="0.25">
      <c r="A274"/>
      <c r="B274" s="129" t="s">
        <v>492</v>
      </c>
      <c r="C274" s="135"/>
      <c r="D274" s="136" t="s">
        <v>506</v>
      </c>
      <c r="E274" s="134"/>
      <c r="F274" s="127"/>
      <c r="G274" s="132"/>
      <c r="H274" s="133"/>
      <c r="I274" s="134"/>
      <c r="J274" s="129"/>
      <c r="K274" s="134"/>
      <c r="L274" s="137"/>
    </row>
    <row r="275" spans="1:12" s="74" customFormat="1" ht="18.75" x14ac:dyDescent="0.25">
      <c r="A275"/>
      <c r="B275" s="129" t="s">
        <v>492</v>
      </c>
      <c r="C275" s="135" t="s">
        <v>507</v>
      </c>
      <c r="D275" s="130" t="s">
        <v>456</v>
      </c>
      <c r="E275" s="131" t="s">
        <v>75</v>
      </c>
      <c r="F275" s="127">
        <v>30</v>
      </c>
      <c r="G275" s="132"/>
      <c r="H275" s="133"/>
      <c r="I275" s="134">
        <f t="shared" ref="I275:I277" si="51">F275*G275</f>
        <v>0</v>
      </c>
      <c r="J275" s="61">
        <v>2062</v>
      </c>
      <c r="K275" s="60" t="s">
        <v>30</v>
      </c>
      <c r="L275" s="62"/>
    </row>
    <row r="276" spans="1:12" s="74" customFormat="1" ht="18.75" x14ac:dyDescent="0.25">
      <c r="A276"/>
      <c r="B276" s="129" t="s">
        <v>492</v>
      </c>
      <c r="C276" s="135" t="s">
        <v>508</v>
      </c>
      <c r="D276" s="130" t="s">
        <v>369</v>
      </c>
      <c r="E276" s="131" t="s">
        <v>75</v>
      </c>
      <c r="F276" s="127">
        <v>15</v>
      </c>
      <c r="G276" s="132"/>
      <c r="H276" s="133"/>
      <c r="I276" s="134">
        <f t="shared" si="51"/>
        <v>0</v>
      </c>
      <c r="J276" s="61">
        <v>2062</v>
      </c>
      <c r="K276" s="60" t="s">
        <v>30</v>
      </c>
      <c r="L276" s="62"/>
    </row>
    <row r="277" spans="1:12" s="74" customFormat="1" ht="18.75" x14ac:dyDescent="0.25">
      <c r="A277"/>
      <c r="B277" s="129" t="s">
        <v>495</v>
      </c>
      <c r="C277" s="135" t="s">
        <v>509</v>
      </c>
      <c r="D277" s="130" t="s">
        <v>510</v>
      </c>
      <c r="E277" s="131" t="s">
        <v>75</v>
      </c>
      <c r="F277" s="127">
        <v>5</v>
      </c>
      <c r="G277" s="132"/>
      <c r="H277" s="133"/>
      <c r="I277" s="134">
        <f t="shared" si="51"/>
        <v>0</v>
      </c>
      <c r="J277" s="61">
        <v>2063</v>
      </c>
      <c r="K277" s="60" t="s">
        <v>30</v>
      </c>
      <c r="L277" s="62"/>
    </row>
    <row r="278" spans="1:12" s="74" customFormat="1" ht="18.75" x14ac:dyDescent="0.25">
      <c r="A278"/>
      <c r="B278" s="129" t="s">
        <v>511</v>
      </c>
      <c r="C278" s="135"/>
      <c r="D278" s="136" t="s">
        <v>462</v>
      </c>
      <c r="E278" s="134"/>
      <c r="F278" s="127"/>
      <c r="G278" s="132"/>
      <c r="H278" s="133"/>
      <c r="I278" s="134"/>
      <c r="J278" s="129"/>
      <c r="K278" s="134"/>
      <c r="L278" s="137"/>
    </row>
    <row r="279" spans="1:12" s="74" customFormat="1" ht="18.75" x14ac:dyDescent="0.25">
      <c r="A279"/>
      <c r="B279" s="129">
        <v>221113</v>
      </c>
      <c r="C279" s="135" t="s">
        <v>512</v>
      </c>
      <c r="D279" s="130" t="s">
        <v>513</v>
      </c>
      <c r="E279" s="131" t="s">
        <v>103</v>
      </c>
      <c r="F279" s="127">
        <v>1</v>
      </c>
      <c r="G279" s="132"/>
      <c r="H279" s="133"/>
      <c r="I279" s="134">
        <f t="shared" ref="I279:I283" si="52">F279*G279</f>
        <v>0</v>
      </c>
      <c r="J279" s="61">
        <v>2061</v>
      </c>
      <c r="K279" s="60" t="s">
        <v>30</v>
      </c>
      <c r="L279" s="62"/>
    </row>
    <row r="280" spans="1:12" s="74" customFormat="1" ht="18.75" x14ac:dyDescent="0.25">
      <c r="A280"/>
      <c r="B280" s="129">
        <v>221113</v>
      </c>
      <c r="C280" s="135" t="s">
        <v>514</v>
      </c>
      <c r="D280" s="130" t="s">
        <v>515</v>
      </c>
      <c r="E280" s="131" t="s">
        <v>103</v>
      </c>
      <c r="F280" s="127">
        <v>1</v>
      </c>
      <c r="G280" s="132"/>
      <c r="H280" s="133"/>
      <c r="I280" s="134">
        <f t="shared" si="52"/>
        <v>0</v>
      </c>
      <c r="J280" s="61">
        <v>2061</v>
      </c>
      <c r="K280" s="60" t="s">
        <v>30</v>
      </c>
      <c r="L280" s="62"/>
    </row>
    <row r="281" spans="1:12" s="74" customFormat="1" ht="18.75" x14ac:dyDescent="0.25">
      <c r="A281"/>
      <c r="B281" s="129">
        <v>221114</v>
      </c>
      <c r="C281" s="135" t="s">
        <v>516</v>
      </c>
      <c r="D281" s="130" t="s">
        <v>517</v>
      </c>
      <c r="E281" s="131" t="s">
        <v>103</v>
      </c>
      <c r="F281" s="127">
        <v>1</v>
      </c>
      <c r="G281" s="132"/>
      <c r="H281" s="133"/>
      <c r="I281" s="134">
        <f t="shared" si="52"/>
        <v>0</v>
      </c>
      <c r="J281" s="61">
        <v>2061</v>
      </c>
      <c r="K281" s="60" t="s">
        <v>30</v>
      </c>
      <c r="L281" s="62"/>
    </row>
    <row r="282" spans="1:12" s="74" customFormat="1" ht="18.75" x14ac:dyDescent="0.25">
      <c r="A282"/>
      <c r="B282" s="145" t="s">
        <v>518</v>
      </c>
      <c r="C282" s="135" t="s">
        <v>519</v>
      </c>
      <c r="D282" s="130" t="s">
        <v>520</v>
      </c>
      <c r="E282" s="131" t="s">
        <v>103</v>
      </c>
      <c r="F282" s="127">
        <v>1</v>
      </c>
      <c r="G282" s="132"/>
      <c r="H282" s="133"/>
      <c r="I282" s="134">
        <f t="shared" si="52"/>
        <v>0</v>
      </c>
      <c r="J282" s="61">
        <v>2061</v>
      </c>
      <c r="K282" s="60" t="s">
        <v>30</v>
      </c>
      <c r="L282" s="62"/>
    </row>
    <row r="283" spans="1:12" s="74" customFormat="1" ht="18.75" x14ac:dyDescent="0.25">
      <c r="A283"/>
      <c r="B283" s="141" t="s">
        <v>518</v>
      </c>
      <c r="C283" s="135" t="s">
        <v>521</v>
      </c>
      <c r="D283" s="42" t="s">
        <v>522</v>
      </c>
      <c r="E283" s="65" t="s">
        <v>103</v>
      </c>
      <c r="F283" s="44">
        <v>2</v>
      </c>
      <c r="G283" s="45"/>
      <c r="H283" s="128"/>
      <c r="I283" s="60">
        <f t="shared" si="52"/>
        <v>0</v>
      </c>
      <c r="J283" s="61">
        <v>2061</v>
      </c>
      <c r="K283" s="60" t="s">
        <v>30</v>
      </c>
      <c r="L283" s="62"/>
    </row>
    <row r="284" spans="1:12" s="74" customFormat="1" ht="150" x14ac:dyDescent="0.25">
      <c r="A284"/>
      <c r="B284" s="129" t="s">
        <v>523</v>
      </c>
      <c r="C284" s="135"/>
      <c r="D284" s="136" t="s">
        <v>524</v>
      </c>
      <c r="E284" s="134"/>
      <c r="F284" s="127"/>
      <c r="G284" s="132"/>
      <c r="H284" s="133"/>
      <c r="I284" s="134"/>
      <c r="J284" s="129"/>
      <c r="K284" s="134"/>
      <c r="L284" s="137"/>
    </row>
    <row r="285" spans="1:12" s="74" customFormat="1" ht="37.5" x14ac:dyDescent="0.25">
      <c r="A285"/>
      <c r="B285" s="129" t="s">
        <v>523</v>
      </c>
      <c r="C285" s="135" t="s">
        <v>525</v>
      </c>
      <c r="D285" s="130" t="s">
        <v>526</v>
      </c>
      <c r="E285" s="131" t="s">
        <v>103</v>
      </c>
      <c r="F285" s="127">
        <v>2</v>
      </c>
      <c r="G285" s="132"/>
      <c r="H285" s="133"/>
      <c r="I285" s="134">
        <f>F285*G285</f>
        <v>0</v>
      </c>
      <c r="J285" s="61">
        <v>2002</v>
      </c>
      <c r="K285" s="60" t="s">
        <v>30</v>
      </c>
      <c r="L285" s="62"/>
    </row>
    <row r="286" spans="1:12" s="74" customFormat="1" ht="300" x14ac:dyDescent="0.25">
      <c r="A286"/>
      <c r="B286" s="129" t="s">
        <v>527</v>
      </c>
      <c r="C286" s="135"/>
      <c r="D286" s="63" t="s">
        <v>528</v>
      </c>
      <c r="E286" s="134"/>
      <c r="F286" s="127"/>
      <c r="G286" s="132"/>
      <c r="H286" s="133"/>
      <c r="I286" s="134"/>
      <c r="J286" s="129"/>
      <c r="K286" s="134"/>
      <c r="L286" s="137"/>
    </row>
    <row r="287" spans="1:12" s="74" customFormat="1" ht="168.75" x14ac:dyDescent="0.25">
      <c r="A287"/>
      <c r="B287" s="40" t="s">
        <v>529</v>
      </c>
      <c r="C287" s="135"/>
      <c r="D287" s="146" t="s">
        <v>530</v>
      </c>
      <c r="E287" s="134"/>
      <c r="F287" s="127"/>
      <c r="G287" s="132"/>
      <c r="H287" s="133"/>
      <c r="I287" s="134"/>
      <c r="J287" s="40"/>
      <c r="K287" s="134"/>
      <c r="L287" s="66"/>
    </row>
    <row r="288" spans="1:12" s="74" customFormat="1" ht="18.75" x14ac:dyDescent="0.25">
      <c r="A288"/>
      <c r="B288" s="129" t="s">
        <v>529</v>
      </c>
      <c r="C288" s="135" t="s">
        <v>531</v>
      </c>
      <c r="D288" s="130" t="s">
        <v>532</v>
      </c>
      <c r="E288" s="131" t="s">
        <v>103</v>
      </c>
      <c r="F288" s="127">
        <v>1</v>
      </c>
      <c r="G288" s="132"/>
      <c r="H288" s="133"/>
      <c r="I288" s="134">
        <f t="shared" ref="I288:I290" si="53">F288*G288</f>
        <v>0</v>
      </c>
      <c r="J288" s="61">
        <v>2078</v>
      </c>
      <c r="K288" s="147" t="s">
        <v>30</v>
      </c>
      <c r="L288" s="62"/>
    </row>
    <row r="289" spans="1:12" s="74" customFormat="1" ht="18.75" x14ac:dyDescent="0.25">
      <c r="A289"/>
      <c r="B289" s="129" t="s">
        <v>529</v>
      </c>
      <c r="C289" s="135" t="s">
        <v>533</v>
      </c>
      <c r="D289" s="130" t="s">
        <v>534</v>
      </c>
      <c r="E289" s="131" t="s">
        <v>103</v>
      </c>
      <c r="F289" s="127">
        <v>12</v>
      </c>
      <c r="G289" s="132"/>
      <c r="H289" s="133"/>
      <c r="I289" s="134">
        <f t="shared" si="53"/>
        <v>0</v>
      </c>
      <c r="J289" s="61">
        <v>2078</v>
      </c>
      <c r="K289" s="147" t="s">
        <v>30</v>
      </c>
      <c r="L289" s="62"/>
    </row>
    <row r="290" spans="1:12" s="74" customFormat="1" ht="18.75" x14ac:dyDescent="0.25">
      <c r="A290"/>
      <c r="B290" s="129" t="s">
        <v>535</v>
      </c>
      <c r="C290" s="135" t="s">
        <v>536</v>
      </c>
      <c r="D290" s="130" t="s">
        <v>537</v>
      </c>
      <c r="E290" s="131" t="s">
        <v>103</v>
      </c>
      <c r="F290" s="127">
        <v>1</v>
      </c>
      <c r="G290" s="132"/>
      <c r="H290" s="133"/>
      <c r="I290" s="134">
        <f t="shared" si="53"/>
        <v>0</v>
      </c>
      <c r="J290" s="61">
        <v>2078</v>
      </c>
      <c r="K290" s="147" t="s">
        <v>30</v>
      </c>
      <c r="L290" s="62"/>
    </row>
    <row r="291" spans="1:12" s="74" customFormat="1" ht="150" x14ac:dyDescent="0.25">
      <c r="A291"/>
      <c r="B291" s="129" t="s">
        <v>538</v>
      </c>
      <c r="C291" s="135"/>
      <c r="D291" s="63" t="s">
        <v>539</v>
      </c>
      <c r="E291" s="134"/>
      <c r="F291" s="127"/>
      <c r="G291" s="132"/>
      <c r="H291" s="133"/>
      <c r="I291" s="134"/>
      <c r="J291" s="129"/>
      <c r="K291" s="134"/>
      <c r="L291" s="137"/>
    </row>
    <row r="292" spans="1:12" s="74" customFormat="1" ht="18.75" x14ac:dyDescent="0.25">
      <c r="A292"/>
      <c r="B292" s="129" t="s">
        <v>538</v>
      </c>
      <c r="C292" s="135" t="s">
        <v>540</v>
      </c>
      <c r="D292" s="130" t="s">
        <v>541</v>
      </c>
      <c r="E292" s="131" t="s">
        <v>103</v>
      </c>
      <c r="F292" s="127">
        <v>2</v>
      </c>
      <c r="G292" s="132"/>
      <c r="H292" s="133"/>
      <c r="I292" s="134">
        <f t="shared" ref="I292:I296" si="54">F292*G292</f>
        <v>0</v>
      </c>
      <c r="J292" s="61" t="s">
        <v>167</v>
      </c>
      <c r="K292" s="147" t="s">
        <v>168</v>
      </c>
      <c r="L292" s="62"/>
    </row>
    <row r="293" spans="1:12" s="74" customFormat="1" ht="18.75" x14ac:dyDescent="0.25">
      <c r="A293"/>
      <c r="B293" s="129" t="s">
        <v>538</v>
      </c>
      <c r="C293" s="135" t="s">
        <v>542</v>
      </c>
      <c r="D293" s="130" t="s">
        <v>543</v>
      </c>
      <c r="E293" s="131" t="s">
        <v>103</v>
      </c>
      <c r="F293" s="127">
        <v>1</v>
      </c>
      <c r="G293" s="132"/>
      <c r="H293" s="133"/>
      <c r="I293" s="134">
        <f t="shared" si="54"/>
        <v>0</v>
      </c>
      <c r="J293" s="61" t="s">
        <v>167</v>
      </c>
      <c r="K293" s="147" t="s">
        <v>168</v>
      </c>
      <c r="L293" s="62"/>
    </row>
    <row r="294" spans="1:12" s="74" customFormat="1" ht="18.75" x14ac:dyDescent="0.25">
      <c r="A294"/>
      <c r="B294" s="129" t="s">
        <v>538</v>
      </c>
      <c r="C294" s="135" t="s">
        <v>544</v>
      </c>
      <c r="D294" s="130" t="s">
        <v>545</v>
      </c>
      <c r="E294" s="131" t="s">
        <v>103</v>
      </c>
      <c r="F294" s="127">
        <v>1</v>
      </c>
      <c r="G294" s="132"/>
      <c r="H294" s="133"/>
      <c r="I294" s="134">
        <f t="shared" si="54"/>
        <v>0</v>
      </c>
      <c r="J294" s="61" t="s">
        <v>167</v>
      </c>
      <c r="K294" s="147" t="s">
        <v>168</v>
      </c>
      <c r="L294" s="62"/>
    </row>
    <row r="295" spans="1:12" s="74" customFormat="1" ht="18.75" x14ac:dyDescent="0.25">
      <c r="A295"/>
      <c r="B295" s="129" t="s">
        <v>538</v>
      </c>
      <c r="C295" s="135" t="s">
        <v>546</v>
      </c>
      <c r="D295" s="130" t="s">
        <v>547</v>
      </c>
      <c r="E295" s="131" t="s">
        <v>103</v>
      </c>
      <c r="F295" s="127">
        <v>1</v>
      </c>
      <c r="G295" s="132"/>
      <c r="H295" s="133"/>
      <c r="I295" s="134">
        <f t="shared" si="54"/>
        <v>0</v>
      </c>
      <c r="J295" s="61" t="s">
        <v>167</v>
      </c>
      <c r="K295" s="147" t="s">
        <v>168</v>
      </c>
      <c r="L295" s="62"/>
    </row>
    <row r="296" spans="1:12" s="74" customFormat="1" ht="18.75" x14ac:dyDescent="0.25">
      <c r="A296"/>
      <c r="B296" s="40" t="s">
        <v>538</v>
      </c>
      <c r="C296" s="135" t="s">
        <v>548</v>
      </c>
      <c r="D296" s="42" t="s">
        <v>549</v>
      </c>
      <c r="E296" s="65" t="s">
        <v>103</v>
      </c>
      <c r="F296" s="44">
        <v>1</v>
      </c>
      <c r="G296" s="45"/>
      <c r="H296" s="128"/>
      <c r="I296" s="60">
        <f t="shared" si="54"/>
        <v>0</v>
      </c>
      <c r="J296" s="61" t="s">
        <v>167</v>
      </c>
      <c r="K296" s="147" t="s">
        <v>168</v>
      </c>
      <c r="L296" s="62"/>
    </row>
    <row r="297" spans="1:12" s="74" customFormat="1" ht="206.25" x14ac:dyDescent="0.25">
      <c r="A297"/>
      <c r="B297" s="129" t="s">
        <v>550</v>
      </c>
      <c r="C297" s="135"/>
      <c r="D297" s="63" t="s">
        <v>551</v>
      </c>
      <c r="E297" s="134"/>
      <c r="F297" s="127"/>
      <c r="G297" s="132"/>
      <c r="H297" s="133"/>
      <c r="I297" s="134"/>
      <c r="J297" s="129"/>
      <c r="K297" s="134"/>
      <c r="L297" s="137"/>
    </row>
    <row r="298" spans="1:12" s="74" customFormat="1" ht="68.25" customHeight="1" x14ac:dyDescent="0.25">
      <c r="A298"/>
      <c r="B298" s="129" t="s">
        <v>550</v>
      </c>
      <c r="C298" s="135" t="s">
        <v>552</v>
      </c>
      <c r="D298" s="130" t="s">
        <v>553</v>
      </c>
      <c r="E298" s="131" t="s">
        <v>554</v>
      </c>
      <c r="F298" s="127">
        <v>1150</v>
      </c>
      <c r="G298" s="132"/>
      <c r="H298" s="133"/>
      <c r="I298" s="134">
        <f t="shared" ref="I298:I299" si="55">F298*G298</f>
        <v>0</v>
      </c>
      <c r="J298" s="61">
        <v>2079</v>
      </c>
      <c r="K298" s="147" t="s">
        <v>30</v>
      </c>
      <c r="L298" s="62"/>
    </row>
    <row r="299" spans="1:12" s="74" customFormat="1" ht="61.5" customHeight="1" x14ac:dyDescent="0.25">
      <c r="A299"/>
      <c r="B299" s="129" t="s">
        <v>550</v>
      </c>
      <c r="C299" s="135" t="s">
        <v>555</v>
      </c>
      <c r="D299" s="130" t="s">
        <v>556</v>
      </c>
      <c r="E299" s="131" t="s">
        <v>554</v>
      </c>
      <c r="F299" s="127">
        <v>200</v>
      </c>
      <c r="G299" s="132"/>
      <c r="H299" s="133"/>
      <c r="I299" s="134">
        <f t="shared" si="55"/>
        <v>0</v>
      </c>
      <c r="J299" s="61">
        <v>2079</v>
      </c>
      <c r="K299" s="147" t="s">
        <v>30</v>
      </c>
      <c r="L299" s="62"/>
    </row>
    <row r="300" spans="1:12" s="74" customFormat="1" ht="93.75" x14ac:dyDescent="0.25">
      <c r="A300"/>
      <c r="B300" s="129" t="s">
        <v>557</v>
      </c>
      <c r="C300" s="135"/>
      <c r="D300" s="136" t="s">
        <v>558</v>
      </c>
      <c r="E300" s="134"/>
      <c r="F300" s="127"/>
      <c r="G300" s="132"/>
      <c r="H300" s="133"/>
      <c r="I300" s="134"/>
      <c r="J300" s="129"/>
      <c r="K300" s="134"/>
      <c r="L300" s="137"/>
    </row>
    <row r="301" spans="1:12" s="74" customFormat="1" ht="81.75" customHeight="1" x14ac:dyDescent="0.25">
      <c r="A301"/>
      <c r="B301" s="129" t="s">
        <v>557</v>
      </c>
      <c r="C301" s="135" t="s">
        <v>559</v>
      </c>
      <c r="D301" s="130" t="s">
        <v>560</v>
      </c>
      <c r="E301" s="131" t="s">
        <v>561</v>
      </c>
      <c r="F301" s="127">
        <v>100</v>
      </c>
      <c r="G301" s="132"/>
      <c r="H301" s="133"/>
      <c r="I301" s="134">
        <f t="shared" ref="I301:I302" si="56">F301*G301</f>
        <v>0</v>
      </c>
      <c r="J301" s="61">
        <v>2075</v>
      </c>
      <c r="K301" s="147" t="s">
        <v>30</v>
      </c>
      <c r="L301" s="62"/>
    </row>
    <row r="302" spans="1:12" s="74" customFormat="1" ht="56.25" x14ac:dyDescent="0.25">
      <c r="A302"/>
      <c r="B302" s="129" t="s">
        <v>557</v>
      </c>
      <c r="C302" s="135" t="s">
        <v>562</v>
      </c>
      <c r="D302" s="130" t="s">
        <v>563</v>
      </c>
      <c r="E302" s="131" t="s">
        <v>561</v>
      </c>
      <c r="F302" s="127">
        <v>75</v>
      </c>
      <c r="G302" s="132"/>
      <c r="H302" s="133"/>
      <c r="I302" s="134">
        <f t="shared" si="56"/>
        <v>0</v>
      </c>
      <c r="J302" s="61">
        <v>2075</v>
      </c>
      <c r="K302" s="147" t="s">
        <v>30</v>
      </c>
      <c r="L302" s="62"/>
    </row>
    <row r="303" spans="1:12" s="74" customFormat="1" ht="131.25" x14ac:dyDescent="0.25">
      <c r="A303"/>
      <c r="B303" s="129" t="s">
        <v>564</v>
      </c>
      <c r="C303" s="135"/>
      <c r="D303" s="136" t="s">
        <v>565</v>
      </c>
      <c r="E303" s="134"/>
      <c r="F303" s="127"/>
      <c r="G303" s="132"/>
      <c r="H303" s="133"/>
      <c r="I303" s="134"/>
      <c r="J303" s="129"/>
      <c r="K303" s="134"/>
      <c r="L303" s="137"/>
    </row>
    <row r="304" spans="1:12" s="74" customFormat="1" ht="18.75" x14ac:dyDescent="0.25">
      <c r="A304"/>
      <c r="B304" s="129" t="s">
        <v>564</v>
      </c>
      <c r="C304" s="135"/>
      <c r="D304" s="63" t="s">
        <v>566</v>
      </c>
      <c r="E304" s="134"/>
      <c r="F304" s="127"/>
      <c r="G304" s="132"/>
      <c r="H304" s="133"/>
      <c r="I304" s="134"/>
      <c r="J304" s="129"/>
      <c r="K304" s="134"/>
      <c r="L304" s="137"/>
    </row>
    <row r="305" spans="1:12" s="74" customFormat="1" ht="18.75" x14ac:dyDescent="0.25">
      <c r="A305"/>
      <c r="B305" s="129" t="s">
        <v>564</v>
      </c>
      <c r="C305" s="135" t="s">
        <v>567</v>
      </c>
      <c r="D305" s="42" t="s">
        <v>568</v>
      </c>
      <c r="E305" s="131" t="s">
        <v>103</v>
      </c>
      <c r="F305" s="127">
        <v>3</v>
      </c>
      <c r="G305" s="132"/>
      <c r="H305" s="133"/>
      <c r="I305" s="134">
        <f t="shared" ref="I305:I307" si="57">F305*G305</f>
        <v>0</v>
      </c>
      <c r="J305" s="61">
        <v>2073</v>
      </c>
      <c r="K305" s="147" t="s">
        <v>30</v>
      </c>
      <c r="L305" s="62"/>
    </row>
    <row r="306" spans="1:12" s="74" customFormat="1" ht="18.75" x14ac:dyDescent="0.25">
      <c r="A306"/>
      <c r="B306" s="129" t="s">
        <v>564</v>
      </c>
      <c r="C306" s="135" t="s">
        <v>569</v>
      </c>
      <c r="D306" s="42" t="s">
        <v>570</v>
      </c>
      <c r="E306" s="131" t="s">
        <v>103</v>
      </c>
      <c r="F306" s="127">
        <v>3</v>
      </c>
      <c r="G306" s="132"/>
      <c r="H306" s="133"/>
      <c r="I306" s="134">
        <f t="shared" si="57"/>
        <v>0</v>
      </c>
      <c r="J306" s="61">
        <v>2073</v>
      </c>
      <c r="K306" s="147" t="s">
        <v>30</v>
      </c>
      <c r="L306" s="62"/>
    </row>
    <row r="307" spans="1:12" s="74" customFormat="1" ht="18.75" x14ac:dyDescent="0.25">
      <c r="A307"/>
      <c r="B307" s="129" t="s">
        <v>564</v>
      </c>
      <c r="C307" s="135" t="s">
        <v>571</v>
      </c>
      <c r="D307" s="42" t="s">
        <v>572</v>
      </c>
      <c r="E307" s="131" t="s">
        <v>103</v>
      </c>
      <c r="F307" s="127">
        <v>6</v>
      </c>
      <c r="G307" s="132"/>
      <c r="H307" s="133"/>
      <c r="I307" s="134">
        <f t="shared" si="57"/>
        <v>0</v>
      </c>
      <c r="J307" s="61">
        <v>2073</v>
      </c>
      <c r="K307" s="147" t="s">
        <v>30</v>
      </c>
      <c r="L307" s="62"/>
    </row>
    <row r="308" spans="1:12" s="74" customFormat="1" ht="18.75" x14ac:dyDescent="0.25">
      <c r="A308"/>
      <c r="B308" s="129" t="s">
        <v>564</v>
      </c>
      <c r="C308" s="135"/>
      <c r="D308" s="136" t="s">
        <v>573</v>
      </c>
      <c r="E308" s="131"/>
      <c r="F308" s="127"/>
      <c r="G308" s="132"/>
      <c r="H308" s="133"/>
      <c r="I308" s="134"/>
      <c r="J308" s="129"/>
      <c r="K308" s="134"/>
      <c r="L308" s="137"/>
    </row>
    <row r="309" spans="1:12" s="74" customFormat="1" ht="18.75" x14ac:dyDescent="0.25">
      <c r="A309"/>
      <c r="B309" s="129" t="s">
        <v>564</v>
      </c>
      <c r="C309" s="135" t="s">
        <v>574</v>
      </c>
      <c r="D309" s="130" t="s">
        <v>575</v>
      </c>
      <c r="E309" s="131" t="s">
        <v>103</v>
      </c>
      <c r="F309" s="127">
        <v>3</v>
      </c>
      <c r="G309" s="132"/>
      <c r="H309" s="133"/>
      <c r="I309" s="134">
        <f t="shared" ref="I309:I311" si="58">F309*G309</f>
        <v>0</v>
      </c>
      <c r="J309" s="61">
        <v>2073</v>
      </c>
      <c r="K309" s="147" t="s">
        <v>30</v>
      </c>
      <c r="L309" s="62"/>
    </row>
    <row r="310" spans="1:12" s="74" customFormat="1" ht="18.75" x14ac:dyDescent="0.25">
      <c r="A310"/>
      <c r="B310" s="129" t="s">
        <v>564</v>
      </c>
      <c r="C310" s="135" t="s">
        <v>576</v>
      </c>
      <c r="D310" s="130" t="s">
        <v>577</v>
      </c>
      <c r="E310" s="131" t="s">
        <v>103</v>
      </c>
      <c r="F310" s="127">
        <v>2</v>
      </c>
      <c r="G310" s="132"/>
      <c r="H310" s="133"/>
      <c r="I310" s="134">
        <f t="shared" si="58"/>
        <v>0</v>
      </c>
      <c r="J310" s="61">
        <v>2073</v>
      </c>
      <c r="K310" s="147" t="s">
        <v>30</v>
      </c>
      <c r="L310" s="62"/>
    </row>
    <row r="311" spans="1:12" s="74" customFormat="1" ht="18.75" x14ac:dyDescent="0.25">
      <c r="A311"/>
      <c r="B311" s="129" t="s">
        <v>564</v>
      </c>
      <c r="C311" s="135" t="s">
        <v>578</v>
      </c>
      <c r="D311" s="130" t="s">
        <v>579</v>
      </c>
      <c r="E311" s="131" t="s">
        <v>103</v>
      </c>
      <c r="F311" s="127">
        <v>6</v>
      </c>
      <c r="G311" s="132"/>
      <c r="H311" s="133"/>
      <c r="I311" s="134">
        <f t="shared" si="58"/>
        <v>0</v>
      </c>
      <c r="J311" s="61">
        <v>2073</v>
      </c>
      <c r="K311" s="147" t="s">
        <v>30</v>
      </c>
      <c r="L311" s="62"/>
    </row>
    <row r="312" spans="1:12" s="74" customFormat="1" ht="18.75" x14ac:dyDescent="0.25">
      <c r="A312"/>
      <c r="B312" s="129" t="s">
        <v>564</v>
      </c>
      <c r="C312" s="135"/>
      <c r="D312" s="136" t="s">
        <v>580</v>
      </c>
      <c r="E312" s="131"/>
      <c r="F312" s="127"/>
      <c r="G312" s="132"/>
      <c r="H312" s="133"/>
      <c r="I312" s="134"/>
      <c r="J312" s="129"/>
      <c r="K312" s="134"/>
      <c r="L312" s="137"/>
    </row>
    <row r="313" spans="1:12" s="74" customFormat="1" ht="18.75" x14ac:dyDescent="0.25">
      <c r="A313"/>
      <c r="B313" s="129" t="s">
        <v>564</v>
      </c>
      <c r="C313" s="135" t="s">
        <v>581</v>
      </c>
      <c r="D313" s="130" t="s">
        <v>582</v>
      </c>
      <c r="E313" s="131" t="s">
        <v>103</v>
      </c>
      <c r="F313" s="127">
        <v>2</v>
      </c>
      <c r="G313" s="132"/>
      <c r="H313" s="133"/>
      <c r="I313" s="134">
        <f>F313*G313</f>
        <v>0</v>
      </c>
      <c r="J313" s="61">
        <v>2073</v>
      </c>
      <c r="K313" s="147" t="s">
        <v>30</v>
      </c>
      <c r="L313" s="62"/>
    </row>
    <row r="314" spans="1:12" s="74" customFormat="1" ht="18.75" x14ac:dyDescent="0.25">
      <c r="A314"/>
      <c r="B314" s="129" t="s">
        <v>583</v>
      </c>
      <c r="C314" s="135" t="s">
        <v>584</v>
      </c>
      <c r="D314" s="130" t="s">
        <v>585</v>
      </c>
      <c r="E314" s="131" t="s">
        <v>103</v>
      </c>
      <c r="F314" s="127">
        <v>10</v>
      </c>
      <c r="G314" s="132"/>
      <c r="H314" s="133"/>
      <c r="I314" s="134">
        <f t="shared" ref="I314:I315" si="59">F314*G314</f>
        <v>0</v>
      </c>
      <c r="J314" s="61">
        <v>2073</v>
      </c>
      <c r="K314" s="147" t="s">
        <v>30</v>
      </c>
      <c r="L314" s="62"/>
    </row>
    <row r="315" spans="1:12" s="74" customFormat="1" ht="18.75" x14ac:dyDescent="0.25">
      <c r="A315"/>
      <c r="B315" s="129" t="s">
        <v>586</v>
      </c>
      <c r="C315" s="135" t="s">
        <v>587</v>
      </c>
      <c r="D315" s="130" t="s">
        <v>588</v>
      </c>
      <c r="E315" s="131" t="s">
        <v>103</v>
      </c>
      <c r="F315" s="127">
        <v>1</v>
      </c>
      <c r="G315" s="132"/>
      <c r="H315" s="133"/>
      <c r="I315" s="134">
        <f t="shared" si="59"/>
        <v>0</v>
      </c>
      <c r="J315" s="61">
        <v>2073</v>
      </c>
      <c r="K315" s="147" t="s">
        <v>30</v>
      </c>
      <c r="L315" s="62"/>
    </row>
    <row r="316" spans="1:12" s="74" customFormat="1" ht="18.75" x14ac:dyDescent="0.25">
      <c r="A316"/>
      <c r="B316" s="129" t="s">
        <v>564</v>
      </c>
      <c r="C316" s="135"/>
      <c r="D316" s="136" t="s">
        <v>589</v>
      </c>
      <c r="E316" s="131"/>
      <c r="F316" s="127"/>
      <c r="G316" s="132"/>
      <c r="H316" s="133"/>
      <c r="I316" s="134"/>
      <c r="J316" s="129"/>
      <c r="K316" s="134"/>
      <c r="L316" s="137"/>
    </row>
    <row r="317" spans="1:12" s="74" customFormat="1" ht="18.75" x14ac:dyDescent="0.25">
      <c r="A317"/>
      <c r="B317" s="129" t="s">
        <v>564</v>
      </c>
      <c r="C317" s="135" t="s">
        <v>590</v>
      </c>
      <c r="D317" s="130" t="s">
        <v>591</v>
      </c>
      <c r="E317" s="131" t="s">
        <v>103</v>
      </c>
      <c r="F317" s="127">
        <v>10</v>
      </c>
      <c r="G317" s="132"/>
      <c r="H317" s="133"/>
      <c r="I317" s="134">
        <f>F317*G317</f>
        <v>0</v>
      </c>
      <c r="J317" s="61">
        <v>2073</v>
      </c>
      <c r="K317" s="147" t="s">
        <v>30</v>
      </c>
      <c r="L317" s="62"/>
    </row>
    <row r="318" spans="1:12" s="74" customFormat="1" ht="18.75" x14ac:dyDescent="0.25">
      <c r="A318"/>
      <c r="B318" s="129" t="s">
        <v>583</v>
      </c>
      <c r="C318" s="135" t="s">
        <v>592</v>
      </c>
      <c r="D318" s="130" t="s">
        <v>593</v>
      </c>
      <c r="E318" s="131" t="s">
        <v>103</v>
      </c>
      <c r="F318" s="127">
        <v>1</v>
      </c>
      <c r="G318" s="132"/>
      <c r="H318" s="133"/>
      <c r="I318" s="134">
        <f>F318*G318</f>
        <v>0</v>
      </c>
      <c r="J318" s="61">
        <v>2073</v>
      </c>
      <c r="K318" s="147" t="s">
        <v>30</v>
      </c>
      <c r="L318" s="62"/>
    </row>
    <row r="319" spans="1:12" s="74" customFormat="1" ht="18.75" x14ac:dyDescent="0.25">
      <c r="A319"/>
      <c r="B319" s="129" t="s">
        <v>564</v>
      </c>
      <c r="C319" s="135"/>
      <c r="D319" s="136" t="s">
        <v>594</v>
      </c>
      <c r="E319" s="131"/>
      <c r="F319" s="127"/>
      <c r="G319" s="132"/>
      <c r="H319" s="133"/>
      <c r="I319" s="134"/>
      <c r="J319" s="129"/>
      <c r="K319" s="134"/>
      <c r="L319" s="137"/>
    </row>
    <row r="320" spans="1:12" s="74" customFormat="1" ht="18.75" x14ac:dyDescent="0.25">
      <c r="A320"/>
      <c r="B320" s="129" t="s">
        <v>564</v>
      </c>
      <c r="C320" s="135" t="s">
        <v>595</v>
      </c>
      <c r="D320" s="130" t="s">
        <v>596</v>
      </c>
      <c r="E320" s="131" t="s">
        <v>103</v>
      </c>
      <c r="F320" s="127">
        <v>4</v>
      </c>
      <c r="G320" s="132"/>
      <c r="H320" s="133"/>
      <c r="I320" s="134">
        <f t="shared" ref="I320:I323" si="60">F320*G320</f>
        <v>0</v>
      </c>
      <c r="J320" s="61">
        <v>2073</v>
      </c>
      <c r="K320" s="147" t="s">
        <v>30</v>
      </c>
      <c r="L320" s="62"/>
    </row>
    <row r="321" spans="1:23" s="74" customFormat="1" ht="18.75" x14ac:dyDescent="0.25">
      <c r="A321"/>
      <c r="B321" s="129" t="s">
        <v>564</v>
      </c>
      <c r="C321" s="135" t="s">
        <v>597</v>
      </c>
      <c r="D321" s="130" t="s">
        <v>598</v>
      </c>
      <c r="E321" s="131" t="s">
        <v>103</v>
      </c>
      <c r="F321" s="127">
        <v>13</v>
      </c>
      <c r="G321" s="132"/>
      <c r="H321" s="133"/>
      <c r="I321" s="134">
        <f t="shared" si="60"/>
        <v>0</v>
      </c>
      <c r="J321" s="61">
        <v>2073</v>
      </c>
      <c r="K321" s="147" t="s">
        <v>30</v>
      </c>
      <c r="L321" s="62"/>
    </row>
    <row r="322" spans="1:23" s="74" customFormat="1" ht="18.75" x14ac:dyDescent="0.25">
      <c r="A322"/>
      <c r="B322" s="129" t="s">
        <v>564</v>
      </c>
      <c r="C322" s="135" t="s">
        <v>599</v>
      </c>
      <c r="D322" s="130" t="s">
        <v>600</v>
      </c>
      <c r="E322" s="131" t="s">
        <v>103</v>
      </c>
      <c r="F322" s="127">
        <v>1</v>
      </c>
      <c r="G322" s="132"/>
      <c r="H322" s="133"/>
      <c r="I322" s="134">
        <f t="shared" si="60"/>
        <v>0</v>
      </c>
      <c r="J322" s="61">
        <v>2073</v>
      </c>
      <c r="K322" s="147" t="s">
        <v>30</v>
      </c>
      <c r="L322" s="62"/>
    </row>
    <row r="323" spans="1:23" s="74" customFormat="1" ht="18.75" x14ac:dyDescent="0.25">
      <c r="A323"/>
      <c r="B323" s="129" t="s">
        <v>583</v>
      </c>
      <c r="C323" s="135" t="s">
        <v>601</v>
      </c>
      <c r="D323" s="130" t="s">
        <v>602</v>
      </c>
      <c r="E323" s="131" t="s">
        <v>103</v>
      </c>
      <c r="F323" s="127">
        <v>1</v>
      </c>
      <c r="G323" s="132"/>
      <c r="H323" s="133"/>
      <c r="I323" s="134">
        <f t="shared" si="60"/>
        <v>0</v>
      </c>
      <c r="J323" s="61">
        <v>2073</v>
      </c>
      <c r="K323" s="147" t="s">
        <v>30</v>
      </c>
      <c r="L323" s="62"/>
    </row>
    <row r="324" spans="1:23" s="74" customFormat="1" ht="375" x14ac:dyDescent="0.25">
      <c r="A324"/>
      <c r="B324" s="129" t="s">
        <v>603</v>
      </c>
      <c r="C324" s="135"/>
      <c r="D324" s="136" t="s">
        <v>604</v>
      </c>
      <c r="E324" s="134"/>
      <c r="F324" s="127"/>
      <c r="G324" s="132"/>
      <c r="H324" s="133"/>
      <c r="I324" s="134"/>
      <c r="J324" s="129"/>
      <c r="K324" s="134"/>
      <c r="L324" s="137"/>
    </row>
    <row r="325" spans="1:23" s="74" customFormat="1" ht="18.75" x14ac:dyDescent="0.25">
      <c r="A325"/>
      <c r="B325" s="148" t="s">
        <v>603</v>
      </c>
      <c r="C325" s="149" t="s">
        <v>605</v>
      </c>
      <c r="D325" s="130" t="s">
        <v>606</v>
      </c>
      <c r="E325" s="131" t="s">
        <v>607</v>
      </c>
      <c r="F325" s="150">
        <v>1</v>
      </c>
      <c r="G325" s="132"/>
      <c r="H325" s="133"/>
      <c r="I325" s="151">
        <f>F325*G325</f>
        <v>0</v>
      </c>
      <c r="J325" s="61" t="s">
        <v>167</v>
      </c>
      <c r="K325" s="147" t="s">
        <v>168</v>
      </c>
      <c r="L325" s="62"/>
    </row>
    <row r="326" spans="1:23" s="74" customFormat="1" ht="18.75" x14ac:dyDescent="0.25">
      <c r="B326" s="141" t="s">
        <v>603</v>
      </c>
      <c r="C326" s="84"/>
      <c r="D326" s="63" t="s">
        <v>608</v>
      </c>
      <c r="E326" s="65"/>
      <c r="F326" s="44"/>
      <c r="G326" s="45"/>
      <c r="H326" s="128"/>
      <c r="I326" s="60"/>
      <c r="J326" s="141"/>
      <c r="K326" s="60"/>
      <c r="L326" s="152"/>
    </row>
    <row r="327" spans="1:23" s="74" customFormat="1" ht="18.75" x14ac:dyDescent="0.25">
      <c r="B327" s="141" t="s">
        <v>603</v>
      </c>
      <c r="C327" s="84" t="s">
        <v>609</v>
      </c>
      <c r="D327" s="42" t="s">
        <v>610</v>
      </c>
      <c r="E327" s="65" t="s">
        <v>103</v>
      </c>
      <c r="F327" s="44">
        <v>1</v>
      </c>
      <c r="G327" s="45"/>
      <c r="H327" s="128"/>
      <c r="I327" s="60">
        <f>F327*G327</f>
        <v>0</v>
      </c>
      <c r="J327" s="48" t="s">
        <v>167</v>
      </c>
      <c r="K327" s="153" t="s">
        <v>168</v>
      </c>
      <c r="L327" s="49"/>
    </row>
    <row r="328" spans="1:23" ht="36" customHeight="1" x14ac:dyDescent="0.25">
      <c r="B328" s="252" t="s">
        <v>611</v>
      </c>
      <c r="C328" s="253"/>
      <c r="D328" s="253"/>
      <c r="E328" s="253"/>
      <c r="F328" s="253"/>
      <c r="G328" s="253"/>
      <c r="H328" s="254"/>
      <c r="I328" s="154">
        <f>SUM(I183:I327)</f>
        <v>0</v>
      </c>
      <c r="J328" s="155"/>
      <c r="K328" s="154"/>
      <c r="L328" s="156"/>
    </row>
    <row r="329" spans="1:23" ht="36" customHeight="1" x14ac:dyDescent="0.25">
      <c r="B329" s="157"/>
      <c r="C329" s="158"/>
      <c r="D329" s="159" t="s">
        <v>612</v>
      </c>
      <c r="E329" s="158"/>
      <c r="F329" s="158"/>
      <c r="G329" s="158"/>
      <c r="H329" s="158"/>
      <c r="I329" s="160"/>
      <c r="J329" s="157"/>
      <c r="K329" s="160"/>
      <c r="L329" s="161"/>
    </row>
    <row r="330" spans="1:23" s="162" customFormat="1" ht="318.75" x14ac:dyDescent="0.25">
      <c r="B330" s="163" t="s">
        <v>613</v>
      </c>
      <c r="C330" s="164"/>
      <c r="D330" s="165" t="s">
        <v>614</v>
      </c>
      <c r="E330" s="166"/>
      <c r="F330" s="167"/>
      <c r="G330" s="168"/>
      <c r="H330" s="169"/>
      <c r="I330" s="170"/>
      <c r="J330" s="40"/>
      <c r="K330" s="60"/>
      <c r="L330" s="66"/>
      <c r="M330" s="171"/>
    </row>
    <row r="331" spans="1:23" s="162" customFormat="1" ht="225" x14ac:dyDescent="0.25">
      <c r="B331" s="40" t="s">
        <v>615</v>
      </c>
      <c r="C331" s="84"/>
      <c r="D331" s="63" t="s">
        <v>616</v>
      </c>
      <c r="E331" s="60"/>
      <c r="F331" s="44"/>
      <c r="G331" s="45"/>
      <c r="H331" s="128"/>
      <c r="I331" s="60"/>
      <c r="J331" s="40"/>
      <c r="K331" s="60"/>
      <c r="L331" s="66"/>
      <c r="M331" s="171"/>
    </row>
    <row r="332" spans="1:23" s="74" customFormat="1" ht="18.75" x14ac:dyDescent="0.25">
      <c r="A332" s="27"/>
      <c r="B332" s="40" t="s">
        <v>615</v>
      </c>
      <c r="C332" s="84"/>
      <c r="D332" s="172" t="s">
        <v>617</v>
      </c>
      <c r="E332" s="60"/>
      <c r="F332" s="44"/>
      <c r="G332" s="45"/>
      <c r="H332" s="128"/>
      <c r="I332" s="60"/>
      <c r="J332" s="40"/>
      <c r="K332" s="60"/>
      <c r="L332" s="66"/>
      <c r="M332" s="27"/>
      <c r="N332" s="27"/>
      <c r="O332" s="27"/>
      <c r="P332" s="27"/>
      <c r="Q332" s="27"/>
      <c r="R332" s="27"/>
      <c r="S332" s="27"/>
      <c r="T332" s="27"/>
      <c r="U332" s="27"/>
      <c r="V332" s="27"/>
      <c r="W332" s="27"/>
    </row>
    <row r="333" spans="1:23" s="74" customFormat="1" ht="18.75" x14ac:dyDescent="0.25">
      <c r="A333" s="27"/>
      <c r="B333" s="40" t="s">
        <v>615</v>
      </c>
      <c r="C333" s="84" t="s">
        <v>618</v>
      </c>
      <c r="D333" s="173" t="s">
        <v>619</v>
      </c>
      <c r="E333" s="60" t="s">
        <v>620</v>
      </c>
      <c r="F333" s="44">
        <v>10</v>
      </c>
      <c r="G333" s="45"/>
      <c r="H333" s="128"/>
      <c r="I333" s="60">
        <f t="shared" ref="I333" si="61">F333*G333</f>
        <v>0</v>
      </c>
      <c r="J333" s="61">
        <v>2094</v>
      </c>
      <c r="K333" s="174" t="s">
        <v>30</v>
      </c>
      <c r="L333" s="62"/>
      <c r="M333" s="27"/>
      <c r="N333" s="27"/>
      <c r="O333" s="27"/>
      <c r="P333" s="27"/>
      <c r="Q333" s="27"/>
      <c r="R333" s="27"/>
      <c r="S333" s="27"/>
      <c r="T333" s="27"/>
      <c r="U333" s="27"/>
      <c r="V333" s="27"/>
      <c r="W333" s="27"/>
    </row>
    <row r="334" spans="1:23" s="162" customFormat="1" ht="150" x14ac:dyDescent="0.25">
      <c r="B334" s="40" t="s">
        <v>621</v>
      </c>
      <c r="C334" s="84"/>
      <c r="D334" s="63" t="s">
        <v>622</v>
      </c>
      <c r="E334" s="60"/>
      <c r="F334" s="44"/>
      <c r="G334" s="45"/>
      <c r="H334" s="128"/>
      <c r="I334" s="60"/>
      <c r="J334" s="44"/>
      <c r="K334" s="60"/>
      <c r="L334" s="128"/>
      <c r="M334" s="171"/>
    </row>
    <row r="335" spans="1:23" s="74" customFormat="1" ht="18.75" x14ac:dyDescent="0.25">
      <c r="A335" s="27"/>
      <c r="B335" s="40" t="s">
        <v>621</v>
      </c>
      <c r="C335" s="84" t="s">
        <v>623</v>
      </c>
      <c r="D335" s="173" t="s">
        <v>624</v>
      </c>
      <c r="E335" s="60" t="s">
        <v>131</v>
      </c>
      <c r="F335" s="44">
        <v>1</v>
      </c>
      <c r="G335" s="45"/>
      <c r="H335" s="128"/>
      <c r="I335" s="60">
        <f t="shared" ref="I335" si="62">F335*G335</f>
        <v>0</v>
      </c>
      <c r="J335" s="61">
        <v>2096</v>
      </c>
      <c r="K335" s="174" t="s">
        <v>30</v>
      </c>
      <c r="L335" s="62"/>
      <c r="M335" s="27"/>
      <c r="N335" s="27"/>
      <c r="O335" s="27"/>
      <c r="P335" s="27"/>
      <c r="Q335" s="27"/>
      <c r="R335" s="27"/>
      <c r="S335" s="27"/>
      <c r="T335" s="27"/>
      <c r="U335" s="27"/>
      <c r="V335" s="27"/>
      <c r="W335" s="27"/>
    </row>
    <row r="336" spans="1:23" s="74" customFormat="1" ht="18.75" x14ac:dyDescent="0.25">
      <c r="A336" s="27"/>
      <c r="B336" s="40" t="s">
        <v>621</v>
      </c>
      <c r="C336" s="84" t="s">
        <v>625</v>
      </c>
      <c r="D336" s="173" t="s">
        <v>626</v>
      </c>
      <c r="E336" s="60" t="s">
        <v>627</v>
      </c>
      <c r="F336" s="44">
        <v>1</v>
      </c>
      <c r="G336" s="45"/>
      <c r="H336" s="128"/>
      <c r="I336" s="60">
        <f>F336*G336</f>
        <v>0</v>
      </c>
      <c r="J336" s="61">
        <v>2096</v>
      </c>
      <c r="K336" s="174" t="s">
        <v>30</v>
      </c>
      <c r="L336" s="62"/>
      <c r="M336" s="27"/>
      <c r="N336" s="27"/>
      <c r="O336" s="27"/>
      <c r="P336" s="27"/>
      <c r="Q336" s="27"/>
      <c r="R336" s="27"/>
      <c r="S336" s="27"/>
      <c r="T336" s="27"/>
      <c r="U336" s="27"/>
      <c r="V336" s="27"/>
      <c r="W336" s="27"/>
    </row>
    <row r="337" spans="1:23" s="74" customFormat="1" ht="18.75" x14ac:dyDescent="0.25">
      <c r="A337" s="27"/>
      <c r="B337" s="40" t="s">
        <v>621</v>
      </c>
      <c r="C337" s="84" t="s">
        <v>628</v>
      </c>
      <c r="D337" s="173" t="s">
        <v>629</v>
      </c>
      <c r="E337" s="60" t="s">
        <v>627</v>
      </c>
      <c r="F337" s="44">
        <v>1</v>
      </c>
      <c r="G337" s="45"/>
      <c r="H337" s="128"/>
      <c r="I337" s="60">
        <f>F337*G337</f>
        <v>0</v>
      </c>
      <c r="J337" s="61">
        <v>2096</v>
      </c>
      <c r="K337" s="174" t="s">
        <v>30</v>
      </c>
      <c r="L337" s="62"/>
      <c r="M337" s="27"/>
      <c r="N337" s="27"/>
      <c r="O337" s="27"/>
      <c r="P337" s="27"/>
      <c r="Q337" s="27"/>
      <c r="R337" s="27"/>
      <c r="S337" s="27"/>
      <c r="T337" s="27"/>
      <c r="U337" s="27"/>
      <c r="V337" s="27"/>
      <c r="W337" s="27"/>
    </row>
    <row r="338" spans="1:23" s="162" customFormat="1" ht="112.5" x14ac:dyDescent="0.25">
      <c r="B338" s="40" t="s">
        <v>630</v>
      </c>
      <c r="C338" s="84"/>
      <c r="D338" s="63" t="s">
        <v>631</v>
      </c>
      <c r="E338" s="60"/>
      <c r="F338" s="44"/>
      <c r="G338" s="45"/>
      <c r="H338" s="128"/>
      <c r="I338" s="60"/>
      <c r="J338" s="44"/>
      <c r="K338" s="60"/>
      <c r="L338" s="128"/>
      <c r="M338" s="171"/>
    </row>
    <row r="339" spans="1:23" ht="37.5" x14ac:dyDescent="0.25">
      <c r="B339" s="40" t="s">
        <v>630</v>
      </c>
      <c r="C339" s="84" t="s">
        <v>632</v>
      </c>
      <c r="D339" s="173" t="s">
        <v>633</v>
      </c>
      <c r="E339" s="65" t="s">
        <v>131</v>
      </c>
      <c r="F339" s="44">
        <v>1</v>
      </c>
      <c r="G339" s="45"/>
      <c r="H339" s="128"/>
      <c r="I339" s="60">
        <f t="shared" ref="I339" si="63">F339*G339</f>
        <v>0</v>
      </c>
      <c r="J339" s="61" t="s">
        <v>167</v>
      </c>
      <c r="K339" s="60" t="s">
        <v>168</v>
      </c>
      <c r="L339" s="62"/>
      <c r="M339" s="27"/>
    </row>
    <row r="340" spans="1:23" s="162" customFormat="1" ht="168.75" x14ac:dyDescent="0.25">
      <c r="B340" s="40" t="s">
        <v>634</v>
      </c>
      <c r="C340" s="84"/>
      <c r="D340" s="63" t="s">
        <v>635</v>
      </c>
      <c r="E340" s="60"/>
      <c r="F340" s="44"/>
      <c r="G340" s="45"/>
      <c r="H340" s="128"/>
      <c r="I340" s="60"/>
      <c r="J340" s="44"/>
      <c r="K340" s="60"/>
      <c r="L340" s="128"/>
      <c r="M340" s="171"/>
    </row>
    <row r="341" spans="1:23" s="74" customFormat="1" ht="18.75" x14ac:dyDescent="0.25">
      <c r="A341"/>
      <c r="B341" s="129" t="s">
        <v>634</v>
      </c>
      <c r="C341" s="135" t="s">
        <v>636</v>
      </c>
      <c r="D341" s="138" t="s">
        <v>637</v>
      </c>
      <c r="E341" s="131" t="s">
        <v>103</v>
      </c>
      <c r="F341" s="127">
        <v>13</v>
      </c>
      <c r="G341" s="132"/>
      <c r="H341" s="133"/>
      <c r="I341" s="134">
        <f t="shared" ref="I341:I353" si="64">F341*G341</f>
        <v>0</v>
      </c>
      <c r="J341" s="175">
        <v>2094</v>
      </c>
      <c r="K341" s="134" t="s">
        <v>30</v>
      </c>
      <c r="L341" s="176"/>
    </row>
    <row r="342" spans="1:23" s="74" customFormat="1" ht="18.75" x14ac:dyDescent="0.25">
      <c r="A342"/>
      <c r="B342" s="129" t="s">
        <v>634</v>
      </c>
      <c r="C342" s="135" t="s">
        <v>638</v>
      </c>
      <c r="D342" s="138" t="s">
        <v>639</v>
      </c>
      <c r="E342" s="131" t="s">
        <v>103</v>
      </c>
      <c r="F342" s="127">
        <v>1</v>
      </c>
      <c r="G342" s="132"/>
      <c r="H342" s="133"/>
      <c r="I342" s="134">
        <f t="shared" si="64"/>
        <v>0</v>
      </c>
      <c r="J342" s="175">
        <v>2094</v>
      </c>
      <c r="K342" s="134" t="s">
        <v>30</v>
      </c>
      <c r="L342" s="176"/>
    </row>
    <row r="343" spans="1:23" s="74" customFormat="1" ht="18.75" x14ac:dyDescent="0.25">
      <c r="A343"/>
      <c r="B343" s="129" t="s">
        <v>634</v>
      </c>
      <c r="C343" s="135" t="s">
        <v>640</v>
      </c>
      <c r="D343" s="138" t="s">
        <v>641</v>
      </c>
      <c r="E343" s="131" t="s">
        <v>103</v>
      </c>
      <c r="F343" s="127">
        <v>1</v>
      </c>
      <c r="G343" s="132"/>
      <c r="H343" s="133"/>
      <c r="I343" s="134">
        <f t="shared" si="64"/>
        <v>0</v>
      </c>
      <c r="J343" s="175">
        <v>2094</v>
      </c>
      <c r="K343" s="134" t="s">
        <v>30</v>
      </c>
      <c r="L343" s="176"/>
    </row>
    <row r="344" spans="1:23" s="74" customFormat="1" ht="18.75" x14ac:dyDescent="0.25">
      <c r="A344"/>
      <c r="B344" s="129" t="s">
        <v>634</v>
      </c>
      <c r="C344" s="135" t="s">
        <v>642</v>
      </c>
      <c r="D344" s="138" t="s">
        <v>643</v>
      </c>
      <c r="E344" s="131" t="s">
        <v>103</v>
      </c>
      <c r="F344" s="127">
        <v>1</v>
      </c>
      <c r="G344" s="132"/>
      <c r="H344" s="133"/>
      <c r="I344" s="134">
        <f t="shared" si="64"/>
        <v>0</v>
      </c>
      <c r="J344" s="175">
        <v>2094</v>
      </c>
      <c r="K344" s="134" t="s">
        <v>30</v>
      </c>
      <c r="L344" s="176"/>
    </row>
    <row r="345" spans="1:23" s="74" customFormat="1" ht="18.75" x14ac:dyDescent="0.25">
      <c r="A345"/>
      <c r="B345" s="129" t="s">
        <v>634</v>
      </c>
      <c r="C345" s="135" t="s">
        <v>644</v>
      </c>
      <c r="D345" s="138" t="s">
        <v>645</v>
      </c>
      <c r="E345" s="131" t="s">
        <v>103</v>
      </c>
      <c r="F345" s="127">
        <v>2</v>
      </c>
      <c r="G345" s="132"/>
      <c r="H345" s="133"/>
      <c r="I345" s="134">
        <f t="shared" si="64"/>
        <v>0</v>
      </c>
      <c r="J345" s="175">
        <v>2094</v>
      </c>
      <c r="K345" s="134" t="s">
        <v>30</v>
      </c>
      <c r="L345" s="176"/>
    </row>
    <row r="346" spans="1:23" s="74" customFormat="1" ht="18.75" x14ac:dyDescent="0.25">
      <c r="A346"/>
      <c r="B346" s="129" t="s">
        <v>634</v>
      </c>
      <c r="C346" s="135" t="s">
        <v>646</v>
      </c>
      <c r="D346" s="138" t="s">
        <v>647</v>
      </c>
      <c r="E346" s="131" t="s">
        <v>103</v>
      </c>
      <c r="F346" s="127">
        <v>1</v>
      </c>
      <c r="G346" s="132"/>
      <c r="H346" s="133"/>
      <c r="I346" s="134">
        <f t="shared" si="64"/>
        <v>0</v>
      </c>
      <c r="J346" s="175">
        <v>2094</v>
      </c>
      <c r="K346" s="134" t="s">
        <v>30</v>
      </c>
      <c r="L346" s="176"/>
    </row>
    <row r="347" spans="1:23" s="74" customFormat="1" ht="18.75" x14ac:dyDescent="0.25">
      <c r="A347"/>
      <c r="B347" s="129" t="s">
        <v>634</v>
      </c>
      <c r="C347" s="135" t="s">
        <v>648</v>
      </c>
      <c r="D347" s="138" t="s">
        <v>649</v>
      </c>
      <c r="E347" s="131" t="s">
        <v>103</v>
      </c>
      <c r="F347" s="127">
        <v>1</v>
      </c>
      <c r="G347" s="132"/>
      <c r="H347" s="133"/>
      <c r="I347" s="134">
        <f t="shared" si="64"/>
        <v>0</v>
      </c>
      <c r="J347" s="175">
        <v>2094</v>
      </c>
      <c r="K347" s="134" t="s">
        <v>30</v>
      </c>
      <c r="L347" s="176"/>
    </row>
    <row r="348" spans="1:23" s="74" customFormat="1" ht="18.75" x14ac:dyDescent="0.25">
      <c r="A348"/>
      <c r="B348" s="129" t="s">
        <v>634</v>
      </c>
      <c r="C348" s="135" t="s">
        <v>650</v>
      </c>
      <c r="D348" s="138" t="s">
        <v>651</v>
      </c>
      <c r="E348" s="131" t="s">
        <v>103</v>
      </c>
      <c r="F348" s="127">
        <v>1</v>
      </c>
      <c r="G348" s="132"/>
      <c r="H348" s="133"/>
      <c r="I348" s="134">
        <f t="shared" si="64"/>
        <v>0</v>
      </c>
      <c r="J348" s="175">
        <v>2094</v>
      </c>
      <c r="K348" s="134" t="s">
        <v>30</v>
      </c>
      <c r="L348" s="176"/>
    </row>
    <row r="349" spans="1:23" s="74" customFormat="1" ht="18.75" x14ac:dyDescent="0.25">
      <c r="A349"/>
      <c r="B349" s="129" t="s">
        <v>634</v>
      </c>
      <c r="C349" s="135" t="s">
        <v>652</v>
      </c>
      <c r="D349" s="138" t="s">
        <v>653</v>
      </c>
      <c r="E349" s="131" t="s">
        <v>103</v>
      </c>
      <c r="F349" s="127">
        <v>1</v>
      </c>
      <c r="G349" s="132"/>
      <c r="H349" s="133"/>
      <c r="I349" s="134">
        <f t="shared" si="64"/>
        <v>0</v>
      </c>
      <c r="J349" s="175">
        <v>2094</v>
      </c>
      <c r="K349" s="134" t="s">
        <v>30</v>
      </c>
      <c r="L349" s="176"/>
    </row>
    <row r="350" spans="1:23" s="74" customFormat="1" ht="18.75" x14ac:dyDescent="0.25">
      <c r="A350"/>
      <c r="B350" s="129" t="s">
        <v>634</v>
      </c>
      <c r="C350" s="135" t="s">
        <v>654</v>
      </c>
      <c r="D350" s="138" t="s">
        <v>655</v>
      </c>
      <c r="E350" s="131" t="s">
        <v>103</v>
      </c>
      <c r="F350" s="127">
        <v>1</v>
      </c>
      <c r="G350" s="132"/>
      <c r="H350" s="133"/>
      <c r="I350" s="134">
        <f t="shared" si="64"/>
        <v>0</v>
      </c>
      <c r="J350" s="175">
        <v>2094</v>
      </c>
      <c r="K350" s="134" t="s">
        <v>30</v>
      </c>
      <c r="L350" s="176"/>
    </row>
    <row r="351" spans="1:23" s="74" customFormat="1" ht="18.75" x14ac:dyDescent="0.25">
      <c r="A351"/>
      <c r="B351" s="129" t="s">
        <v>634</v>
      </c>
      <c r="C351" s="135" t="s">
        <v>656</v>
      </c>
      <c r="D351" s="138" t="s">
        <v>657</v>
      </c>
      <c r="E351" s="131" t="s">
        <v>103</v>
      </c>
      <c r="F351" s="127">
        <v>1</v>
      </c>
      <c r="G351" s="132"/>
      <c r="H351" s="133"/>
      <c r="I351" s="134">
        <f t="shared" si="64"/>
        <v>0</v>
      </c>
      <c r="J351" s="175">
        <v>2094</v>
      </c>
      <c r="K351" s="134" t="s">
        <v>30</v>
      </c>
      <c r="L351" s="176"/>
    </row>
    <row r="352" spans="1:23" s="74" customFormat="1" ht="18.75" x14ac:dyDescent="0.25">
      <c r="A352"/>
      <c r="B352" s="129" t="s">
        <v>634</v>
      </c>
      <c r="C352" s="135" t="s">
        <v>658</v>
      </c>
      <c r="D352" s="138" t="s">
        <v>659</v>
      </c>
      <c r="E352" s="131" t="s">
        <v>103</v>
      </c>
      <c r="F352" s="127">
        <v>1</v>
      </c>
      <c r="G352" s="132"/>
      <c r="H352" s="133"/>
      <c r="I352" s="134">
        <f t="shared" si="64"/>
        <v>0</v>
      </c>
      <c r="J352" s="175">
        <v>2094</v>
      </c>
      <c r="K352" s="134" t="s">
        <v>30</v>
      </c>
      <c r="L352" s="176"/>
    </row>
    <row r="353" spans="1:13" s="74" customFormat="1" ht="18.75" x14ac:dyDescent="0.25">
      <c r="A353"/>
      <c r="B353" s="129" t="s">
        <v>634</v>
      </c>
      <c r="C353" s="135" t="s">
        <v>660</v>
      </c>
      <c r="D353" s="138" t="s">
        <v>661</v>
      </c>
      <c r="E353" s="131" t="s">
        <v>103</v>
      </c>
      <c r="F353" s="127">
        <v>1</v>
      </c>
      <c r="G353" s="132"/>
      <c r="H353" s="133"/>
      <c r="I353" s="134">
        <f t="shared" si="64"/>
        <v>0</v>
      </c>
      <c r="J353" s="175">
        <v>2094</v>
      </c>
      <c r="K353" s="134" t="s">
        <v>30</v>
      </c>
      <c r="L353" s="176"/>
    </row>
    <row r="354" spans="1:13" ht="150" x14ac:dyDescent="0.25">
      <c r="B354" s="177" t="s">
        <v>662</v>
      </c>
      <c r="C354" s="178"/>
      <c r="D354" s="142" t="s">
        <v>663</v>
      </c>
      <c r="E354" s="60"/>
      <c r="F354" s="179"/>
      <c r="G354" s="58"/>
      <c r="H354" s="180"/>
      <c r="I354" s="60"/>
      <c r="J354" s="181"/>
      <c r="K354" s="153"/>
      <c r="L354" s="182"/>
      <c r="M354" s="27"/>
    </row>
    <row r="355" spans="1:13" ht="37.5" x14ac:dyDescent="0.25">
      <c r="B355" s="177" t="s">
        <v>662</v>
      </c>
      <c r="C355" s="178" t="s">
        <v>664</v>
      </c>
      <c r="D355" s="42" t="s">
        <v>665</v>
      </c>
      <c r="E355" s="60" t="s">
        <v>627</v>
      </c>
      <c r="F355" s="183">
        <v>17</v>
      </c>
      <c r="G355" s="58"/>
      <c r="H355" s="180"/>
      <c r="I355" s="60">
        <f t="shared" ref="I355:I360" si="65">F355*G355</f>
        <v>0</v>
      </c>
      <c r="J355" s="184" t="s">
        <v>167</v>
      </c>
      <c r="K355" s="60" t="s">
        <v>168</v>
      </c>
      <c r="L355" s="185"/>
      <c r="M355" s="27"/>
    </row>
    <row r="356" spans="1:13" ht="37.5" x14ac:dyDescent="0.25">
      <c r="B356" s="177" t="s">
        <v>662</v>
      </c>
      <c r="C356" s="178" t="s">
        <v>666</v>
      </c>
      <c r="D356" s="42" t="s">
        <v>667</v>
      </c>
      <c r="E356" s="60" t="s">
        <v>627</v>
      </c>
      <c r="F356" s="183">
        <v>1</v>
      </c>
      <c r="G356" s="58"/>
      <c r="H356" s="180"/>
      <c r="I356" s="60">
        <f t="shared" si="65"/>
        <v>0</v>
      </c>
      <c r="J356" s="184" t="s">
        <v>167</v>
      </c>
      <c r="K356" s="60" t="s">
        <v>168</v>
      </c>
      <c r="L356" s="185"/>
      <c r="M356" s="27"/>
    </row>
    <row r="357" spans="1:13" ht="37.5" x14ac:dyDescent="0.25">
      <c r="B357" s="177" t="s">
        <v>662</v>
      </c>
      <c r="C357" s="178" t="s">
        <v>668</v>
      </c>
      <c r="D357" s="42" t="s">
        <v>669</v>
      </c>
      <c r="E357" s="60" t="s">
        <v>627</v>
      </c>
      <c r="F357" s="183">
        <v>20</v>
      </c>
      <c r="G357" s="58"/>
      <c r="H357" s="180"/>
      <c r="I357" s="60">
        <f t="shared" si="65"/>
        <v>0</v>
      </c>
      <c r="J357" s="184" t="s">
        <v>167</v>
      </c>
      <c r="K357" s="60" t="s">
        <v>168</v>
      </c>
      <c r="L357" s="185"/>
      <c r="M357" s="27"/>
    </row>
    <row r="358" spans="1:13" ht="37.5" x14ac:dyDescent="0.25">
      <c r="B358" s="177" t="s">
        <v>662</v>
      </c>
      <c r="C358" s="178" t="s">
        <v>670</v>
      </c>
      <c r="D358" s="42" t="s">
        <v>671</v>
      </c>
      <c r="E358" s="60" t="s">
        <v>627</v>
      </c>
      <c r="F358" s="183">
        <v>1</v>
      </c>
      <c r="G358" s="58"/>
      <c r="H358" s="180"/>
      <c r="I358" s="60">
        <f t="shared" si="65"/>
        <v>0</v>
      </c>
      <c r="J358" s="184" t="s">
        <v>167</v>
      </c>
      <c r="K358" s="60" t="s">
        <v>168</v>
      </c>
      <c r="L358" s="185"/>
      <c r="M358" s="27"/>
    </row>
    <row r="359" spans="1:13" ht="37.5" x14ac:dyDescent="0.25">
      <c r="B359" s="177" t="s">
        <v>662</v>
      </c>
      <c r="C359" s="178" t="s">
        <v>672</v>
      </c>
      <c r="D359" s="42" t="s">
        <v>673</v>
      </c>
      <c r="E359" s="60" t="s">
        <v>627</v>
      </c>
      <c r="F359" s="183">
        <v>1</v>
      </c>
      <c r="G359" s="58"/>
      <c r="H359" s="180"/>
      <c r="I359" s="60">
        <f t="shared" si="65"/>
        <v>0</v>
      </c>
      <c r="J359" s="184" t="s">
        <v>167</v>
      </c>
      <c r="K359" s="60" t="s">
        <v>168</v>
      </c>
      <c r="L359" s="185"/>
      <c r="M359" s="27"/>
    </row>
    <row r="360" spans="1:13" ht="37.5" x14ac:dyDescent="0.25">
      <c r="B360" s="177" t="s">
        <v>662</v>
      </c>
      <c r="C360" s="178" t="s">
        <v>674</v>
      </c>
      <c r="D360" s="42" t="s">
        <v>675</v>
      </c>
      <c r="E360" s="60" t="s">
        <v>627</v>
      </c>
      <c r="F360" s="183">
        <v>1</v>
      </c>
      <c r="G360" s="58"/>
      <c r="H360" s="180"/>
      <c r="I360" s="60">
        <f t="shared" si="65"/>
        <v>0</v>
      </c>
      <c r="J360" s="184" t="s">
        <v>167</v>
      </c>
      <c r="K360" s="60" t="s">
        <v>168</v>
      </c>
      <c r="L360" s="185"/>
      <c r="M360" s="27"/>
    </row>
    <row r="361" spans="1:13" ht="150" x14ac:dyDescent="0.25">
      <c r="B361" s="177" t="s">
        <v>634</v>
      </c>
      <c r="C361" s="178"/>
      <c r="D361" s="63" t="s">
        <v>676</v>
      </c>
      <c r="E361" s="60"/>
      <c r="F361" s="183"/>
      <c r="G361" s="58"/>
      <c r="H361" s="180"/>
      <c r="I361" s="60"/>
      <c r="J361" s="181"/>
      <c r="K361" s="153"/>
      <c r="L361" s="182"/>
      <c r="M361" s="27"/>
    </row>
    <row r="362" spans="1:13" ht="37.5" x14ac:dyDescent="0.25">
      <c r="B362" s="177" t="s">
        <v>634</v>
      </c>
      <c r="C362" s="178" t="s">
        <v>636</v>
      </c>
      <c r="D362" s="42" t="s">
        <v>677</v>
      </c>
      <c r="E362" s="60" t="s">
        <v>627</v>
      </c>
      <c r="F362" s="183">
        <v>22</v>
      </c>
      <c r="G362" s="58"/>
      <c r="H362" s="180"/>
      <c r="I362" s="186">
        <f>F362*G362</f>
        <v>0</v>
      </c>
      <c r="J362" s="184">
        <v>2088</v>
      </c>
      <c r="K362" s="60" t="s">
        <v>30</v>
      </c>
      <c r="L362" s="185"/>
      <c r="M362" s="27"/>
    </row>
    <row r="363" spans="1:13" ht="56.25" x14ac:dyDescent="0.25">
      <c r="B363" s="177" t="s">
        <v>634</v>
      </c>
      <c r="C363" s="178" t="s">
        <v>638</v>
      </c>
      <c r="D363" s="42" t="s">
        <v>678</v>
      </c>
      <c r="E363" s="60" t="s">
        <v>627</v>
      </c>
      <c r="F363" s="183">
        <v>4</v>
      </c>
      <c r="G363" s="58"/>
      <c r="H363" s="180"/>
      <c r="I363" s="186">
        <f>F363*G363</f>
        <v>0</v>
      </c>
      <c r="J363" s="184">
        <v>2088</v>
      </c>
      <c r="K363" s="60" t="s">
        <v>30</v>
      </c>
      <c r="L363" s="185"/>
      <c r="M363" s="27"/>
    </row>
    <row r="364" spans="1:13" ht="56.25" x14ac:dyDescent="0.25">
      <c r="B364" s="177" t="s">
        <v>634</v>
      </c>
      <c r="C364" s="178" t="s">
        <v>640</v>
      </c>
      <c r="D364" s="42" t="s">
        <v>679</v>
      </c>
      <c r="E364" s="60" t="s">
        <v>627</v>
      </c>
      <c r="F364" s="183">
        <v>1</v>
      </c>
      <c r="G364" s="58"/>
      <c r="H364" s="180"/>
      <c r="I364" s="186">
        <f t="shared" ref="I364:I367" si="66">F364*G364</f>
        <v>0</v>
      </c>
      <c r="J364" s="184">
        <v>2088</v>
      </c>
      <c r="K364" s="60" t="s">
        <v>30</v>
      </c>
      <c r="L364" s="185"/>
      <c r="M364" s="27"/>
    </row>
    <row r="365" spans="1:13" ht="75" x14ac:dyDescent="0.25">
      <c r="B365" s="177" t="s">
        <v>634</v>
      </c>
      <c r="C365" s="178" t="s">
        <v>642</v>
      </c>
      <c r="D365" s="42" t="s">
        <v>680</v>
      </c>
      <c r="E365" s="60" t="s">
        <v>627</v>
      </c>
      <c r="F365" s="183">
        <v>2</v>
      </c>
      <c r="G365" s="58"/>
      <c r="H365" s="180"/>
      <c r="I365" s="186">
        <f t="shared" si="66"/>
        <v>0</v>
      </c>
      <c r="J365" s="184">
        <v>2088</v>
      </c>
      <c r="K365" s="60" t="s">
        <v>30</v>
      </c>
      <c r="L365" s="185"/>
      <c r="M365" s="27"/>
    </row>
    <row r="366" spans="1:13" ht="75" x14ac:dyDescent="0.25">
      <c r="B366" s="177" t="s">
        <v>634</v>
      </c>
      <c r="C366" s="178" t="s">
        <v>644</v>
      </c>
      <c r="D366" s="42" t="s">
        <v>681</v>
      </c>
      <c r="E366" s="60" t="s">
        <v>627</v>
      </c>
      <c r="F366" s="183">
        <v>1</v>
      </c>
      <c r="G366" s="58"/>
      <c r="H366" s="180"/>
      <c r="I366" s="186">
        <f t="shared" si="66"/>
        <v>0</v>
      </c>
      <c r="J366" s="184">
        <v>2088</v>
      </c>
      <c r="K366" s="60" t="s">
        <v>30</v>
      </c>
      <c r="L366" s="185"/>
      <c r="M366" s="27"/>
    </row>
    <row r="367" spans="1:13" ht="56.25" x14ac:dyDescent="0.25">
      <c r="B367" s="177" t="s">
        <v>634</v>
      </c>
      <c r="C367" s="178" t="s">
        <v>646</v>
      </c>
      <c r="D367" s="42" t="s">
        <v>682</v>
      </c>
      <c r="E367" s="60" t="s">
        <v>627</v>
      </c>
      <c r="F367" s="183">
        <v>2</v>
      </c>
      <c r="G367" s="58"/>
      <c r="H367" s="180"/>
      <c r="I367" s="186">
        <f t="shared" si="66"/>
        <v>0</v>
      </c>
      <c r="J367" s="184">
        <v>2088</v>
      </c>
      <c r="K367" s="60" t="s">
        <v>30</v>
      </c>
      <c r="L367" s="185"/>
      <c r="M367" s="27"/>
    </row>
    <row r="368" spans="1:13" s="191" customFormat="1" ht="37.5" x14ac:dyDescent="0.25">
      <c r="A368" s="187"/>
      <c r="B368" s="188" t="s">
        <v>634</v>
      </c>
      <c r="C368" s="178" t="s">
        <v>648</v>
      </c>
      <c r="D368" s="42" t="s">
        <v>683</v>
      </c>
      <c r="E368" s="189" t="s">
        <v>103</v>
      </c>
      <c r="F368" s="183">
        <v>9</v>
      </c>
      <c r="G368" s="58"/>
      <c r="H368" s="180"/>
      <c r="I368" s="190">
        <f>F368*G368</f>
        <v>0</v>
      </c>
      <c r="J368" s="184">
        <v>2088</v>
      </c>
      <c r="K368" s="60" t="s">
        <v>30</v>
      </c>
      <c r="L368" s="185"/>
    </row>
    <row r="369" spans="1:13" s="191" customFormat="1" ht="56.25" x14ac:dyDescent="0.25">
      <c r="A369" s="187"/>
      <c r="B369" s="188" t="s">
        <v>634</v>
      </c>
      <c r="C369" s="178" t="s">
        <v>650</v>
      </c>
      <c r="D369" s="42" t="s">
        <v>684</v>
      </c>
      <c r="E369" s="189" t="s">
        <v>103</v>
      </c>
      <c r="F369" s="183">
        <v>1</v>
      </c>
      <c r="G369" s="58"/>
      <c r="H369" s="180"/>
      <c r="I369" s="190">
        <f t="shared" ref="I369:I371" si="67">F369*G369</f>
        <v>0</v>
      </c>
      <c r="J369" s="184">
        <v>2088</v>
      </c>
      <c r="K369" s="60" t="s">
        <v>30</v>
      </c>
      <c r="L369" s="185"/>
    </row>
    <row r="370" spans="1:13" ht="56.25" x14ac:dyDescent="0.25">
      <c r="B370" s="177" t="s">
        <v>634</v>
      </c>
      <c r="C370" s="178" t="s">
        <v>652</v>
      </c>
      <c r="D370" s="42" t="s">
        <v>685</v>
      </c>
      <c r="E370" s="60" t="s">
        <v>627</v>
      </c>
      <c r="F370" s="183">
        <v>2</v>
      </c>
      <c r="G370" s="58"/>
      <c r="H370" s="180"/>
      <c r="I370" s="186">
        <f t="shared" si="67"/>
        <v>0</v>
      </c>
      <c r="J370" s="184">
        <v>2088</v>
      </c>
      <c r="K370" s="60" t="s">
        <v>30</v>
      </c>
      <c r="L370" s="185"/>
      <c r="M370" s="27"/>
    </row>
    <row r="371" spans="1:13" ht="56.25" x14ac:dyDescent="0.25">
      <c r="B371" s="177" t="s">
        <v>634</v>
      </c>
      <c r="C371" s="178" t="s">
        <v>654</v>
      </c>
      <c r="D371" s="42" t="s">
        <v>686</v>
      </c>
      <c r="E371" s="60" t="s">
        <v>627</v>
      </c>
      <c r="F371" s="183">
        <v>11</v>
      </c>
      <c r="G371" s="58"/>
      <c r="H371" s="180"/>
      <c r="I371" s="186">
        <f t="shared" si="67"/>
        <v>0</v>
      </c>
      <c r="J371" s="184">
        <v>2088</v>
      </c>
      <c r="K371" s="60" t="s">
        <v>30</v>
      </c>
      <c r="L371" s="185"/>
      <c r="M371" s="27"/>
    </row>
    <row r="372" spans="1:13" ht="131.25" x14ac:dyDescent="0.25">
      <c r="B372" s="177" t="s">
        <v>687</v>
      </c>
      <c r="C372" s="178"/>
      <c r="D372" s="142" t="s">
        <v>688</v>
      </c>
      <c r="E372" s="60"/>
      <c r="F372" s="183"/>
      <c r="G372" s="58"/>
      <c r="H372" s="180"/>
      <c r="I372" s="60"/>
      <c r="J372" s="181"/>
      <c r="K372" s="153"/>
      <c r="L372" s="182"/>
      <c r="M372" s="27"/>
    </row>
    <row r="373" spans="1:13" ht="18.75" x14ac:dyDescent="0.25">
      <c r="B373" s="177" t="s">
        <v>687</v>
      </c>
      <c r="C373" s="178" t="s">
        <v>689</v>
      </c>
      <c r="D373" s="173" t="s">
        <v>690</v>
      </c>
      <c r="E373" s="65" t="s">
        <v>131</v>
      </c>
      <c r="F373" s="183">
        <v>16</v>
      </c>
      <c r="G373" s="58"/>
      <c r="H373" s="180"/>
      <c r="I373" s="60">
        <f t="shared" ref="I373" si="68">F373*G373</f>
        <v>0</v>
      </c>
      <c r="J373" s="184">
        <v>2094</v>
      </c>
      <c r="K373" s="60" t="s">
        <v>30</v>
      </c>
      <c r="L373" s="185"/>
      <c r="M373" s="27"/>
    </row>
    <row r="374" spans="1:13" s="192" customFormat="1" ht="187.5" x14ac:dyDescent="0.25">
      <c r="B374" s="193" t="s">
        <v>691</v>
      </c>
      <c r="C374" s="84"/>
      <c r="D374" s="63" t="s">
        <v>692</v>
      </c>
      <c r="E374" s="60"/>
      <c r="F374" s="183"/>
      <c r="G374" s="45"/>
      <c r="H374" s="128"/>
      <c r="I374" s="60"/>
      <c r="J374" s="61"/>
      <c r="K374" s="60"/>
      <c r="L374" s="62"/>
    </row>
    <row r="375" spans="1:13" s="194" customFormat="1" ht="18.75" x14ac:dyDescent="0.25">
      <c r="B375" s="193" t="s">
        <v>691</v>
      </c>
      <c r="C375" s="84" t="s">
        <v>693</v>
      </c>
      <c r="D375" s="173" t="s">
        <v>694</v>
      </c>
      <c r="E375" s="65" t="s">
        <v>131</v>
      </c>
      <c r="F375" s="183">
        <v>2</v>
      </c>
      <c r="G375" s="45"/>
      <c r="H375" s="128"/>
      <c r="I375" s="60">
        <f>F375*G375</f>
        <v>0</v>
      </c>
      <c r="J375" s="61">
        <v>2087</v>
      </c>
      <c r="K375" s="60" t="s">
        <v>30</v>
      </c>
      <c r="L375" s="62"/>
    </row>
    <row r="376" spans="1:13" s="194" customFormat="1" ht="18.75" x14ac:dyDescent="0.25">
      <c r="B376" s="193" t="s">
        <v>691</v>
      </c>
      <c r="C376" s="84" t="s">
        <v>695</v>
      </c>
      <c r="D376" s="173" t="s">
        <v>696</v>
      </c>
      <c r="E376" s="65" t="s">
        <v>131</v>
      </c>
      <c r="F376" s="183">
        <v>13</v>
      </c>
      <c r="G376" s="45"/>
      <c r="H376" s="128"/>
      <c r="I376" s="60">
        <f t="shared" ref="I376:I395" si="69">F376*G376</f>
        <v>0</v>
      </c>
      <c r="J376" s="61">
        <v>2087</v>
      </c>
      <c r="K376" s="60" t="s">
        <v>30</v>
      </c>
      <c r="L376" s="62"/>
    </row>
    <row r="377" spans="1:13" s="194" customFormat="1" ht="18.75" x14ac:dyDescent="0.25">
      <c r="B377" s="193" t="s">
        <v>691</v>
      </c>
      <c r="C377" s="84" t="s">
        <v>697</v>
      </c>
      <c r="D377" s="173" t="s">
        <v>698</v>
      </c>
      <c r="E377" s="65" t="s">
        <v>131</v>
      </c>
      <c r="F377" s="183">
        <v>5</v>
      </c>
      <c r="G377" s="45"/>
      <c r="H377" s="128"/>
      <c r="I377" s="60">
        <f t="shared" si="69"/>
        <v>0</v>
      </c>
      <c r="J377" s="61">
        <v>2087</v>
      </c>
      <c r="K377" s="60" t="s">
        <v>30</v>
      </c>
      <c r="L377" s="62"/>
    </row>
    <row r="378" spans="1:13" s="194" customFormat="1" ht="18.75" x14ac:dyDescent="0.25">
      <c r="B378" s="193" t="s">
        <v>691</v>
      </c>
      <c r="C378" s="84" t="s">
        <v>699</v>
      </c>
      <c r="D378" s="173" t="s">
        <v>700</v>
      </c>
      <c r="E378" s="65" t="s">
        <v>131</v>
      </c>
      <c r="F378" s="183">
        <v>5</v>
      </c>
      <c r="G378" s="45"/>
      <c r="H378" s="128"/>
      <c r="I378" s="60">
        <f t="shared" si="69"/>
        <v>0</v>
      </c>
      <c r="J378" s="61">
        <v>2087</v>
      </c>
      <c r="K378" s="60" t="s">
        <v>30</v>
      </c>
      <c r="L378" s="62"/>
    </row>
    <row r="379" spans="1:13" s="194" customFormat="1" ht="18.75" x14ac:dyDescent="0.25">
      <c r="B379" s="193" t="s">
        <v>691</v>
      </c>
      <c r="C379" s="84" t="s">
        <v>701</v>
      </c>
      <c r="D379" s="173" t="s">
        <v>702</v>
      </c>
      <c r="E379" s="65" t="s">
        <v>131</v>
      </c>
      <c r="F379" s="183">
        <v>1</v>
      </c>
      <c r="G379" s="45"/>
      <c r="H379" s="128"/>
      <c r="I379" s="60">
        <f t="shared" si="69"/>
        <v>0</v>
      </c>
      <c r="J379" s="61">
        <v>2087</v>
      </c>
      <c r="K379" s="60" t="s">
        <v>30</v>
      </c>
      <c r="L379" s="62"/>
    </row>
    <row r="380" spans="1:13" s="194" customFormat="1" ht="18.75" x14ac:dyDescent="0.25">
      <c r="B380" s="193" t="s">
        <v>691</v>
      </c>
      <c r="C380" s="84" t="s">
        <v>703</v>
      </c>
      <c r="D380" s="173" t="s">
        <v>704</v>
      </c>
      <c r="E380" s="65" t="s">
        <v>131</v>
      </c>
      <c r="F380" s="183">
        <v>24</v>
      </c>
      <c r="G380" s="45"/>
      <c r="H380" s="128"/>
      <c r="I380" s="60">
        <f t="shared" si="69"/>
        <v>0</v>
      </c>
      <c r="J380" s="61">
        <v>2087</v>
      </c>
      <c r="K380" s="60" t="s">
        <v>30</v>
      </c>
      <c r="L380" s="62"/>
    </row>
    <row r="381" spans="1:13" s="194" customFormat="1" ht="18.75" x14ac:dyDescent="0.25">
      <c r="B381" s="193" t="s">
        <v>691</v>
      </c>
      <c r="C381" s="84" t="s">
        <v>705</v>
      </c>
      <c r="D381" s="173" t="s">
        <v>706</v>
      </c>
      <c r="E381" s="65" t="s">
        <v>131</v>
      </c>
      <c r="F381" s="183">
        <v>3</v>
      </c>
      <c r="G381" s="45"/>
      <c r="H381" s="128"/>
      <c r="I381" s="60">
        <f t="shared" si="69"/>
        <v>0</v>
      </c>
      <c r="J381" s="61">
        <v>2087</v>
      </c>
      <c r="K381" s="60" t="s">
        <v>30</v>
      </c>
      <c r="L381" s="62"/>
    </row>
    <row r="382" spans="1:13" s="194" customFormat="1" ht="18.75" x14ac:dyDescent="0.25">
      <c r="B382" s="193" t="s">
        <v>691</v>
      </c>
      <c r="C382" s="84" t="s">
        <v>707</v>
      </c>
      <c r="D382" s="173" t="s">
        <v>708</v>
      </c>
      <c r="E382" s="65" t="s">
        <v>131</v>
      </c>
      <c r="F382" s="183">
        <v>13</v>
      </c>
      <c r="G382" s="45"/>
      <c r="H382" s="128"/>
      <c r="I382" s="60">
        <f t="shared" si="69"/>
        <v>0</v>
      </c>
      <c r="J382" s="61">
        <v>2087</v>
      </c>
      <c r="K382" s="60" t="s">
        <v>30</v>
      </c>
      <c r="L382" s="62"/>
    </row>
    <row r="383" spans="1:13" s="194" customFormat="1" ht="18.75" x14ac:dyDescent="0.25">
      <c r="B383" s="193" t="s">
        <v>691</v>
      </c>
      <c r="C383" s="84" t="s">
        <v>709</v>
      </c>
      <c r="D383" s="173" t="s">
        <v>710</v>
      </c>
      <c r="E383" s="65" t="s">
        <v>131</v>
      </c>
      <c r="F383" s="183">
        <v>3</v>
      </c>
      <c r="G383" s="45"/>
      <c r="H383" s="128"/>
      <c r="I383" s="60">
        <f t="shared" si="69"/>
        <v>0</v>
      </c>
      <c r="J383" s="61">
        <v>2087</v>
      </c>
      <c r="K383" s="60" t="s">
        <v>30</v>
      </c>
      <c r="L383" s="62"/>
    </row>
    <row r="384" spans="1:13" s="194" customFormat="1" ht="18.75" x14ac:dyDescent="0.25">
      <c r="B384" s="193" t="s">
        <v>691</v>
      </c>
      <c r="C384" s="84" t="s">
        <v>711</v>
      </c>
      <c r="D384" s="173" t="s">
        <v>712</v>
      </c>
      <c r="E384" s="65" t="s">
        <v>131</v>
      </c>
      <c r="F384" s="183">
        <v>4</v>
      </c>
      <c r="G384" s="45"/>
      <c r="H384" s="128"/>
      <c r="I384" s="60">
        <f t="shared" si="69"/>
        <v>0</v>
      </c>
      <c r="J384" s="61">
        <v>2087</v>
      </c>
      <c r="K384" s="60" t="s">
        <v>30</v>
      </c>
      <c r="L384" s="62"/>
    </row>
    <row r="385" spans="2:12" s="194" customFormat="1" ht="18.75" x14ac:dyDescent="0.25">
      <c r="B385" s="193" t="s">
        <v>691</v>
      </c>
      <c r="C385" s="84" t="s">
        <v>713</v>
      </c>
      <c r="D385" s="173" t="s">
        <v>714</v>
      </c>
      <c r="E385" s="65" t="s">
        <v>131</v>
      </c>
      <c r="F385" s="183">
        <v>1</v>
      </c>
      <c r="G385" s="45"/>
      <c r="H385" s="128"/>
      <c r="I385" s="60">
        <f t="shared" si="69"/>
        <v>0</v>
      </c>
      <c r="J385" s="61">
        <v>2087</v>
      </c>
      <c r="K385" s="60" t="s">
        <v>30</v>
      </c>
      <c r="L385" s="62"/>
    </row>
    <row r="386" spans="2:12" s="194" customFormat="1" ht="18.75" x14ac:dyDescent="0.25">
      <c r="B386" s="193" t="s">
        <v>691</v>
      </c>
      <c r="C386" s="84" t="s">
        <v>715</v>
      </c>
      <c r="D386" s="173" t="s">
        <v>716</v>
      </c>
      <c r="E386" s="65" t="s">
        <v>131</v>
      </c>
      <c r="F386" s="183">
        <v>15</v>
      </c>
      <c r="G386" s="45"/>
      <c r="H386" s="128"/>
      <c r="I386" s="60">
        <f t="shared" si="69"/>
        <v>0</v>
      </c>
      <c r="J386" s="61">
        <v>2087</v>
      </c>
      <c r="K386" s="60" t="s">
        <v>30</v>
      </c>
      <c r="L386" s="62"/>
    </row>
    <row r="387" spans="2:12" s="194" customFormat="1" ht="18.75" x14ac:dyDescent="0.25">
      <c r="B387" s="193" t="s">
        <v>691</v>
      </c>
      <c r="C387" s="84" t="s">
        <v>717</v>
      </c>
      <c r="D387" s="173" t="s">
        <v>718</v>
      </c>
      <c r="E387" s="65" t="s">
        <v>131</v>
      </c>
      <c r="F387" s="183">
        <v>8</v>
      </c>
      <c r="G387" s="45"/>
      <c r="H387" s="128"/>
      <c r="I387" s="60">
        <f t="shared" si="69"/>
        <v>0</v>
      </c>
      <c r="J387" s="61">
        <v>2087</v>
      </c>
      <c r="K387" s="60" t="s">
        <v>30</v>
      </c>
      <c r="L387" s="62"/>
    </row>
    <row r="388" spans="2:12" s="194" customFormat="1" ht="18.75" x14ac:dyDescent="0.25">
      <c r="B388" s="193" t="s">
        <v>691</v>
      </c>
      <c r="C388" s="84" t="s">
        <v>719</v>
      </c>
      <c r="D388" s="173" t="s">
        <v>720</v>
      </c>
      <c r="E388" s="65" t="s">
        <v>131</v>
      </c>
      <c r="F388" s="183">
        <v>22</v>
      </c>
      <c r="G388" s="45"/>
      <c r="H388" s="128"/>
      <c r="I388" s="60">
        <f t="shared" si="69"/>
        <v>0</v>
      </c>
      <c r="J388" s="61">
        <v>2087</v>
      </c>
      <c r="K388" s="60" t="s">
        <v>30</v>
      </c>
      <c r="L388" s="62"/>
    </row>
    <row r="389" spans="2:12" s="194" customFormat="1" ht="18.75" x14ac:dyDescent="0.25">
      <c r="B389" s="193" t="s">
        <v>691</v>
      </c>
      <c r="C389" s="84" t="s">
        <v>721</v>
      </c>
      <c r="D389" s="173" t="s">
        <v>722</v>
      </c>
      <c r="E389" s="65" t="s">
        <v>131</v>
      </c>
      <c r="F389" s="183">
        <v>4</v>
      </c>
      <c r="G389" s="45"/>
      <c r="H389" s="128"/>
      <c r="I389" s="60">
        <f t="shared" si="69"/>
        <v>0</v>
      </c>
      <c r="J389" s="61">
        <v>2087</v>
      </c>
      <c r="K389" s="60" t="s">
        <v>30</v>
      </c>
      <c r="L389" s="62"/>
    </row>
    <row r="390" spans="2:12" s="194" customFormat="1" ht="18.75" x14ac:dyDescent="0.25">
      <c r="B390" s="193" t="s">
        <v>691</v>
      </c>
      <c r="C390" s="84" t="s">
        <v>723</v>
      </c>
      <c r="D390" s="173" t="s">
        <v>724</v>
      </c>
      <c r="E390" s="65" t="s">
        <v>131</v>
      </c>
      <c r="F390" s="183">
        <v>2</v>
      </c>
      <c r="G390" s="45"/>
      <c r="H390" s="128"/>
      <c r="I390" s="60">
        <f t="shared" si="69"/>
        <v>0</v>
      </c>
      <c r="J390" s="61">
        <v>2087</v>
      </c>
      <c r="K390" s="60" t="s">
        <v>30</v>
      </c>
      <c r="L390" s="62"/>
    </row>
    <row r="391" spans="2:12" s="194" customFormat="1" ht="18.75" x14ac:dyDescent="0.25">
      <c r="B391" s="193" t="s">
        <v>691</v>
      </c>
      <c r="C391" s="84" t="s">
        <v>725</v>
      </c>
      <c r="D391" s="173" t="s">
        <v>726</v>
      </c>
      <c r="E391" s="65" t="s">
        <v>131</v>
      </c>
      <c r="F391" s="183">
        <v>1</v>
      </c>
      <c r="G391" s="45"/>
      <c r="H391" s="128"/>
      <c r="I391" s="60">
        <f t="shared" si="69"/>
        <v>0</v>
      </c>
      <c r="J391" s="61">
        <v>2087</v>
      </c>
      <c r="K391" s="60" t="s">
        <v>30</v>
      </c>
      <c r="L391" s="62"/>
    </row>
    <row r="392" spans="2:12" s="194" customFormat="1" ht="18.75" x14ac:dyDescent="0.25">
      <c r="B392" s="193" t="s">
        <v>691</v>
      </c>
      <c r="C392" s="84" t="s">
        <v>727</v>
      </c>
      <c r="D392" s="173" t="s">
        <v>728</v>
      </c>
      <c r="E392" s="65" t="s">
        <v>131</v>
      </c>
      <c r="F392" s="183">
        <v>18</v>
      </c>
      <c r="G392" s="45"/>
      <c r="H392" s="128"/>
      <c r="I392" s="60">
        <f t="shared" si="69"/>
        <v>0</v>
      </c>
      <c r="J392" s="61">
        <v>2087</v>
      </c>
      <c r="K392" s="60" t="s">
        <v>30</v>
      </c>
      <c r="L392" s="62"/>
    </row>
    <row r="393" spans="2:12" s="194" customFormat="1" ht="18.75" x14ac:dyDescent="0.25">
      <c r="B393" s="193" t="s">
        <v>691</v>
      </c>
      <c r="C393" s="84" t="s">
        <v>729</v>
      </c>
      <c r="D393" s="173" t="s">
        <v>730</v>
      </c>
      <c r="E393" s="65" t="s">
        <v>131</v>
      </c>
      <c r="F393" s="183">
        <v>5</v>
      </c>
      <c r="G393" s="45"/>
      <c r="H393" s="128"/>
      <c r="I393" s="60">
        <f t="shared" si="69"/>
        <v>0</v>
      </c>
      <c r="J393" s="61">
        <v>2087</v>
      </c>
      <c r="K393" s="60" t="s">
        <v>30</v>
      </c>
      <c r="L393" s="62"/>
    </row>
    <row r="394" spans="2:12" s="194" customFormat="1" ht="18.75" x14ac:dyDescent="0.25">
      <c r="B394" s="193" t="s">
        <v>691</v>
      </c>
      <c r="C394" s="84" t="s">
        <v>731</v>
      </c>
      <c r="D394" s="173" t="s">
        <v>732</v>
      </c>
      <c r="E394" s="65" t="s">
        <v>131</v>
      </c>
      <c r="F394" s="183">
        <v>2</v>
      </c>
      <c r="G394" s="45"/>
      <c r="H394" s="128"/>
      <c r="I394" s="60">
        <f t="shared" si="69"/>
        <v>0</v>
      </c>
      <c r="J394" s="61">
        <v>2087</v>
      </c>
      <c r="K394" s="60" t="s">
        <v>30</v>
      </c>
      <c r="L394" s="62"/>
    </row>
    <row r="395" spans="2:12" s="194" customFormat="1" ht="18.75" x14ac:dyDescent="0.25">
      <c r="B395" s="193" t="s">
        <v>691</v>
      </c>
      <c r="C395" s="84" t="s">
        <v>733</v>
      </c>
      <c r="D395" s="173" t="s">
        <v>734</v>
      </c>
      <c r="E395" s="65" t="s">
        <v>131</v>
      </c>
      <c r="F395" s="183">
        <v>1</v>
      </c>
      <c r="G395" s="45"/>
      <c r="H395" s="128"/>
      <c r="I395" s="60">
        <f t="shared" si="69"/>
        <v>0</v>
      </c>
      <c r="J395" s="61">
        <v>2087</v>
      </c>
      <c r="K395" s="60" t="s">
        <v>30</v>
      </c>
      <c r="L395" s="62"/>
    </row>
    <row r="396" spans="2:12" s="192" customFormat="1" ht="150.75" customHeight="1" x14ac:dyDescent="0.25">
      <c r="B396" s="40" t="s">
        <v>735</v>
      </c>
      <c r="C396" s="84"/>
      <c r="D396" s="63" t="s">
        <v>736</v>
      </c>
      <c r="E396" s="60"/>
      <c r="F396" s="44"/>
      <c r="G396" s="45"/>
      <c r="H396" s="128"/>
      <c r="I396" s="60"/>
      <c r="J396" s="61"/>
      <c r="K396" s="60"/>
      <c r="L396" s="62"/>
    </row>
    <row r="397" spans="2:12" s="194" customFormat="1" ht="19.5" customHeight="1" x14ac:dyDescent="0.25">
      <c r="B397" s="40" t="s">
        <v>735</v>
      </c>
      <c r="C397" s="84" t="s">
        <v>737</v>
      </c>
      <c r="D397" s="173" t="s">
        <v>738</v>
      </c>
      <c r="E397" s="65" t="s">
        <v>131</v>
      </c>
      <c r="F397" s="183">
        <v>152</v>
      </c>
      <c r="G397" s="45"/>
      <c r="H397" s="128"/>
      <c r="I397" s="60">
        <f t="shared" ref="I397" si="70">F397*G397</f>
        <v>0</v>
      </c>
      <c r="J397" s="61">
        <v>2094</v>
      </c>
      <c r="K397" s="60" t="s">
        <v>30</v>
      </c>
      <c r="L397" s="62"/>
    </row>
    <row r="398" spans="2:12" s="192" customFormat="1" ht="131.25" x14ac:dyDescent="0.25">
      <c r="B398" s="40" t="s">
        <v>634</v>
      </c>
      <c r="C398" s="84"/>
      <c r="D398" s="63" t="s">
        <v>739</v>
      </c>
      <c r="E398" s="60"/>
      <c r="F398" s="44"/>
      <c r="G398" s="45"/>
      <c r="H398" s="128"/>
      <c r="I398" s="60"/>
      <c r="J398" s="61"/>
      <c r="K398" s="60"/>
      <c r="L398" s="62"/>
    </row>
    <row r="399" spans="2:12" s="194" customFormat="1" ht="37.5" x14ac:dyDescent="0.25">
      <c r="B399" s="40" t="s">
        <v>634</v>
      </c>
      <c r="C399" s="84" t="s">
        <v>636</v>
      </c>
      <c r="D399" s="173" t="s">
        <v>740</v>
      </c>
      <c r="E399" s="65" t="s">
        <v>131</v>
      </c>
      <c r="F399" s="183">
        <v>21</v>
      </c>
      <c r="G399" s="45"/>
      <c r="H399" s="128"/>
      <c r="I399" s="60">
        <f t="shared" ref="I399:I401" si="71">F399*G399</f>
        <v>0</v>
      </c>
      <c r="J399" s="61">
        <v>2088</v>
      </c>
      <c r="K399" s="60" t="s">
        <v>30</v>
      </c>
      <c r="L399" s="62"/>
    </row>
    <row r="400" spans="2:12" s="194" customFormat="1" ht="37.5" x14ac:dyDescent="0.25">
      <c r="B400" s="40" t="s">
        <v>634</v>
      </c>
      <c r="C400" s="84" t="s">
        <v>638</v>
      </c>
      <c r="D400" s="173" t="s">
        <v>741</v>
      </c>
      <c r="E400" s="65" t="s">
        <v>131</v>
      </c>
      <c r="F400" s="183">
        <v>4</v>
      </c>
      <c r="G400" s="45"/>
      <c r="H400" s="128"/>
      <c r="I400" s="60">
        <f t="shared" si="71"/>
        <v>0</v>
      </c>
      <c r="J400" s="61">
        <v>2088</v>
      </c>
      <c r="K400" s="60" t="s">
        <v>30</v>
      </c>
      <c r="L400" s="62"/>
    </row>
    <row r="401" spans="1:15" s="194" customFormat="1" ht="15" customHeight="1" x14ac:dyDescent="0.25">
      <c r="B401" s="40" t="s">
        <v>634</v>
      </c>
      <c r="C401" s="84" t="s">
        <v>640</v>
      </c>
      <c r="D401" s="173" t="s">
        <v>742</v>
      </c>
      <c r="E401" s="65" t="s">
        <v>131</v>
      </c>
      <c r="F401" s="183">
        <v>3</v>
      </c>
      <c r="G401" s="45"/>
      <c r="H401" s="128"/>
      <c r="I401" s="60">
        <f t="shared" si="71"/>
        <v>0</v>
      </c>
      <c r="J401" s="61">
        <v>2088</v>
      </c>
      <c r="K401" s="60" t="s">
        <v>30</v>
      </c>
      <c r="L401" s="62"/>
    </row>
    <row r="402" spans="1:15" s="162" customFormat="1" ht="131.25" x14ac:dyDescent="0.25">
      <c r="B402" s="40" t="s">
        <v>634</v>
      </c>
      <c r="C402" s="84"/>
      <c r="D402" s="63" t="s">
        <v>743</v>
      </c>
      <c r="E402" s="60"/>
      <c r="F402" s="44"/>
      <c r="G402" s="45"/>
      <c r="H402" s="128"/>
      <c r="I402" s="60"/>
      <c r="J402" s="44"/>
      <c r="K402" s="60"/>
      <c r="L402" s="128"/>
      <c r="M402" s="171"/>
    </row>
    <row r="403" spans="1:15" s="162" customFormat="1" ht="18.75" x14ac:dyDescent="0.25">
      <c r="B403" s="40" t="s">
        <v>634</v>
      </c>
      <c r="C403" s="84" t="s">
        <v>642</v>
      </c>
      <c r="D403" s="173" t="s">
        <v>744</v>
      </c>
      <c r="E403" s="65" t="s">
        <v>131</v>
      </c>
      <c r="F403" s="44">
        <v>1</v>
      </c>
      <c r="G403" s="45"/>
      <c r="H403" s="128"/>
      <c r="I403" s="60">
        <f t="shared" ref="I403" si="72">F403*G403</f>
        <v>0</v>
      </c>
      <c r="J403" s="184">
        <v>2096</v>
      </c>
      <c r="K403" s="60" t="s">
        <v>30</v>
      </c>
      <c r="L403" s="185"/>
      <c r="M403" s="171"/>
    </row>
    <row r="404" spans="1:15" s="162" customFormat="1" ht="281.25" x14ac:dyDescent="0.25">
      <c r="B404" s="40" t="s">
        <v>745</v>
      </c>
      <c r="C404" s="84"/>
      <c r="D404" s="63" t="s">
        <v>746</v>
      </c>
      <c r="E404" s="60"/>
      <c r="F404" s="44"/>
      <c r="G404" s="45"/>
      <c r="H404" s="128"/>
      <c r="I404" s="60"/>
      <c r="J404" s="44"/>
      <c r="K404" s="60"/>
      <c r="L404" s="128"/>
      <c r="M404" s="171"/>
    </row>
    <row r="405" spans="1:15" s="162" customFormat="1" ht="37.5" x14ac:dyDescent="0.25">
      <c r="B405" s="40" t="s">
        <v>745</v>
      </c>
      <c r="C405" s="84" t="s">
        <v>747</v>
      </c>
      <c r="D405" s="42" t="s">
        <v>748</v>
      </c>
      <c r="E405" s="65" t="s">
        <v>607</v>
      </c>
      <c r="F405" s="44">
        <v>1</v>
      </c>
      <c r="G405" s="58"/>
      <c r="H405" s="128"/>
      <c r="I405" s="60">
        <f t="shared" ref="I405:I406" si="73">F405*G405</f>
        <v>0</v>
      </c>
      <c r="J405" s="184">
        <v>2092</v>
      </c>
      <c r="K405" s="60" t="s">
        <v>30</v>
      </c>
      <c r="L405" s="185"/>
      <c r="M405" s="171"/>
    </row>
    <row r="406" spans="1:15" s="162" customFormat="1" ht="37.5" x14ac:dyDescent="0.25">
      <c r="B406" s="40" t="s">
        <v>745</v>
      </c>
      <c r="C406" s="84" t="s">
        <v>749</v>
      </c>
      <c r="D406" s="42" t="s">
        <v>750</v>
      </c>
      <c r="E406" s="65" t="s">
        <v>607</v>
      </c>
      <c r="F406" s="44">
        <v>1</v>
      </c>
      <c r="G406" s="58"/>
      <c r="H406" s="128"/>
      <c r="I406" s="60">
        <f t="shared" si="73"/>
        <v>0</v>
      </c>
      <c r="J406" s="184">
        <v>2092</v>
      </c>
      <c r="K406" s="60" t="s">
        <v>30</v>
      </c>
      <c r="L406" s="185"/>
      <c r="M406" s="171"/>
    </row>
    <row r="407" spans="1:15" ht="36" customHeight="1" x14ac:dyDescent="0.25">
      <c r="B407" s="255" t="s">
        <v>751</v>
      </c>
      <c r="C407" s="256"/>
      <c r="D407" s="256"/>
      <c r="E407" s="256"/>
      <c r="F407" s="256"/>
      <c r="G407" s="256"/>
      <c r="H407" s="257"/>
      <c r="I407" s="195">
        <f>SUM(I330:I406)</f>
        <v>0</v>
      </c>
      <c r="J407" s="195"/>
      <c r="K407" s="195"/>
      <c r="L407" s="196"/>
    </row>
    <row r="408" spans="1:15" ht="36" customHeight="1" x14ac:dyDescent="0.25">
      <c r="B408" s="197"/>
      <c r="C408" s="198"/>
      <c r="D408" s="199" t="s">
        <v>752</v>
      </c>
      <c r="E408" s="198"/>
      <c r="F408" s="198"/>
      <c r="G408" s="198"/>
      <c r="H408" s="198"/>
      <c r="I408" s="200"/>
      <c r="J408" s="198"/>
      <c r="K408" s="200"/>
      <c r="L408" s="201"/>
    </row>
    <row r="409" spans="1:15" s="162" customFormat="1" ht="375" x14ac:dyDescent="0.25">
      <c r="B409" s="163" t="s">
        <v>753</v>
      </c>
      <c r="C409" s="202"/>
      <c r="D409" s="165" t="s">
        <v>754</v>
      </c>
      <c r="E409" s="170"/>
      <c r="F409" s="167"/>
      <c r="G409" s="203"/>
      <c r="H409" s="169"/>
      <c r="I409" s="170"/>
      <c r="J409" s="167"/>
      <c r="K409" s="170"/>
      <c r="L409" s="169"/>
      <c r="M409" s="171"/>
    </row>
    <row r="410" spans="1:15" s="162" customFormat="1" ht="300" x14ac:dyDescent="0.25">
      <c r="B410" s="40" t="s">
        <v>753</v>
      </c>
      <c r="C410" s="84"/>
      <c r="D410" s="63" t="s">
        <v>755</v>
      </c>
      <c r="E410" s="60"/>
      <c r="F410" s="44"/>
      <c r="G410" s="45"/>
      <c r="H410" s="128"/>
      <c r="I410" s="60"/>
      <c r="J410" s="44"/>
      <c r="K410" s="60"/>
      <c r="L410" s="128"/>
      <c r="M410" s="171"/>
    </row>
    <row r="411" spans="1:15" s="162" customFormat="1" ht="18.75" x14ac:dyDescent="0.25">
      <c r="B411" s="40" t="s">
        <v>756</v>
      </c>
      <c r="C411" s="84"/>
      <c r="D411" s="63" t="s">
        <v>757</v>
      </c>
      <c r="E411" s="60"/>
      <c r="F411" s="44"/>
      <c r="G411" s="45"/>
      <c r="H411" s="128"/>
      <c r="I411" s="60"/>
      <c r="J411" s="61"/>
      <c r="K411" s="60"/>
      <c r="L411" s="62"/>
      <c r="M411" s="171"/>
    </row>
    <row r="412" spans="1:15" s="162" customFormat="1" ht="37.5" x14ac:dyDescent="0.25">
      <c r="B412" s="40" t="s">
        <v>756</v>
      </c>
      <c r="C412" s="84" t="s">
        <v>758</v>
      </c>
      <c r="D412" s="204" t="s">
        <v>759</v>
      </c>
      <c r="E412" s="60" t="s">
        <v>131</v>
      </c>
      <c r="F412" s="44">
        <v>2</v>
      </c>
      <c r="G412" s="45"/>
      <c r="H412" s="128"/>
      <c r="I412" s="60">
        <f>F412*G412</f>
        <v>0</v>
      </c>
      <c r="J412" s="61" t="s">
        <v>167</v>
      </c>
      <c r="K412" s="60" t="s">
        <v>168</v>
      </c>
      <c r="L412" s="62"/>
      <c r="M412" s="171"/>
    </row>
    <row r="413" spans="1:15" s="74" customFormat="1" ht="18.75" x14ac:dyDescent="0.25">
      <c r="A413" s="27"/>
      <c r="B413" s="40">
        <v>277350</v>
      </c>
      <c r="C413" s="84" t="s">
        <v>760</v>
      </c>
      <c r="D413" s="173" t="s">
        <v>761</v>
      </c>
      <c r="E413" s="65" t="s">
        <v>131</v>
      </c>
      <c r="F413" s="44">
        <v>3</v>
      </c>
      <c r="G413" s="45"/>
      <c r="H413" s="128"/>
      <c r="I413" s="60">
        <f>F413*G413</f>
        <v>0</v>
      </c>
      <c r="J413" s="48"/>
      <c r="K413" s="153"/>
      <c r="L413" s="49"/>
      <c r="M413" s="26"/>
      <c r="N413" s="27"/>
      <c r="O413" s="27"/>
    </row>
    <row r="414" spans="1:15" s="162" customFormat="1" ht="18.75" x14ac:dyDescent="0.25">
      <c r="B414" s="40">
        <v>271500</v>
      </c>
      <c r="C414" s="205"/>
      <c r="D414" s="142" t="s">
        <v>762</v>
      </c>
      <c r="E414" s="60"/>
      <c r="F414" s="44"/>
      <c r="G414" s="45"/>
      <c r="H414" s="128"/>
      <c r="I414" s="60"/>
      <c r="J414" s="61"/>
      <c r="K414" s="60"/>
      <c r="L414" s="62"/>
      <c r="M414" s="171"/>
    </row>
    <row r="415" spans="1:15" s="162" customFormat="1" ht="56.25" x14ac:dyDescent="0.25">
      <c r="B415" s="40">
        <v>271500</v>
      </c>
      <c r="C415" s="205" t="s">
        <v>763</v>
      </c>
      <c r="D415" s="206" t="s">
        <v>764</v>
      </c>
      <c r="E415" s="60" t="s">
        <v>131</v>
      </c>
      <c r="F415" s="44">
        <v>1</v>
      </c>
      <c r="G415" s="45"/>
      <c r="H415" s="128"/>
      <c r="I415" s="60">
        <f t="shared" ref="I415:I427" si="74">F415*G415</f>
        <v>0</v>
      </c>
      <c r="J415" s="61" t="s">
        <v>167</v>
      </c>
      <c r="K415" s="60" t="s">
        <v>168</v>
      </c>
      <c r="L415" s="62"/>
      <c r="M415" s="171"/>
    </row>
    <row r="416" spans="1:15" s="162" customFormat="1" ht="56.25" x14ac:dyDescent="0.25">
      <c r="B416" s="40">
        <v>271500</v>
      </c>
      <c r="C416" s="205" t="s">
        <v>765</v>
      </c>
      <c r="D416" s="206" t="s">
        <v>766</v>
      </c>
      <c r="E416" s="60" t="s">
        <v>131</v>
      </c>
      <c r="F416" s="44">
        <v>2</v>
      </c>
      <c r="G416" s="45"/>
      <c r="H416" s="128"/>
      <c r="I416" s="60">
        <f t="shared" si="74"/>
        <v>0</v>
      </c>
      <c r="J416" s="61" t="s">
        <v>167</v>
      </c>
      <c r="K416" s="60" t="s">
        <v>168</v>
      </c>
      <c r="L416" s="62"/>
      <c r="M416" s="171"/>
    </row>
    <row r="417" spans="1:23" s="162" customFormat="1" ht="56.25" x14ac:dyDescent="0.25">
      <c r="B417" s="40">
        <v>271500</v>
      </c>
      <c r="C417" s="205" t="s">
        <v>767</v>
      </c>
      <c r="D417" s="206" t="s">
        <v>768</v>
      </c>
      <c r="E417" s="60" t="s">
        <v>131</v>
      </c>
      <c r="F417" s="44">
        <v>1</v>
      </c>
      <c r="G417" s="45"/>
      <c r="H417" s="128"/>
      <c r="I417" s="60">
        <f t="shared" si="74"/>
        <v>0</v>
      </c>
      <c r="J417" s="61" t="s">
        <v>167</v>
      </c>
      <c r="K417" s="60" t="s">
        <v>168</v>
      </c>
      <c r="L417" s="62"/>
      <c r="M417" s="171"/>
    </row>
    <row r="418" spans="1:23" s="207" customFormat="1" ht="56.25" x14ac:dyDescent="0.2">
      <c r="B418" s="40">
        <v>271500</v>
      </c>
      <c r="C418" s="205" t="s">
        <v>769</v>
      </c>
      <c r="D418" s="208" t="s">
        <v>770</v>
      </c>
      <c r="E418" s="189" t="s">
        <v>103</v>
      </c>
      <c r="F418" s="209">
        <v>1</v>
      </c>
      <c r="G418" s="58"/>
      <c r="H418" s="59"/>
      <c r="I418" s="189">
        <f t="shared" si="74"/>
        <v>0</v>
      </c>
      <c r="J418" s="61" t="s">
        <v>167</v>
      </c>
      <c r="K418" s="60" t="s">
        <v>168</v>
      </c>
      <c r="L418" s="62"/>
      <c r="M418" s="210"/>
    </row>
    <row r="419" spans="1:23" s="162" customFormat="1" ht="56.25" x14ac:dyDescent="0.25">
      <c r="B419" s="40">
        <v>271500</v>
      </c>
      <c r="C419" s="205" t="s">
        <v>771</v>
      </c>
      <c r="D419" s="206" t="s">
        <v>772</v>
      </c>
      <c r="E419" s="60" t="s">
        <v>131</v>
      </c>
      <c r="F419" s="44">
        <v>2</v>
      </c>
      <c r="G419" s="58"/>
      <c r="H419" s="128"/>
      <c r="I419" s="60">
        <f>F419*G419</f>
        <v>0</v>
      </c>
      <c r="J419" s="61" t="s">
        <v>167</v>
      </c>
      <c r="K419" s="60" t="s">
        <v>168</v>
      </c>
      <c r="L419" s="62"/>
      <c r="M419" s="171"/>
    </row>
    <row r="420" spans="1:23" s="207" customFormat="1" ht="56.25" x14ac:dyDescent="0.2">
      <c r="B420" s="40">
        <v>271500</v>
      </c>
      <c r="C420" s="205" t="s">
        <v>773</v>
      </c>
      <c r="D420" s="208" t="s">
        <v>774</v>
      </c>
      <c r="E420" s="189" t="s">
        <v>103</v>
      </c>
      <c r="F420" s="209">
        <v>3</v>
      </c>
      <c r="G420" s="58"/>
      <c r="H420" s="59"/>
      <c r="I420" s="189">
        <f t="shared" ref="I420" si="75">F420*G420</f>
        <v>0</v>
      </c>
      <c r="J420" s="61" t="s">
        <v>167</v>
      </c>
      <c r="K420" s="60" t="s">
        <v>168</v>
      </c>
      <c r="L420" s="62"/>
      <c r="M420" s="210"/>
    </row>
    <row r="421" spans="1:23" s="207" customFormat="1" ht="56.25" x14ac:dyDescent="0.2">
      <c r="B421" s="40">
        <v>271500</v>
      </c>
      <c r="C421" s="205" t="s">
        <v>775</v>
      </c>
      <c r="D421" s="208" t="s">
        <v>776</v>
      </c>
      <c r="E421" s="189" t="s">
        <v>103</v>
      </c>
      <c r="F421" s="209">
        <v>5</v>
      </c>
      <c r="G421" s="58"/>
      <c r="H421" s="59"/>
      <c r="I421" s="189">
        <f t="shared" si="74"/>
        <v>0</v>
      </c>
      <c r="J421" s="61" t="s">
        <v>167</v>
      </c>
      <c r="K421" s="60" t="s">
        <v>168</v>
      </c>
      <c r="L421" s="62"/>
      <c r="M421" s="210"/>
    </row>
    <row r="422" spans="1:23" ht="56.25" x14ac:dyDescent="0.25">
      <c r="B422" s="40">
        <v>271500</v>
      </c>
      <c r="C422" s="205" t="s">
        <v>777</v>
      </c>
      <c r="D422" s="211" t="s">
        <v>778</v>
      </c>
      <c r="E422" s="65" t="s">
        <v>131</v>
      </c>
      <c r="F422" s="179">
        <v>2</v>
      </c>
      <c r="G422" s="58"/>
      <c r="H422" s="128"/>
      <c r="I422" s="60">
        <f t="shared" si="74"/>
        <v>0</v>
      </c>
      <c r="J422" s="61" t="s">
        <v>167</v>
      </c>
      <c r="K422" s="60" t="s">
        <v>168</v>
      </c>
      <c r="L422" s="62"/>
    </row>
    <row r="423" spans="1:23" ht="56.25" x14ac:dyDescent="0.25">
      <c r="B423" s="40">
        <v>271500</v>
      </c>
      <c r="C423" s="205" t="s">
        <v>779</v>
      </c>
      <c r="D423" s="206" t="s">
        <v>780</v>
      </c>
      <c r="E423" s="60" t="s">
        <v>627</v>
      </c>
      <c r="F423" s="209">
        <v>3</v>
      </c>
      <c r="G423" s="58"/>
      <c r="H423" s="59"/>
      <c r="I423" s="60">
        <f t="shared" si="74"/>
        <v>0</v>
      </c>
      <c r="J423" s="61" t="s">
        <v>167</v>
      </c>
      <c r="K423" s="60" t="s">
        <v>168</v>
      </c>
      <c r="L423" s="62"/>
    </row>
    <row r="424" spans="1:23" s="162" customFormat="1" ht="56.25" x14ac:dyDescent="0.25">
      <c r="B424" s="40">
        <v>271500</v>
      </c>
      <c r="C424" s="205" t="s">
        <v>781</v>
      </c>
      <c r="D424" s="206" t="s">
        <v>782</v>
      </c>
      <c r="E424" s="60" t="s">
        <v>131</v>
      </c>
      <c r="F424" s="44">
        <v>10</v>
      </c>
      <c r="G424" s="45"/>
      <c r="H424" s="128"/>
      <c r="I424" s="60">
        <f t="shared" si="74"/>
        <v>0</v>
      </c>
      <c r="J424" s="61" t="s">
        <v>167</v>
      </c>
      <c r="K424" s="60" t="s">
        <v>168</v>
      </c>
      <c r="L424" s="62"/>
      <c r="M424" s="171"/>
    </row>
    <row r="425" spans="1:23" customFormat="1" ht="56.25" x14ac:dyDescent="0.25">
      <c r="B425" s="129">
        <v>271500</v>
      </c>
      <c r="C425" s="205" t="s">
        <v>783</v>
      </c>
      <c r="D425" s="212" t="s">
        <v>784</v>
      </c>
      <c r="E425" s="213" t="s">
        <v>131</v>
      </c>
      <c r="F425" s="214">
        <v>10</v>
      </c>
      <c r="G425" s="45"/>
      <c r="H425" s="133"/>
      <c r="I425" s="134">
        <f>F425*G425</f>
        <v>0</v>
      </c>
      <c r="J425" s="175" t="s">
        <v>167</v>
      </c>
      <c r="K425" s="134" t="s">
        <v>168</v>
      </c>
      <c r="L425" s="176"/>
      <c r="M425" s="215"/>
    </row>
    <row r="426" spans="1:23" customFormat="1" ht="56.25" x14ac:dyDescent="0.25">
      <c r="A426" s="27"/>
      <c r="B426" s="40">
        <v>271500</v>
      </c>
      <c r="C426" s="205" t="s">
        <v>785</v>
      </c>
      <c r="D426" s="206" t="s">
        <v>786</v>
      </c>
      <c r="E426" s="60" t="s">
        <v>627</v>
      </c>
      <c r="F426" s="44">
        <v>1</v>
      </c>
      <c r="G426" s="45"/>
      <c r="H426" s="128"/>
      <c r="I426" s="60">
        <f t="shared" si="74"/>
        <v>0</v>
      </c>
      <c r="J426" s="61" t="s">
        <v>167</v>
      </c>
      <c r="K426" s="174" t="s">
        <v>168</v>
      </c>
      <c r="L426" s="62"/>
      <c r="M426" s="26"/>
      <c r="N426" s="27"/>
      <c r="O426" s="27"/>
      <c r="P426" s="27"/>
      <c r="Q426" s="27"/>
      <c r="R426" s="27"/>
      <c r="S426" s="27"/>
      <c r="T426" s="27"/>
      <c r="U426" s="27"/>
      <c r="V426" s="27"/>
      <c r="W426" s="27"/>
    </row>
    <row r="427" spans="1:23" s="162" customFormat="1" ht="75" x14ac:dyDescent="0.25">
      <c r="B427" s="40">
        <v>271500</v>
      </c>
      <c r="C427" s="205" t="s">
        <v>787</v>
      </c>
      <c r="D427" s="206" t="s">
        <v>788</v>
      </c>
      <c r="E427" s="60" t="s">
        <v>131</v>
      </c>
      <c r="F427" s="209">
        <v>14</v>
      </c>
      <c r="G427" s="45"/>
      <c r="H427" s="128"/>
      <c r="I427" s="60">
        <f t="shared" si="74"/>
        <v>0</v>
      </c>
      <c r="J427" s="61" t="s">
        <v>167</v>
      </c>
      <c r="K427" s="60" t="s">
        <v>168</v>
      </c>
      <c r="L427" s="62"/>
      <c r="M427" s="171"/>
    </row>
    <row r="428" spans="1:23" s="162" customFormat="1" ht="150" x14ac:dyDescent="0.25">
      <c r="B428" s="40" t="s">
        <v>789</v>
      </c>
      <c r="C428" s="84"/>
      <c r="D428" s="63" t="s">
        <v>790</v>
      </c>
      <c r="E428" s="60"/>
      <c r="F428" s="44"/>
      <c r="G428" s="45"/>
      <c r="H428" s="128"/>
      <c r="I428" s="60"/>
      <c r="J428" s="61"/>
      <c r="K428" s="60"/>
      <c r="L428" s="62"/>
      <c r="M428" s="171"/>
    </row>
    <row r="429" spans="1:23" s="74" customFormat="1" ht="18.75" x14ac:dyDescent="0.25">
      <c r="A429" s="27"/>
      <c r="B429" s="40">
        <v>273000</v>
      </c>
      <c r="C429" s="84" t="s">
        <v>791</v>
      </c>
      <c r="D429" s="173" t="s">
        <v>792</v>
      </c>
      <c r="E429" s="65" t="s">
        <v>131</v>
      </c>
      <c r="F429" s="44">
        <v>10</v>
      </c>
      <c r="G429" s="45"/>
      <c r="H429" s="128"/>
      <c r="I429" s="60">
        <f t="shared" ref="I429:I430" si="76">F429*G429</f>
        <v>0</v>
      </c>
      <c r="J429" s="61" t="s">
        <v>167</v>
      </c>
      <c r="K429" s="174" t="s">
        <v>168</v>
      </c>
      <c r="L429" s="62"/>
      <c r="M429" s="26"/>
      <c r="N429" s="27"/>
      <c r="O429" s="27"/>
      <c r="P429" s="27"/>
      <c r="Q429" s="27"/>
      <c r="R429" s="27"/>
      <c r="S429" s="27"/>
      <c r="T429" s="27"/>
      <c r="U429" s="27"/>
      <c r="V429" s="27"/>
      <c r="W429" s="27"/>
    </row>
    <row r="430" spans="1:23" customFormat="1" ht="18.75" x14ac:dyDescent="0.25">
      <c r="A430" s="27"/>
      <c r="B430" s="40">
        <v>273000</v>
      </c>
      <c r="C430" s="84" t="s">
        <v>793</v>
      </c>
      <c r="D430" s="206" t="s">
        <v>794</v>
      </c>
      <c r="E430" s="60" t="s">
        <v>627</v>
      </c>
      <c r="F430" s="44">
        <v>5</v>
      </c>
      <c r="G430" s="45"/>
      <c r="H430" s="128"/>
      <c r="I430" s="60">
        <f t="shared" si="76"/>
        <v>0</v>
      </c>
      <c r="J430" s="61" t="s">
        <v>167</v>
      </c>
      <c r="K430" s="174" t="s">
        <v>168</v>
      </c>
      <c r="L430" s="62"/>
      <c r="M430" s="26"/>
      <c r="N430" s="27"/>
      <c r="O430" s="27"/>
      <c r="P430" s="27"/>
      <c r="Q430" s="27"/>
      <c r="R430" s="27"/>
      <c r="S430" s="27"/>
      <c r="T430" s="27"/>
      <c r="U430" s="27"/>
      <c r="V430" s="27"/>
      <c r="W430" s="27"/>
    </row>
    <row r="431" spans="1:23" s="162" customFormat="1" ht="150" x14ac:dyDescent="0.25">
      <c r="B431" s="40" t="s">
        <v>795</v>
      </c>
      <c r="C431" s="84"/>
      <c r="D431" s="63" t="s">
        <v>796</v>
      </c>
      <c r="E431" s="60"/>
      <c r="F431" s="44"/>
      <c r="G431" s="45"/>
      <c r="H431" s="128"/>
      <c r="I431" s="60"/>
      <c r="J431" s="61"/>
      <c r="K431" s="60"/>
      <c r="L431" s="62"/>
      <c r="M431" s="171"/>
    </row>
    <row r="432" spans="1:23" s="74" customFormat="1" ht="18.75" x14ac:dyDescent="0.25">
      <c r="A432" s="27"/>
      <c r="B432" s="40" t="s">
        <v>795</v>
      </c>
      <c r="C432" s="84" t="s">
        <v>797</v>
      </c>
      <c r="D432" s="173" t="s">
        <v>798</v>
      </c>
      <c r="E432" s="60" t="s">
        <v>131</v>
      </c>
      <c r="F432" s="44">
        <v>2</v>
      </c>
      <c r="G432" s="45"/>
      <c r="H432" s="128"/>
      <c r="I432" s="60">
        <f t="shared" ref="I432:I434" si="77">F432*G432</f>
        <v>0</v>
      </c>
      <c r="J432" s="61" t="s">
        <v>167</v>
      </c>
      <c r="K432" s="174" t="s">
        <v>168</v>
      </c>
      <c r="L432" s="62"/>
      <c r="M432" s="26"/>
      <c r="N432" s="27"/>
      <c r="O432" s="27"/>
      <c r="P432" s="27"/>
      <c r="Q432" s="27"/>
      <c r="R432" s="27"/>
      <c r="S432" s="27"/>
      <c r="T432" s="27"/>
      <c r="U432" s="27"/>
      <c r="V432" s="27"/>
      <c r="W432" s="27"/>
    </row>
    <row r="433" spans="1:23" customFormat="1" ht="18.75" x14ac:dyDescent="0.25">
      <c r="A433" s="27"/>
      <c r="B433" s="40" t="s">
        <v>795</v>
      </c>
      <c r="C433" s="84" t="s">
        <v>799</v>
      </c>
      <c r="D433" s="206" t="s">
        <v>800</v>
      </c>
      <c r="E433" s="60" t="s">
        <v>627</v>
      </c>
      <c r="F433" s="44">
        <v>2</v>
      </c>
      <c r="G433" s="45"/>
      <c r="H433" s="128"/>
      <c r="I433" s="60">
        <f t="shared" si="77"/>
        <v>0</v>
      </c>
      <c r="J433" s="61" t="s">
        <v>167</v>
      </c>
      <c r="K433" s="174" t="s">
        <v>168</v>
      </c>
      <c r="L433" s="62"/>
      <c r="M433" s="26"/>
      <c r="N433" s="27"/>
      <c r="O433" s="27"/>
      <c r="P433" s="27"/>
      <c r="Q433" s="27"/>
      <c r="R433" s="27"/>
      <c r="S433" s="27"/>
      <c r="T433" s="27"/>
      <c r="U433" s="27"/>
      <c r="V433" s="27"/>
      <c r="W433" s="27"/>
    </row>
    <row r="434" spans="1:23" customFormat="1" ht="18.75" x14ac:dyDescent="0.25">
      <c r="A434" s="27"/>
      <c r="B434" s="40" t="s">
        <v>795</v>
      </c>
      <c r="C434" s="84" t="s">
        <v>801</v>
      </c>
      <c r="D434" s="206" t="s">
        <v>802</v>
      </c>
      <c r="E434" s="60" t="s">
        <v>627</v>
      </c>
      <c r="F434" s="44">
        <v>2</v>
      </c>
      <c r="G434" s="45"/>
      <c r="H434" s="128"/>
      <c r="I434" s="60">
        <f t="shared" si="77"/>
        <v>0</v>
      </c>
      <c r="J434" s="61" t="s">
        <v>167</v>
      </c>
      <c r="K434" s="174" t="s">
        <v>168</v>
      </c>
      <c r="L434" s="62"/>
      <c r="M434" s="26"/>
      <c r="N434" s="27"/>
      <c r="O434" s="27"/>
      <c r="P434" s="27"/>
      <c r="Q434" s="27"/>
      <c r="R434" s="27"/>
      <c r="S434" s="27"/>
      <c r="T434" s="27"/>
      <c r="U434" s="27"/>
      <c r="V434" s="27"/>
      <c r="W434" s="27"/>
    </row>
    <row r="435" spans="1:23" s="162" customFormat="1" ht="243.75" x14ac:dyDescent="0.25">
      <c r="B435" s="40" t="s">
        <v>803</v>
      </c>
      <c r="C435" s="84"/>
      <c r="D435" s="142" t="s">
        <v>804</v>
      </c>
      <c r="E435" s="60"/>
      <c r="F435" s="44"/>
      <c r="G435" s="45"/>
      <c r="H435" s="128"/>
      <c r="I435" s="60"/>
      <c r="J435" s="61"/>
      <c r="K435" s="60"/>
      <c r="L435" s="62"/>
      <c r="M435" s="171"/>
    </row>
    <row r="436" spans="1:23" s="74" customFormat="1" ht="37.5" x14ac:dyDescent="0.25">
      <c r="A436"/>
      <c r="B436" s="129" t="s">
        <v>803</v>
      </c>
      <c r="C436" s="135" t="s">
        <v>805</v>
      </c>
      <c r="D436" s="138" t="s">
        <v>806</v>
      </c>
      <c r="E436" s="134" t="s">
        <v>627</v>
      </c>
      <c r="F436" s="216">
        <v>1</v>
      </c>
      <c r="G436" s="132"/>
      <c r="H436" s="133"/>
      <c r="I436" s="134">
        <f t="shared" ref="I436:I442" si="78">F436*G436</f>
        <v>0</v>
      </c>
      <c r="J436" s="175" t="s">
        <v>167</v>
      </c>
      <c r="K436" s="134" t="s">
        <v>168</v>
      </c>
      <c r="L436" s="176"/>
      <c r="M436" s="217"/>
    </row>
    <row r="437" spans="1:23" s="74" customFormat="1" ht="18.75" x14ac:dyDescent="0.25">
      <c r="A437"/>
      <c r="B437" s="129" t="s">
        <v>803</v>
      </c>
      <c r="C437" s="135" t="s">
        <v>807</v>
      </c>
      <c r="D437" s="138" t="s">
        <v>808</v>
      </c>
      <c r="E437" s="134" t="s">
        <v>627</v>
      </c>
      <c r="F437" s="216">
        <v>1</v>
      </c>
      <c r="G437" s="132"/>
      <c r="H437" s="133"/>
      <c r="I437" s="134">
        <f t="shared" si="78"/>
        <v>0</v>
      </c>
      <c r="J437" s="175" t="s">
        <v>167</v>
      </c>
      <c r="K437" s="134" t="s">
        <v>168</v>
      </c>
      <c r="L437" s="176"/>
      <c r="M437" s="217"/>
    </row>
    <row r="438" spans="1:23" s="74" customFormat="1" ht="18.75" x14ac:dyDescent="0.25">
      <c r="A438" s="27"/>
      <c r="B438" s="40" t="s">
        <v>803</v>
      </c>
      <c r="C438" s="135" t="s">
        <v>809</v>
      </c>
      <c r="D438" s="173" t="s">
        <v>810</v>
      </c>
      <c r="E438" s="65" t="s">
        <v>627</v>
      </c>
      <c r="F438" s="44">
        <v>1</v>
      </c>
      <c r="G438" s="45"/>
      <c r="H438" s="128"/>
      <c r="I438" s="60">
        <f t="shared" si="78"/>
        <v>0</v>
      </c>
      <c r="J438" s="61" t="s">
        <v>167</v>
      </c>
      <c r="K438" s="174" t="s">
        <v>168</v>
      </c>
      <c r="L438" s="62"/>
      <c r="M438" s="26"/>
      <c r="N438" s="27"/>
      <c r="O438" s="27"/>
      <c r="P438" s="27"/>
      <c r="Q438" s="27"/>
      <c r="R438" s="27"/>
      <c r="S438" s="27"/>
      <c r="T438" s="27"/>
      <c r="U438" s="27"/>
      <c r="V438" s="27"/>
      <c r="W438" s="27"/>
    </row>
    <row r="439" spans="1:23" s="162" customFormat="1" ht="18.75" x14ac:dyDescent="0.25">
      <c r="B439" s="40" t="s">
        <v>803</v>
      </c>
      <c r="C439" s="135" t="s">
        <v>811</v>
      </c>
      <c r="D439" s="173" t="s">
        <v>812</v>
      </c>
      <c r="E439" s="60" t="s">
        <v>131</v>
      </c>
      <c r="F439" s="44">
        <v>1</v>
      </c>
      <c r="G439" s="45"/>
      <c r="H439" s="128"/>
      <c r="I439" s="60">
        <f t="shared" si="78"/>
        <v>0</v>
      </c>
      <c r="J439" s="61" t="s">
        <v>167</v>
      </c>
      <c r="K439" s="60" t="s">
        <v>168</v>
      </c>
      <c r="L439" s="62"/>
      <c r="M439" s="171"/>
    </row>
    <row r="440" spans="1:23" s="74" customFormat="1" ht="18.75" x14ac:dyDescent="0.25">
      <c r="A440"/>
      <c r="B440" s="129" t="s">
        <v>803</v>
      </c>
      <c r="C440" s="135" t="s">
        <v>813</v>
      </c>
      <c r="D440" s="138" t="s">
        <v>814</v>
      </c>
      <c r="E440" s="134" t="s">
        <v>627</v>
      </c>
      <c r="F440" s="216">
        <v>1</v>
      </c>
      <c r="G440" s="132"/>
      <c r="H440" s="133"/>
      <c r="I440" s="134">
        <f t="shared" si="78"/>
        <v>0</v>
      </c>
      <c r="J440" s="175" t="s">
        <v>167</v>
      </c>
      <c r="K440" s="134" t="s">
        <v>168</v>
      </c>
      <c r="L440" s="176"/>
      <c r="M440" s="217"/>
    </row>
    <row r="441" spans="1:23" s="74" customFormat="1" ht="18.75" x14ac:dyDescent="0.25">
      <c r="A441"/>
      <c r="B441" s="129" t="s">
        <v>803</v>
      </c>
      <c r="C441" s="135" t="s">
        <v>815</v>
      </c>
      <c r="D441" s="138" t="s">
        <v>816</v>
      </c>
      <c r="E441" s="134" t="s">
        <v>627</v>
      </c>
      <c r="F441" s="216">
        <v>1</v>
      </c>
      <c r="G441" s="132"/>
      <c r="H441" s="133"/>
      <c r="I441" s="134">
        <f t="shared" si="78"/>
        <v>0</v>
      </c>
      <c r="J441" s="175" t="s">
        <v>167</v>
      </c>
      <c r="K441" s="134" t="s">
        <v>168</v>
      </c>
      <c r="L441" s="176"/>
      <c r="M441" s="217"/>
    </row>
    <row r="442" spans="1:23" s="74" customFormat="1" ht="33" customHeight="1" x14ac:dyDescent="0.25">
      <c r="A442"/>
      <c r="B442" s="129" t="s">
        <v>803</v>
      </c>
      <c r="C442" s="135" t="s">
        <v>817</v>
      </c>
      <c r="D442" s="138" t="s">
        <v>818</v>
      </c>
      <c r="E442" s="134" t="s">
        <v>627</v>
      </c>
      <c r="F442" s="216">
        <v>1</v>
      </c>
      <c r="G442" s="132"/>
      <c r="H442" s="133"/>
      <c r="I442" s="134">
        <f t="shared" si="78"/>
        <v>0</v>
      </c>
      <c r="J442" s="175" t="s">
        <v>167</v>
      </c>
      <c r="K442" s="134" t="s">
        <v>168</v>
      </c>
      <c r="L442" s="176"/>
      <c r="M442" s="217"/>
    </row>
    <row r="443" spans="1:23" ht="37.5" x14ac:dyDescent="0.25">
      <c r="B443" s="177" t="s">
        <v>819</v>
      </c>
      <c r="C443" s="135" t="s">
        <v>820</v>
      </c>
      <c r="D443" s="218" t="s">
        <v>821</v>
      </c>
      <c r="E443" s="65" t="s">
        <v>131</v>
      </c>
      <c r="F443" s="179">
        <v>1</v>
      </c>
      <c r="G443" s="45"/>
      <c r="H443" s="219"/>
      <c r="I443" s="60">
        <f>F443*G443</f>
        <v>0</v>
      </c>
      <c r="J443" s="61" t="s">
        <v>167</v>
      </c>
      <c r="K443" s="60" t="s">
        <v>168</v>
      </c>
      <c r="L443" s="62"/>
    </row>
    <row r="444" spans="1:23" s="74" customFormat="1" ht="77.25" x14ac:dyDescent="0.25">
      <c r="A444"/>
      <c r="B444" s="129" t="s">
        <v>803</v>
      </c>
      <c r="C444" s="135"/>
      <c r="D444" s="220" t="s">
        <v>822</v>
      </c>
      <c r="E444" s="134"/>
      <c r="F444" s="216"/>
      <c r="G444" s="132"/>
      <c r="H444" s="133"/>
      <c r="I444" s="134"/>
      <c r="J444" s="175"/>
      <c r="K444" s="134"/>
      <c r="L444" s="176"/>
      <c r="M444" s="217"/>
    </row>
    <row r="445" spans="1:23" s="74" customFormat="1" ht="56.25" x14ac:dyDescent="0.25">
      <c r="A445"/>
      <c r="B445" s="129" t="s">
        <v>803</v>
      </c>
      <c r="C445" s="135" t="s">
        <v>823</v>
      </c>
      <c r="D445" s="138" t="s">
        <v>824</v>
      </c>
      <c r="E445" s="134" t="s">
        <v>627</v>
      </c>
      <c r="F445" s="216">
        <v>12</v>
      </c>
      <c r="G445" s="132"/>
      <c r="H445" s="133"/>
      <c r="I445" s="134">
        <f t="shared" ref="I445:I446" si="79">F445*G445</f>
        <v>0</v>
      </c>
      <c r="J445" s="175" t="s">
        <v>167</v>
      </c>
      <c r="K445" s="134" t="s">
        <v>168</v>
      </c>
      <c r="L445" s="176"/>
      <c r="M445" s="217"/>
    </row>
    <row r="446" spans="1:23" s="162" customFormat="1" ht="37.5" x14ac:dyDescent="0.25">
      <c r="B446" s="221" t="s">
        <v>803</v>
      </c>
      <c r="C446" s="84" t="s">
        <v>825</v>
      </c>
      <c r="D446" s="222" t="s">
        <v>826</v>
      </c>
      <c r="E446" s="223" t="s">
        <v>131</v>
      </c>
      <c r="F446" s="224">
        <v>2</v>
      </c>
      <c r="G446" s="225"/>
      <c r="H446" s="226"/>
      <c r="I446" s="60">
        <f t="shared" si="79"/>
        <v>0</v>
      </c>
      <c r="J446" s="61" t="s">
        <v>167</v>
      </c>
      <c r="K446" s="60" t="s">
        <v>168</v>
      </c>
      <c r="L446" s="62"/>
      <c r="M446" s="171"/>
    </row>
    <row r="447" spans="1:23" ht="36" customHeight="1" x14ac:dyDescent="0.25">
      <c r="B447" s="240" t="s">
        <v>827</v>
      </c>
      <c r="C447" s="241"/>
      <c r="D447" s="241"/>
      <c r="E447" s="241"/>
      <c r="F447" s="241"/>
      <c r="G447" s="241"/>
      <c r="H447" s="242"/>
      <c r="I447" s="227">
        <f>SUM(I409:I446)</f>
        <v>0</v>
      </c>
      <c r="J447" s="227"/>
      <c r="K447" s="227"/>
      <c r="L447" s="228"/>
    </row>
    <row r="448" spans="1:23" ht="36" customHeight="1" x14ac:dyDescent="0.25">
      <c r="B448" s="229"/>
      <c r="C448" s="230"/>
      <c r="D448" s="231" t="s">
        <v>828</v>
      </c>
      <c r="E448" s="230"/>
      <c r="F448" s="230"/>
      <c r="G448" s="230"/>
      <c r="H448" s="230"/>
      <c r="I448" s="232"/>
      <c r="J448" s="230"/>
      <c r="K448" s="232"/>
      <c r="L448" s="233"/>
    </row>
    <row r="449" spans="1:13" s="162" customFormat="1" ht="375" x14ac:dyDescent="0.25">
      <c r="B449" s="163" t="s">
        <v>829</v>
      </c>
      <c r="C449" s="164"/>
      <c r="D449" s="165" t="s">
        <v>830</v>
      </c>
      <c r="E449" s="166"/>
      <c r="F449" s="167"/>
      <c r="G449" s="168"/>
      <c r="H449" s="169"/>
      <c r="I449" s="170"/>
      <c r="J449" s="167"/>
      <c r="K449" s="170"/>
      <c r="L449" s="169"/>
      <c r="M449" s="171"/>
    </row>
    <row r="450" spans="1:13" s="162" customFormat="1" ht="281.25" x14ac:dyDescent="0.25">
      <c r="B450" s="40" t="s">
        <v>831</v>
      </c>
      <c r="C450" s="84"/>
      <c r="D450" s="63" t="s">
        <v>832</v>
      </c>
      <c r="E450" s="60"/>
      <c r="F450" s="44"/>
      <c r="G450" s="45"/>
      <c r="H450" s="128"/>
      <c r="I450" s="60"/>
      <c r="J450" s="44"/>
      <c r="K450" s="60"/>
      <c r="L450" s="128"/>
      <c r="M450" s="171"/>
    </row>
    <row r="451" spans="1:13" ht="75" x14ac:dyDescent="0.25">
      <c r="B451" s="40" t="s">
        <v>831</v>
      </c>
      <c r="C451" s="84" t="s">
        <v>833</v>
      </c>
      <c r="D451" s="173" t="s">
        <v>834</v>
      </c>
      <c r="E451" s="65" t="s">
        <v>103</v>
      </c>
      <c r="F451" s="179">
        <v>1</v>
      </c>
      <c r="G451" s="45"/>
      <c r="H451" s="128"/>
      <c r="I451" s="60">
        <f t="shared" ref="I451:I457" si="80">F451*G451</f>
        <v>0</v>
      </c>
      <c r="J451" s="61" t="s">
        <v>167</v>
      </c>
      <c r="K451" s="60" t="s">
        <v>168</v>
      </c>
      <c r="L451" s="62"/>
    </row>
    <row r="452" spans="1:13" ht="75" x14ac:dyDescent="0.25">
      <c r="B452" s="177" t="s">
        <v>831</v>
      </c>
      <c r="C452" s="84" t="s">
        <v>835</v>
      </c>
      <c r="D452" s="173" t="s">
        <v>836</v>
      </c>
      <c r="E452" s="65" t="s">
        <v>131</v>
      </c>
      <c r="F452" s="179">
        <v>1</v>
      </c>
      <c r="G452" s="45"/>
      <c r="H452" s="180"/>
      <c r="I452" s="60">
        <f t="shared" si="80"/>
        <v>0</v>
      </c>
      <c r="J452" s="61" t="s">
        <v>167</v>
      </c>
      <c r="K452" s="60" t="s">
        <v>168</v>
      </c>
      <c r="L452" s="62"/>
    </row>
    <row r="453" spans="1:13" ht="18.75" x14ac:dyDescent="0.25">
      <c r="B453" s="40" t="s">
        <v>831</v>
      </c>
      <c r="C453" s="84" t="s">
        <v>837</v>
      </c>
      <c r="D453" s="173" t="s">
        <v>838</v>
      </c>
      <c r="E453" s="65" t="s">
        <v>103</v>
      </c>
      <c r="F453" s="179">
        <v>1</v>
      </c>
      <c r="G453" s="45"/>
      <c r="H453" s="128"/>
      <c r="I453" s="60">
        <f t="shared" si="80"/>
        <v>0</v>
      </c>
      <c r="J453" s="61" t="s">
        <v>167</v>
      </c>
      <c r="K453" s="60" t="s">
        <v>168</v>
      </c>
      <c r="L453" s="62"/>
    </row>
    <row r="454" spans="1:13" ht="56.25" x14ac:dyDescent="0.25">
      <c r="B454" s="40" t="s">
        <v>831</v>
      </c>
      <c r="C454" s="84" t="s">
        <v>839</v>
      </c>
      <c r="D454" s="173" t="s">
        <v>840</v>
      </c>
      <c r="E454" s="65" t="s">
        <v>103</v>
      </c>
      <c r="F454" s="179">
        <v>2</v>
      </c>
      <c r="G454" s="45"/>
      <c r="H454" s="128"/>
      <c r="I454" s="60">
        <f t="shared" si="80"/>
        <v>0</v>
      </c>
      <c r="J454" s="61" t="s">
        <v>167</v>
      </c>
      <c r="K454" s="60" t="s">
        <v>168</v>
      </c>
      <c r="L454" s="62"/>
    </row>
    <row r="455" spans="1:13" ht="18.75" x14ac:dyDescent="0.25">
      <c r="B455" s="40" t="s">
        <v>831</v>
      </c>
      <c r="C455" s="84" t="s">
        <v>841</v>
      </c>
      <c r="D455" s="173" t="s">
        <v>842</v>
      </c>
      <c r="E455" s="65" t="s">
        <v>103</v>
      </c>
      <c r="F455" s="179">
        <v>1</v>
      </c>
      <c r="G455" s="45"/>
      <c r="H455" s="128"/>
      <c r="I455" s="60">
        <f t="shared" si="80"/>
        <v>0</v>
      </c>
      <c r="J455" s="61" t="s">
        <v>167</v>
      </c>
      <c r="K455" s="60" t="s">
        <v>168</v>
      </c>
      <c r="L455" s="62"/>
    </row>
    <row r="456" spans="1:13" ht="18.75" x14ac:dyDescent="0.25">
      <c r="B456" s="40" t="s">
        <v>831</v>
      </c>
      <c r="C456" s="84" t="s">
        <v>843</v>
      </c>
      <c r="D456" s="173" t="s">
        <v>844</v>
      </c>
      <c r="E456" s="65" t="s">
        <v>103</v>
      </c>
      <c r="F456" s="179">
        <v>1</v>
      </c>
      <c r="G456" s="45"/>
      <c r="H456" s="128"/>
      <c r="I456" s="60">
        <f t="shared" si="80"/>
        <v>0</v>
      </c>
      <c r="J456" s="61" t="s">
        <v>167</v>
      </c>
      <c r="K456" s="60" t="s">
        <v>168</v>
      </c>
      <c r="L456" s="62"/>
    </row>
    <row r="457" spans="1:13" ht="37.5" x14ac:dyDescent="0.25">
      <c r="B457" s="40" t="s">
        <v>831</v>
      </c>
      <c r="C457" s="84" t="s">
        <v>845</v>
      </c>
      <c r="D457" s="173" t="s">
        <v>846</v>
      </c>
      <c r="E457" s="65" t="s">
        <v>103</v>
      </c>
      <c r="F457" s="179">
        <v>1</v>
      </c>
      <c r="G457" s="45"/>
      <c r="H457" s="128"/>
      <c r="I457" s="60">
        <f t="shared" si="80"/>
        <v>0</v>
      </c>
      <c r="J457" s="61" t="s">
        <v>167</v>
      </c>
      <c r="K457" s="60" t="s">
        <v>168</v>
      </c>
      <c r="L457" s="62"/>
    </row>
    <row r="458" spans="1:13" s="74" customFormat="1" ht="75" x14ac:dyDescent="0.25">
      <c r="A458"/>
      <c r="B458" s="129" t="s">
        <v>831</v>
      </c>
      <c r="C458" s="135"/>
      <c r="D458" s="136" t="s">
        <v>847</v>
      </c>
      <c r="E458" s="134"/>
      <c r="F458" s="127"/>
      <c r="G458" s="132"/>
      <c r="H458" s="133"/>
      <c r="I458" s="134"/>
      <c r="J458" s="175"/>
      <c r="K458" s="134"/>
      <c r="L458" s="176"/>
      <c r="M458" s="217"/>
    </row>
    <row r="459" spans="1:13" s="74" customFormat="1" ht="18.75" x14ac:dyDescent="0.25">
      <c r="A459"/>
      <c r="B459" s="129" t="s">
        <v>831</v>
      </c>
      <c r="C459" s="135" t="s">
        <v>848</v>
      </c>
      <c r="D459" s="138" t="s">
        <v>849</v>
      </c>
      <c r="E459" s="131" t="s">
        <v>131</v>
      </c>
      <c r="F459" s="216">
        <v>17</v>
      </c>
      <c r="G459" s="132"/>
      <c r="H459" s="133"/>
      <c r="I459" s="134">
        <f t="shared" ref="I459:I470" si="81">F459*G459</f>
        <v>0</v>
      </c>
      <c r="J459" s="175">
        <v>2280</v>
      </c>
      <c r="K459" s="134" t="s">
        <v>30</v>
      </c>
      <c r="L459" s="176"/>
      <c r="M459" s="217"/>
    </row>
    <row r="460" spans="1:13" ht="37.5" x14ac:dyDescent="0.25">
      <c r="B460" s="177" t="s">
        <v>831</v>
      </c>
      <c r="C460" s="135" t="s">
        <v>850</v>
      </c>
      <c r="D460" s="218" t="s">
        <v>851</v>
      </c>
      <c r="E460" s="65" t="s">
        <v>131</v>
      </c>
      <c r="F460" s="179">
        <v>2</v>
      </c>
      <c r="G460" s="58"/>
      <c r="H460" s="180"/>
      <c r="I460" s="60">
        <f>F460*G460</f>
        <v>0</v>
      </c>
      <c r="J460" s="61">
        <v>2280</v>
      </c>
      <c r="K460" s="60" t="s">
        <v>30</v>
      </c>
      <c r="L460" s="62"/>
    </row>
    <row r="461" spans="1:13" s="74" customFormat="1" ht="18.75" x14ac:dyDescent="0.25">
      <c r="A461"/>
      <c r="B461" s="129" t="s">
        <v>831</v>
      </c>
      <c r="C461" s="135" t="s">
        <v>852</v>
      </c>
      <c r="D461" s="218" t="s">
        <v>853</v>
      </c>
      <c r="E461" s="65" t="s">
        <v>627</v>
      </c>
      <c r="F461" s="179">
        <v>1</v>
      </c>
      <c r="G461" s="58"/>
      <c r="H461" s="133"/>
      <c r="I461" s="134">
        <f t="shared" si="81"/>
        <v>0</v>
      </c>
      <c r="J461" s="175">
        <v>2281</v>
      </c>
      <c r="K461" s="134" t="s">
        <v>30</v>
      </c>
      <c r="L461" s="176"/>
      <c r="M461" s="217"/>
    </row>
    <row r="462" spans="1:13" s="74" customFormat="1" ht="37.5" x14ac:dyDescent="0.25">
      <c r="A462"/>
      <c r="B462" s="129" t="s">
        <v>831</v>
      </c>
      <c r="C462" s="135" t="s">
        <v>854</v>
      </c>
      <c r="D462" s="218" t="s">
        <v>855</v>
      </c>
      <c r="E462" s="65" t="s">
        <v>627</v>
      </c>
      <c r="F462" s="179">
        <v>6</v>
      </c>
      <c r="G462" s="58"/>
      <c r="H462" s="133"/>
      <c r="I462" s="134">
        <f t="shared" si="81"/>
        <v>0</v>
      </c>
      <c r="J462" s="175" t="s">
        <v>167</v>
      </c>
      <c r="K462" s="134" t="s">
        <v>168</v>
      </c>
      <c r="L462" s="176"/>
      <c r="M462" s="217"/>
    </row>
    <row r="463" spans="1:13" ht="37.5" x14ac:dyDescent="0.25">
      <c r="B463" s="177" t="s">
        <v>831</v>
      </c>
      <c r="C463" s="135" t="s">
        <v>856</v>
      </c>
      <c r="D463" s="218" t="s">
        <v>857</v>
      </c>
      <c r="E463" s="65" t="s">
        <v>131</v>
      </c>
      <c r="F463" s="179">
        <v>13</v>
      </c>
      <c r="G463" s="45"/>
      <c r="H463" s="219"/>
      <c r="I463" s="60">
        <f>F463*G463</f>
        <v>0</v>
      </c>
      <c r="J463" s="61">
        <v>2280</v>
      </c>
      <c r="K463" s="60" t="s">
        <v>30</v>
      </c>
      <c r="L463" s="62"/>
    </row>
    <row r="464" spans="1:13" customFormat="1" ht="18.75" x14ac:dyDescent="0.25">
      <c r="B464" s="129" t="s">
        <v>831</v>
      </c>
      <c r="C464" s="135" t="s">
        <v>858</v>
      </c>
      <c r="D464" s="212" t="s">
        <v>859</v>
      </c>
      <c r="E464" s="134" t="s">
        <v>627</v>
      </c>
      <c r="F464" s="216">
        <v>3</v>
      </c>
      <c r="G464" s="132"/>
      <c r="H464" s="133"/>
      <c r="I464" s="134">
        <f t="shared" ref="I464" si="82">F464*G464</f>
        <v>0</v>
      </c>
      <c r="J464" s="175" t="s">
        <v>167</v>
      </c>
      <c r="K464" s="134" t="s">
        <v>168</v>
      </c>
      <c r="L464" s="176"/>
      <c r="M464" s="215"/>
    </row>
    <row r="465" spans="1:23" ht="37.5" x14ac:dyDescent="0.25">
      <c r="B465" s="177" t="s">
        <v>831</v>
      </c>
      <c r="C465" s="135" t="s">
        <v>860</v>
      </c>
      <c r="D465" s="204" t="s">
        <v>861</v>
      </c>
      <c r="E465" s="65" t="s">
        <v>131</v>
      </c>
      <c r="F465" s="179">
        <v>3</v>
      </c>
      <c r="G465" s="45"/>
      <c r="H465" s="219"/>
      <c r="I465" s="60">
        <f>F465*G465</f>
        <v>0</v>
      </c>
      <c r="J465" s="61" t="s">
        <v>167</v>
      </c>
      <c r="K465" s="60" t="s">
        <v>168</v>
      </c>
      <c r="L465" s="62"/>
    </row>
    <row r="466" spans="1:23" customFormat="1" ht="18.75" x14ac:dyDescent="0.25">
      <c r="B466" s="129" t="s">
        <v>831</v>
      </c>
      <c r="C466" s="135" t="s">
        <v>862</v>
      </c>
      <c r="D466" s="212" t="s">
        <v>863</v>
      </c>
      <c r="E466" s="134" t="s">
        <v>627</v>
      </c>
      <c r="F466" s="216">
        <v>7</v>
      </c>
      <c r="G466" s="132"/>
      <c r="H466" s="133"/>
      <c r="I466" s="134">
        <f t="shared" si="81"/>
        <v>0</v>
      </c>
      <c r="J466" s="175" t="s">
        <v>167</v>
      </c>
      <c r="K466" s="134" t="s">
        <v>168</v>
      </c>
      <c r="L466" s="176"/>
      <c r="M466" s="215"/>
    </row>
    <row r="467" spans="1:23" ht="37.5" x14ac:dyDescent="0.25">
      <c r="B467" s="177" t="s">
        <v>831</v>
      </c>
      <c r="C467" s="135" t="s">
        <v>864</v>
      </c>
      <c r="D467" s="206" t="s">
        <v>865</v>
      </c>
      <c r="E467" s="65" t="s">
        <v>131</v>
      </c>
      <c r="F467" s="179">
        <v>5</v>
      </c>
      <c r="G467" s="45"/>
      <c r="H467" s="219"/>
      <c r="I467" s="60">
        <f t="shared" si="81"/>
        <v>0</v>
      </c>
      <c r="J467" s="61" t="s">
        <v>167</v>
      </c>
      <c r="K467" s="60" t="s">
        <v>168</v>
      </c>
      <c r="L467" s="62"/>
    </row>
    <row r="468" spans="1:23" customFormat="1" ht="18.75" x14ac:dyDescent="0.25">
      <c r="B468" s="129" t="s">
        <v>831</v>
      </c>
      <c r="C468" s="135" t="s">
        <v>866</v>
      </c>
      <c r="D468" s="212" t="s">
        <v>867</v>
      </c>
      <c r="E468" s="134" t="s">
        <v>627</v>
      </c>
      <c r="F468" s="127">
        <v>7</v>
      </c>
      <c r="G468" s="132"/>
      <c r="H468" s="133"/>
      <c r="I468" s="134">
        <f t="shared" si="81"/>
        <v>0</v>
      </c>
      <c r="J468" s="175" t="s">
        <v>167</v>
      </c>
      <c r="K468" s="134" t="s">
        <v>168</v>
      </c>
      <c r="L468" s="176"/>
      <c r="M468" s="215"/>
    </row>
    <row r="469" spans="1:23" customFormat="1" ht="18.75" x14ac:dyDescent="0.25">
      <c r="B469" s="129" t="s">
        <v>831</v>
      </c>
      <c r="C469" s="135" t="s">
        <v>868</v>
      </c>
      <c r="D469" s="212" t="s">
        <v>869</v>
      </c>
      <c r="E469" s="134" t="s">
        <v>627</v>
      </c>
      <c r="F469" s="127">
        <v>11</v>
      </c>
      <c r="G469" s="132"/>
      <c r="H469" s="133"/>
      <c r="I469" s="134">
        <f t="shared" si="81"/>
        <v>0</v>
      </c>
      <c r="J469" s="175" t="s">
        <v>167</v>
      </c>
      <c r="K469" s="134" t="s">
        <v>168</v>
      </c>
      <c r="L469" s="176"/>
      <c r="M469" s="215"/>
    </row>
    <row r="470" spans="1:23" ht="18.75" x14ac:dyDescent="0.25">
      <c r="B470" s="177" t="s">
        <v>831</v>
      </c>
      <c r="C470" s="135" t="s">
        <v>870</v>
      </c>
      <c r="D470" s="212" t="s">
        <v>871</v>
      </c>
      <c r="E470" s="65" t="s">
        <v>131</v>
      </c>
      <c r="F470" s="127">
        <v>4</v>
      </c>
      <c r="G470" s="132"/>
      <c r="H470" s="180"/>
      <c r="I470" s="60">
        <f t="shared" si="81"/>
        <v>0</v>
      </c>
      <c r="J470" s="61" t="s">
        <v>167</v>
      </c>
      <c r="K470" s="60" t="s">
        <v>168</v>
      </c>
      <c r="L470" s="62"/>
    </row>
    <row r="471" spans="1:23" s="162" customFormat="1" ht="281.25" x14ac:dyDescent="0.25">
      <c r="B471" s="40" t="s">
        <v>819</v>
      </c>
      <c r="C471" s="84"/>
      <c r="D471" s="63" t="s">
        <v>872</v>
      </c>
      <c r="E471" s="60"/>
      <c r="F471" s="44"/>
      <c r="G471" s="45"/>
      <c r="H471" s="128"/>
      <c r="I471" s="60"/>
      <c r="J471" s="61"/>
      <c r="K471" s="60"/>
      <c r="L471" s="62"/>
      <c r="M471" s="171"/>
    </row>
    <row r="472" spans="1:23" ht="37.5" x14ac:dyDescent="0.25">
      <c r="B472" s="177" t="s">
        <v>819</v>
      </c>
      <c r="C472" s="178" t="s">
        <v>873</v>
      </c>
      <c r="D472" s="234" t="s">
        <v>874</v>
      </c>
      <c r="E472" s="65" t="s">
        <v>131</v>
      </c>
      <c r="F472" s="179">
        <v>6</v>
      </c>
      <c r="G472" s="45"/>
      <c r="H472" s="219"/>
      <c r="I472" s="60">
        <f t="shared" ref="I472" si="83">F472*G472</f>
        <v>0</v>
      </c>
      <c r="J472" s="61" t="s">
        <v>167</v>
      </c>
      <c r="K472" s="60" t="s">
        <v>168</v>
      </c>
      <c r="L472" s="62"/>
    </row>
    <row r="473" spans="1:23" ht="56.25" x14ac:dyDescent="0.25">
      <c r="B473" s="177" t="s">
        <v>819</v>
      </c>
      <c r="C473" s="178" t="s">
        <v>875</v>
      </c>
      <c r="D473" s="218" t="s">
        <v>876</v>
      </c>
      <c r="E473" s="65" t="s">
        <v>131</v>
      </c>
      <c r="F473" s="179">
        <v>8</v>
      </c>
      <c r="G473" s="45"/>
      <c r="H473" s="219"/>
      <c r="I473" s="60">
        <f>F473*G473</f>
        <v>0</v>
      </c>
      <c r="J473" s="61" t="s">
        <v>167</v>
      </c>
      <c r="K473" s="60" t="s">
        <v>168</v>
      </c>
      <c r="L473" s="62"/>
    </row>
    <row r="474" spans="1:23" s="162" customFormat="1" ht="262.5" x14ac:dyDescent="0.25">
      <c r="B474" s="40" t="s">
        <v>877</v>
      </c>
      <c r="C474" s="84"/>
      <c r="D474" s="63" t="s">
        <v>878</v>
      </c>
      <c r="E474" s="60"/>
      <c r="F474" s="44"/>
      <c r="G474" s="45"/>
      <c r="H474" s="128"/>
      <c r="I474" s="60"/>
      <c r="J474" s="61"/>
      <c r="K474" s="60"/>
      <c r="L474" s="62"/>
      <c r="M474" s="171"/>
    </row>
    <row r="475" spans="1:23" s="74" customFormat="1" ht="48.75" customHeight="1" x14ac:dyDescent="0.25">
      <c r="A475" s="27"/>
      <c r="B475" s="40" t="s">
        <v>877</v>
      </c>
      <c r="C475" s="84" t="s">
        <v>879</v>
      </c>
      <c r="D475" s="173" t="s">
        <v>880</v>
      </c>
      <c r="E475" s="65" t="s">
        <v>131</v>
      </c>
      <c r="F475" s="44">
        <v>2</v>
      </c>
      <c r="G475" s="45"/>
      <c r="H475" s="128"/>
      <c r="I475" s="60">
        <f t="shared" ref="I475:I477" si="84">F475*G475</f>
        <v>0</v>
      </c>
      <c r="J475" s="61" t="s">
        <v>167</v>
      </c>
      <c r="K475" s="174" t="s">
        <v>168</v>
      </c>
      <c r="L475" s="62"/>
      <c r="M475" s="26"/>
      <c r="N475" s="27"/>
      <c r="O475" s="27"/>
      <c r="P475" s="27"/>
      <c r="Q475" s="27"/>
      <c r="R475" s="27"/>
      <c r="S475" s="27"/>
      <c r="T475" s="27"/>
      <c r="U475" s="27"/>
      <c r="V475" s="27"/>
      <c r="W475" s="27"/>
    </row>
    <row r="476" spans="1:23" s="74" customFormat="1" ht="18.75" x14ac:dyDescent="0.25">
      <c r="A476" s="27"/>
      <c r="B476" s="40" t="s">
        <v>877</v>
      </c>
      <c r="C476" s="84" t="s">
        <v>881</v>
      </c>
      <c r="D476" s="218" t="s">
        <v>882</v>
      </c>
      <c r="E476" s="60" t="s">
        <v>627</v>
      </c>
      <c r="F476" s="44">
        <v>3</v>
      </c>
      <c r="G476" s="45"/>
      <c r="H476" s="128"/>
      <c r="I476" s="60">
        <f>F476*G476</f>
        <v>0</v>
      </c>
      <c r="J476" s="61" t="s">
        <v>167</v>
      </c>
      <c r="K476" s="174" t="s">
        <v>168</v>
      </c>
      <c r="L476" s="62"/>
      <c r="M476" s="26"/>
      <c r="N476" s="27"/>
      <c r="O476" s="27"/>
      <c r="P476" s="27"/>
      <c r="Q476" s="27"/>
      <c r="R476" s="27"/>
      <c r="S476" s="27"/>
      <c r="T476" s="27"/>
      <c r="U476" s="27"/>
      <c r="V476" s="27"/>
      <c r="W476" s="27"/>
    </row>
    <row r="477" spans="1:23" ht="37.5" x14ac:dyDescent="0.25">
      <c r="B477" s="177" t="s">
        <v>877</v>
      </c>
      <c r="C477" s="84" t="s">
        <v>883</v>
      </c>
      <c r="D477" s="234" t="s">
        <v>884</v>
      </c>
      <c r="E477" s="65" t="s">
        <v>131</v>
      </c>
      <c r="F477" s="183">
        <v>3</v>
      </c>
      <c r="G477" s="45"/>
      <c r="H477" s="219"/>
      <c r="I477" s="60">
        <f t="shared" si="84"/>
        <v>0</v>
      </c>
      <c r="J477" s="61" t="s">
        <v>167</v>
      </c>
      <c r="K477" s="60" t="s">
        <v>168</v>
      </c>
      <c r="L477" s="62"/>
    </row>
    <row r="478" spans="1:23" s="74" customFormat="1" ht="37.5" x14ac:dyDescent="0.25">
      <c r="A478" s="27"/>
      <c r="B478" s="40" t="s">
        <v>877</v>
      </c>
      <c r="C478" s="84" t="s">
        <v>885</v>
      </c>
      <c r="D478" s="218" t="s">
        <v>886</v>
      </c>
      <c r="E478" s="60" t="s">
        <v>627</v>
      </c>
      <c r="F478" s="44">
        <v>8</v>
      </c>
      <c r="G478" s="45"/>
      <c r="H478" s="128"/>
      <c r="I478" s="60">
        <f>F478*G478</f>
        <v>0</v>
      </c>
      <c r="J478" s="61" t="s">
        <v>167</v>
      </c>
      <c r="K478" s="174" t="s">
        <v>168</v>
      </c>
      <c r="L478" s="62"/>
      <c r="M478" s="26"/>
      <c r="N478" s="27"/>
      <c r="O478" s="27"/>
      <c r="P478" s="27"/>
      <c r="Q478" s="27"/>
      <c r="R478" s="27"/>
      <c r="S478" s="27"/>
      <c r="T478" s="27"/>
      <c r="U478" s="27"/>
      <c r="V478" s="27"/>
      <c r="W478" s="27"/>
    </row>
    <row r="479" spans="1:23" s="74" customFormat="1" ht="18.75" x14ac:dyDescent="0.25">
      <c r="A479" s="27"/>
      <c r="B479" s="40" t="s">
        <v>877</v>
      </c>
      <c r="C479" s="84" t="s">
        <v>887</v>
      </c>
      <c r="D479" s="218" t="s">
        <v>888</v>
      </c>
      <c r="E479" s="60" t="s">
        <v>627</v>
      </c>
      <c r="F479" s="44">
        <v>6</v>
      </c>
      <c r="G479" s="45"/>
      <c r="H479" s="128"/>
      <c r="I479" s="60">
        <f>F479*G479</f>
        <v>0</v>
      </c>
      <c r="J479" s="61" t="s">
        <v>167</v>
      </c>
      <c r="K479" s="174" t="s">
        <v>168</v>
      </c>
      <c r="L479" s="62"/>
      <c r="M479" s="26"/>
      <c r="N479" s="27"/>
      <c r="O479" s="27"/>
      <c r="P479" s="27"/>
      <c r="Q479" s="27"/>
      <c r="R479" s="27"/>
      <c r="S479" s="27"/>
      <c r="T479" s="27"/>
      <c r="U479" s="27"/>
      <c r="V479" s="27"/>
      <c r="W479" s="27"/>
    </row>
    <row r="480" spans="1:23" s="74" customFormat="1" ht="18.75" x14ac:dyDescent="0.25">
      <c r="A480" s="27"/>
      <c r="B480" s="40" t="s">
        <v>877</v>
      </c>
      <c r="C480" s="84" t="s">
        <v>889</v>
      </c>
      <c r="D480" s="218" t="s">
        <v>890</v>
      </c>
      <c r="E480" s="60" t="s">
        <v>627</v>
      </c>
      <c r="F480" s="44">
        <v>6</v>
      </c>
      <c r="G480" s="45"/>
      <c r="H480" s="128"/>
      <c r="I480" s="60">
        <f t="shared" ref="I480" si="85">F480*G480</f>
        <v>0</v>
      </c>
      <c r="J480" s="61" t="s">
        <v>167</v>
      </c>
      <c r="K480" s="174" t="s">
        <v>168</v>
      </c>
      <c r="L480" s="62"/>
      <c r="M480" s="26"/>
      <c r="N480" s="27"/>
      <c r="O480" s="27"/>
      <c r="P480" s="27"/>
      <c r="Q480" s="27"/>
      <c r="R480" s="27"/>
      <c r="S480" s="27"/>
      <c r="T480" s="27"/>
      <c r="U480" s="27"/>
      <c r="V480" s="27"/>
      <c r="W480" s="27"/>
    </row>
    <row r="481" spans="2:13" ht="36" customHeight="1" x14ac:dyDescent="0.25">
      <c r="B481" s="243" t="s">
        <v>891</v>
      </c>
      <c r="C481" s="244"/>
      <c r="D481" s="244"/>
      <c r="E481" s="244"/>
      <c r="F481" s="244"/>
      <c r="G481" s="244"/>
      <c r="H481" s="245"/>
      <c r="I481" s="235">
        <f>SUM(I449:I480)</f>
        <v>0</v>
      </c>
      <c r="J481" s="236"/>
      <c r="K481" s="235"/>
      <c r="L481" s="236"/>
      <c r="M481" s="171"/>
    </row>
    <row r="482" spans="2:13" ht="36" customHeight="1" x14ac:dyDescent="0.25">
      <c r="B482" s="246" t="s">
        <v>892</v>
      </c>
      <c r="C482" s="247"/>
      <c r="D482" s="247"/>
      <c r="E482" s="247"/>
      <c r="F482" s="247"/>
      <c r="G482" s="247"/>
      <c r="H482" s="248"/>
      <c r="I482" s="237">
        <f>I181+I328+I407+I447+I481</f>
        <v>0</v>
      </c>
      <c r="J482" s="238"/>
      <c r="K482" s="237"/>
      <c r="L482" s="238"/>
    </row>
  </sheetData>
  <sheetProtection password="ED09" sheet="1" objects="1" scenarios="1"/>
  <autoFilter ref="B1:I1"/>
  <mergeCells count="9">
    <mergeCell ref="B447:H447"/>
    <mergeCell ref="B481:H481"/>
    <mergeCell ref="B482:H482"/>
    <mergeCell ref="B2:L2"/>
    <mergeCell ref="B3:K3"/>
    <mergeCell ref="B4:K4"/>
    <mergeCell ref="B181:H181"/>
    <mergeCell ref="B328:H328"/>
    <mergeCell ref="B407:H407"/>
  </mergeCells>
  <conditionalFormatting sqref="F181:G181">
    <cfRule type="cellIs" dxfId="4" priority="5" operator="lessThanOrEqual">
      <formula>0</formula>
    </cfRule>
  </conditionalFormatting>
  <conditionalFormatting sqref="F328:G328">
    <cfRule type="cellIs" dxfId="3" priority="4" operator="lessThanOrEqual">
      <formula>0</formula>
    </cfRule>
  </conditionalFormatting>
  <conditionalFormatting sqref="F407:G407">
    <cfRule type="cellIs" dxfId="2" priority="3" operator="lessThanOrEqual">
      <formula>0</formula>
    </cfRule>
  </conditionalFormatting>
  <conditionalFormatting sqref="F447:G447">
    <cfRule type="cellIs" dxfId="1" priority="2" operator="lessThanOrEqual">
      <formula>0</formula>
    </cfRule>
  </conditionalFormatting>
  <conditionalFormatting sqref="F481:G482">
    <cfRule type="cellIs" dxfId="0" priority="1" operator="lessThanOrEqual">
      <formula>0</formula>
    </cfRule>
  </conditionalFormatting>
  <printOptions horizontalCentered="1"/>
  <pageMargins left="0.49107142857142899" right="0.45401785700000002" top="1.7" bottom="0.62992125984252001" header="0.90551181102362199" footer="0.27559055118110198"/>
  <pageSetup paperSize="9" scale="57" fitToHeight="0" orientation="landscape" useFirstPageNumber="1" r:id="rId1"/>
  <headerFooter>
    <oddHeader>&amp;L&amp;14مشروع الادارة العامة للإيواء بعسير&amp;C&amp;G&amp;R&amp;14المملكة العربية السعودية
وزارة الداخلية
وكالة وزارة الداخلية للقدرات الأمنية</oddHeader>
    <oddFooter>&amp;CPage &amp;P of &amp;N</oddFooter>
  </headerFooter>
  <rowBreaks count="6" manualBreakCount="6">
    <brk id="174" min="1" max="11" man="1"/>
    <brk id="181" min="1" max="11" man="1"/>
    <brk id="328" min="1" max="11" man="1"/>
    <brk id="407" min="1" max="11" man="1"/>
    <brk id="436" min="1" max="11" man="1"/>
    <brk id="447" min="1" max="11"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الدفاع المدني </vt:lpstr>
      <vt:lpstr>'الدفاع المدني '!Print_Area</vt:lpstr>
      <vt:lpstr>'الدفاع المدني '!Print_Titles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Keritam (Contractors)</dc:creator>
  <cp:lastModifiedBy>Ahmed Keritam (Contractors)</cp:lastModifiedBy>
  <dcterms:created xsi:type="dcterms:W3CDTF">2025-12-31T07:44:39Z</dcterms:created>
  <dcterms:modified xsi:type="dcterms:W3CDTF">2025-12-31T08:07:10Z</dcterms:modified>
</cp:coreProperties>
</file>