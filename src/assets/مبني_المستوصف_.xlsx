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keritam\Documents\Desktop\ملفات منفصلة\ماكرو\عسير مقفول\"/>
    </mc:Choice>
  </mc:AlternateContent>
  <bookViews>
    <workbookView xWindow="0" yWindow="0" windowWidth="28800" windowHeight="12435"/>
  </bookViews>
  <sheets>
    <sheet name="مبني المستوصف " sheetId="1" r:id="rId1"/>
  </sheets>
  <definedNames>
    <definedName name="_xlnm._FilterDatabase" localSheetId="0" hidden="1">'مبني المستوصف '!$B$1:$I$405</definedName>
    <definedName name="_xlnm.Print_Area" localSheetId="0">'مبني المستوصف '!$B$2:$L$1029</definedName>
    <definedName name="_xlnm.Print_Titles" localSheetId="0">'مبني المستوصف '!$3:$6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27" i="1" l="1"/>
  <c r="I1026" i="1"/>
  <c r="I1025" i="1"/>
  <c r="I1024" i="1"/>
  <c r="I1023" i="1"/>
  <c r="I1022" i="1"/>
  <c r="I1020" i="1"/>
  <c r="I1019" i="1"/>
  <c r="I1018" i="1"/>
  <c r="I1017" i="1"/>
  <c r="I1016" i="1"/>
  <c r="I1015" i="1"/>
  <c r="I1013" i="1"/>
  <c r="I1012" i="1"/>
  <c r="I1011" i="1"/>
  <c r="I1010" i="1"/>
  <c r="I1009" i="1"/>
  <c r="I1008" i="1"/>
  <c r="I1007" i="1"/>
  <c r="I1006" i="1"/>
  <c r="I1005" i="1"/>
  <c r="I1004" i="1"/>
  <c r="I1003" i="1"/>
  <c r="I1002" i="1"/>
  <c r="I1028" i="1" s="1"/>
  <c r="I1001" i="1"/>
  <c r="I1000" i="1"/>
  <c r="I998" i="1"/>
  <c r="I993" i="1"/>
  <c r="I992" i="1"/>
  <c r="I991" i="1"/>
  <c r="I990" i="1"/>
  <c r="I989" i="1"/>
  <c r="I988" i="1"/>
  <c r="I987" i="1"/>
  <c r="I986" i="1"/>
  <c r="I985" i="1"/>
  <c r="I984" i="1"/>
  <c r="I982" i="1"/>
  <c r="I980" i="1"/>
  <c r="I979" i="1"/>
  <c r="I977" i="1"/>
  <c r="I976" i="1"/>
  <c r="I975" i="1"/>
  <c r="I974" i="1"/>
  <c r="I973" i="1"/>
  <c r="I972" i="1"/>
  <c r="I971" i="1"/>
  <c r="I970" i="1"/>
  <c r="I969" i="1"/>
  <c r="I968" i="1"/>
  <c r="I967" i="1"/>
  <c r="I966" i="1"/>
  <c r="I965" i="1"/>
  <c r="I964" i="1"/>
  <c r="I963" i="1"/>
  <c r="I962" i="1"/>
  <c r="I960" i="1"/>
  <c r="I959" i="1"/>
  <c r="I958" i="1"/>
  <c r="I956" i="1"/>
  <c r="I955" i="1"/>
  <c r="I954" i="1"/>
  <c r="I952" i="1"/>
  <c r="I951"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0" i="1"/>
  <c r="I919" i="1"/>
  <c r="I994" i="1" s="1"/>
  <c r="I913" i="1"/>
  <c r="I911" i="1"/>
  <c r="I910" i="1"/>
  <c r="I908" i="1"/>
  <c r="I906" i="1"/>
  <c r="I905" i="1"/>
  <c r="I904" i="1"/>
  <c r="I903" i="1"/>
  <c r="I902" i="1"/>
  <c r="I901" i="1"/>
  <c r="I900" i="1"/>
  <c r="I898"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0" i="1"/>
  <c r="I859" i="1"/>
  <c r="I858" i="1"/>
  <c r="I857" i="1"/>
  <c r="I855" i="1"/>
  <c r="I854" i="1"/>
  <c r="I853" i="1"/>
  <c r="I852" i="1"/>
  <c r="I851" i="1"/>
  <c r="I850" i="1"/>
  <c r="I849" i="1"/>
  <c r="I848" i="1"/>
  <c r="I847" i="1"/>
  <c r="I846" i="1"/>
  <c r="I845" i="1"/>
  <c r="I844" i="1"/>
  <c r="I843" i="1"/>
  <c r="I842" i="1"/>
  <c r="I841" i="1"/>
  <c r="I840" i="1"/>
  <c r="I839" i="1"/>
  <c r="I838" i="1"/>
  <c r="I837" i="1"/>
  <c r="I836" i="1"/>
  <c r="I835" i="1"/>
  <c r="I834" i="1"/>
  <c r="I833" i="1"/>
  <c r="I832"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8" i="1"/>
  <c r="I767" i="1"/>
  <c r="I765" i="1"/>
  <c r="I764" i="1"/>
  <c r="I763" i="1"/>
  <c r="I762" i="1"/>
  <c r="I761" i="1"/>
  <c r="I760" i="1"/>
  <c r="I759" i="1"/>
  <c r="I758" i="1"/>
  <c r="I757" i="1"/>
  <c r="I756" i="1"/>
  <c r="I755" i="1"/>
  <c r="I754" i="1"/>
  <c r="I753" i="1"/>
  <c r="I752" i="1"/>
  <c r="I751" i="1"/>
  <c r="I750" i="1"/>
  <c r="I749" i="1"/>
  <c r="I748" i="1"/>
  <c r="I747" i="1"/>
  <c r="I746" i="1"/>
  <c r="I745" i="1"/>
  <c r="I744" i="1"/>
  <c r="I742" i="1"/>
  <c r="I741" i="1"/>
  <c r="I740" i="1"/>
  <c r="I914" i="1" s="1"/>
  <c r="I739" i="1"/>
  <c r="I738" i="1"/>
  <c r="I732" i="1"/>
  <c r="I730" i="1"/>
  <c r="I729" i="1"/>
  <c r="I728" i="1"/>
  <c r="I727" i="1"/>
  <c r="I726" i="1"/>
  <c r="I725" i="1"/>
  <c r="I724" i="1"/>
  <c r="I722" i="1"/>
  <c r="I721" i="1"/>
  <c r="I720" i="1"/>
  <c r="I718" i="1"/>
  <c r="I716" i="1"/>
  <c r="I715" i="1"/>
  <c r="I714" i="1"/>
  <c r="I713" i="1"/>
  <c r="I711" i="1"/>
  <c r="I710" i="1"/>
  <c r="I709" i="1"/>
  <c r="I708" i="1"/>
  <c r="I707" i="1"/>
  <c r="I706" i="1"/>
  <c r="I705" i="1"/>
  <c r="I703" i="1"/>
  <c r="I702" i="1"/>
  <c r="I701" i="1"/>
  <c r="I700" i="1"/>
  <c r="I699" i="1"/>
  <c r="I698" i="1"/>
  <c r="I697" i="1"/>
  <c r="I696" i="1"/>
  <c r="I695" i="1"/>
  <c r="I693" i="1"/>
  <c r="I692" i="1"/>
  <c r="I691" i="1"/>
  <c r="I690" i="1"/>
  <c r="I688" i="1"/>
  <c r="I687" i="1"/>
  <c r="I686" i="1"/>
  <c r="I684" i="1"/>
  <c r="I683" i="1"/>
  <c r="I682" i="1"/>
  <c r="I681" i="1"/>
  <c r="I680" i="1"/>
  <c r="I679" i="1"/>
  <c r="I678" i="1"/>
  <c r="I677" i="1"/>
  <c r="I675" i="1"/>
  <c r="I674" i="1"/>
  <c r="I672" i="1"/>
  <c r="I671" i="1"/>
  <c r="I669" i="1"/>
  <c r="I668" i="1"/>
  <c r="I667" i="1"/>
  <c r="I666" i="1"/>
  <c r="I664" i="1"/>
  <c r="I663" i="1"/>
  <c r="I662" i="1"/>
  <c r="I661" i="1"/>
  <c r="I660" i="1"/>
  <c r="I658" i="1"/>
  <c r="I657" i="1"/>
  <c r="I656" i="1"/>
  <c r="I654" i="1"/>
  <c r="I653" i="1"/>
  <c r="I652" i="1"/>
  <c r="I651" i="1"/>
  <c r="I650" i="1"/>
  <c r="I649" i="1"/>
  <c r="I646" i="1"/>
  <c r="I645" i="1"/>
  <c r="I644" i="1"/>
  <c r="I642" i="1"/>
  <c r="I641" i="1"/>
  <c r="I639" i="1"/>
  <c r="I638" i="1"/>
  <c r="I637" i="1"/>
  <c r="I635" i="1"/>
  <c r="I634" i="1"/>
  <c r="I633" i="1"/>
  <c r="I632" i="1"/>
  <c r="I631" i="1"/>
  <c r="I630" i="1"/>
  <c r="I629" i="1"/>
  <c r="I628" i="1"/>
  <c r="I627" i="1"/>
  <c r="I626" i="1"/>
  <c r="I625" i="1"/>
  <c r="I624" i="1"/>
  <c r="I623" i="1"/>
  <c r="I622" i="1"/>
  <c r="I621" i="1"/>
  <c r="I619" i="1"/>
  <c r="I617" i="1"/>
  <c r="I616" i="1"/>
  <c r="I615" i="1"/>
  <c r="I614" i="1"/>
  <c r="I613" i="1"/>
  <c r="I612" i="1"/>
  <c r="I611" i="1"/>
  <c r="I610" i="1"/>
  <c r="I609" i="1"/>
  <c r="I608" i="1"/>
  <c r="I607" i="1"/>
  <c r="I606" i="1"/>
  <c r="I605" i="1"/>
  <c r="I604" i="1"/>
  <c r="I603" i="1"/>
  <c r="I602" i="1"/>
  <c r="I601" i="1"/>
  <c r="I600" i="1"/>
  <c r="I599" i="1"/>
  <c r="I598" i="1"/>
  <c r="I597" i="1"/>
  <c r="I596" i="1"/>
  <c r="I595" i="1"/>
  <c r="I593" i="1"/>
  <c r="I592" i="1"/>
  <c r="I591" i="1"/>
  <c r="I590" i="1"/>
  <c r="I589" i="1"/>
  <c r="I588" i="1"/>
  <c r="I587" i="1"/>
  <c r="I586" i="1"/>
  <c r="I584" i="1"/>
  <c r="I583" i="1"/>
  <c r="I582" i="1"/>
  <c r="I581" i="1"/>
  <c r="I579" i="1"/>
  <c r="I578" i="1"/>
  <c r="I577" i="1"/>
  <c r="I576" i="1"/>
  <c r="I575" i="1"/>
  <c r="I573" i="1"/>
  <c r="I572" i="1"/>
  <c r="I571" i="1"/>
  <c r="I568" i="1"/>
  <c r="I566" i="1"/>
  <c r="I565" i="1"/>
  <c r="I564" i="1"/>
  <c r="I562" i="1"/>
  <c r="I561" i="1"/>
  <c r="I560" i="1"/>
  <c r="I559" i="1"/>
  <c r="I557" i="1"/>
  <c r="I556" i="1"/>
  <c r="I555" i="1"/>
  <c r="I554" i="1"/>
  <c r="I553" i="1"/>
  <c r="I551" i="1"/>
  <c r="I549" i="1"/>
  <c r="I547" i="1"/>
  <c r="I545" i="1"/>
  <c r="I543" i="1"/>
  <c r="I541" i="1"/>
  <c r="I539" i="1"/>
  <c r="I538" i="1"/>
  <c r="I537" i="1"/>
  <c r="I536" i="1"/>
  <c r="I534" i="1"/>
  <c r="I533" i="1"/>
  <c r="I530" i="1"/>
  <c r="I529" i="1"/>
  <c r="I528" i="1"/>
  <c r="I527" i="1"/>
  <c r="I526" i="1"/>
  <c r="I525" i="1"/>
  <c r="I524" i="1"/>
  <c r="I523" i="1"/>
  <c r="I522" i="1"/>
  <c r="I521" i="1"/>
  <c r="I520" i="1"/>
  <c r="I518" i="1"/>
  <c r="I517" i="1"/>
  <c r="I516" i="1"/>
  <c r="I515" i="1"/>
  <c r="I514" i="1"/>
  <c r="I513" i="1"/>
  <c r="I511" i="1"/>
  <c r="I510" i="1"/>
  <c r="I509" i="1"/>
  <c r="I508" i="1"/>
  <c r="I507" i="1"/>
  <c r="I506" i="1"/>
  <c r="I505" i="1"/>
  <c r="I504" i="1"/>
  <c r="I502" i="1"/>
  <c r="I501" i="1"/>
  <c r="I499" i="1"/>
  <c r="I497" i="1"/>
  <c r="I495" i="1"/>
  <c r="I494" i="1"/>
  <c r="I493" i="1"/>
  <c r="I492" i="1"/>
  <c r="I491" i="1"/>
  <c r="I490" i="1"/>
  <c r="I489" i="1"/>
  <c r="I488" i="1"/>
  <c r="I487" i="1"/>
  <c r="I486" i="1"/>
  <c r="I485" i="1"/>
  <c r="I484" i="1"/>
  <c r="I483" i="1"/>
  <c r="I481" i="1"/>
  <c r="I480" i="1"/>
  <c r="I478" i="1"/>
  <c r="I476" i="1"/>
  <c r="I475" i="1"/>
  <c r="I474" i="1"/>
  <c r="I472" i="1"/>
  <c r="I470" i="1"/>
  <c r="I468" i="1"/>
  <c r="I466" i="1"/>
  <c r="I465" i="1"/>
  <c r="I464" i="1"/>
  <c r="I462" i="1"/>
  <c r="I461" i="1"/>
  <c r="I460" i="1"/>
  <c r="I459" i="1"/>
  <c r="I458" i="1"/>
  <c r="I456" i="1"/>
  <c r="I455" i="1"/>
  <c r="I454" i="1"/>
  <c r="I453" i="1"/>
  <c r="I452" i="1"/>
  <c r="I451" i="1"/>
  <c r="I448" i="1"/>
  <c r="I447" i="1"/>
  <c r="I446" i="1"/>
  <c r="I445" i="1"/>
  <c r="I444" i="1"/>
  <c r="I442" i="1"/>
  <c r="I440" i="1"/>
  <c r="I438" i="1"/>
  <c r="I437" i="1"/>
  <c r="I436" i="1"/>
  <c r="I435" i="1"/>
  <c r="I434" i="1"/>
  <c r="I433" i="1"/>
  <c r="I432" i="1"/>
  <c r="I431" i="1"/>
  <c r="I430" i="1"/>
  <c r="I429" i="1"/>
  <c r="I428" i="1"/>
  <c r="I427" i="1"/>
  <c r="I426" i="1"/>
  <c r="I425" i="1"/>
  <c r="I423" i="1"/>
  <c r="I421" i="1"/>
  <c r="I420" i="1"/>
  <c r="I419" i="1"/>
  <c r="I418" i="1"/>
  <c r="I417" i="1"/>
  <c r="I416" i="1"/>
  <c r="I415" i="1"/>
  <c r="I414" i="1"/>
  <c r="I412" i="1"/>
  <c r="I409" i="1"/>
  <c r="I408" i="1"/>
  <c r="I733" i="1" s="1"/>
  <c r="I404" i="1"/>
  <c r="I402" i="1"/>
  <c r="I400"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3" i="1"/>
  <c r="I202" i="1"/>
  <c r="I201" i="1"/>
  <c r="I200" i="1"/>
  <c r="I199" i="1"/>
  <c r="I198" i="1"/>
  <c r="I197" i="1"/>
  <c r="I196" i="1"/>
  <c r="I194" i="1"/>
  <c r="I193" i="1"/>
  <c r="I192" i="1"/>
  <c r="I191" i="1"/>
  <c r="I190" i="1"/>
  <c r="I189" i="1"/>
  <c r="I188" i="1"/>
  <c r="I187" i="1"/>
  <c r="I186" i="1"/>
  <c r="I184" i="1"/>
  <c r="I182" i="1"/>
  <c r="I181" i="1"/>
  <c r="I180" i="1"/>
  <c r="I179" i="1"/>
  <c r="I178" i="1"/>
  <c r="I177" i="1"/>
  <c r="I176" i="1"/>
  <c r="I175" i="1"/>
  <c r="I174" i="1"/>
  <c r="I173" i="1"/>
  <c r="I172" i="1"/>
  <c r="I171" i="1"/>
  <c r="I169" i="1"/>
  <c r="I167" i="1"/>
  <c r="I165" i="1"/>
  <c r="I163" i="1"/>
  <c r="I162" i="1"/>
  <c r="I161" i="1"/>
  <c r="I160" i="1"/>
  <c r="I159" i="1"/>
  <c r="I158" i="1"/>
  <c r="I156" i="1"/>
  <c r="I155" i="1"/>
  <c r="I154" i="1"/>
  <c r="I152" i="1"/>
  <c r="I150" i="1"/>
  <c r="I148" i="1"/>
  <c r="I147" i="1"/>
  <c r="I145" i="1"/>
  <c r="I143" i="1"/>
  <c r="I142" i="1"/>
  <c r="I140" i="1"/>
  <c r="I138" i="1"/>
  <c r="I136" i="1"/>
  <c r="I134" i="1"/>
  <c r="I133" i="1"/>
  <c r="I132" i="1"/>
  <c r="I131" i="1"/>
  <c r="I129" i="1"/>
  <c r="I128" i="1"/>
  <c r="I126" i="1"/>
  <c r="I125" i="1"/>
  <c r="I124" i="1"/>
  <c r="I123" i="1"/>
  <c r="I122"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1" i="1"/>
  <c r="I59" i="1"/>
  <c r="I57" i="1"/>
  <c r="I55" i="1"/>
  <c r="I53" i="1"/>
  <c r="I51" i="1"/>
  <c r="I49" i="1"/>
  <c r="I47" i="1"/>
  <c r="I45" i="1"/>
  <c r="I43" i="1"/>
  <c r="I41" i="1"/>
  <c r="I39" i="1"/>
  <c r="I38" i="1"/>
  <c r="I36" i="1"/>
  <c r="I35" i="1"/>
  <c r="I34" i="1"/>
  <c r="I32" i="1"/>
  <c r="I31" i="1"/>
  <c r="I30" i="1"/>
  <c r="I29" i="1"/>
  <c r="I27" i="1"/>
  <c r="I26" i="1"/>
  <c r="I24" i="1"/>
  <c r="I22" i="1"/>
  <c r="I21" i="1"/>
  <c r="I20" i="1"/>
  <c r="I18" i="1"/>
  <c r="I16" i="1"/>
  <c r="I15" i="1"/>
  <c r="I14" i="1"/>
  <c r="I13" i="1"/>
  <c r="I405" i="1" s="1"/>
  <c r="I1029" i="1" s="1"/>
  <c r="I12" i="1"/>
  <c r="I10" i="1"/>
  <c r="I9" i="1"/>
</calcChain>
</file>

<file path=xl/sharedStrings.xml><?xml version="1.0" encoding="utf-8"?>
<sst xmlns="http://schemas.openxmlformats.org/spreadsheetml/2006/main" count="5374" uniqueCount="1932">
  <si>
    <t>إنشاء ثلاث دور إيواء في كل من مناطق (مكة المكرمة ، الرياض،عسير)
T</t>
  </si>
  <si>
    <t>مشروع الادارة العامة للإيواء  بعسير
T</t>
  </si>
  <si>
    <t xml:space="preserve">مبني المستوصف </t>
  </si>
  <si>
    <t xml:space="preserve">رقم القسم </t>
  </si>
  <si>
    <t>وصف البند   Item Description</t>
  </si>
  <si>
    <t>الوحدة</t>
  </si>
  <si>
    <t>الكمية</t>
  </si>
  <si>
    <t>سعر الوحدة</t>
  </si>
  <si>
    <t>السعر الأفرادي كتابة</t>
  </si>
  <si>
    <t>السعر الإجمالي</t>
  </si>
  <si>
    <t>الرمز الإنشائي</t>
  </si>
  <si>
    <t>نعم / لا</t>
  </si>
  <si>
    <t>بلد المنشأ</t>
  </si>
  <si>
    <t>Division No.</t>
  </si>
  <si>
    <t xml:space="preserve"> Division No.</t>
  </si>
  <si>
    <t>بالعربية</t>
  </si>
  <si>
    <t>Unit</t>
  </si>
  <si>
    <t>QTY</t>
  </si>
  <si>
    <t>Unit Price</t>
  </si>
  <si>
    <t>Unit Price in Words</t>
  </si>
  <si>
    <t>Total Amount</t>
  </si>
  <si>
    <t>Construction 
Code</t>
  </si>
  <si>
    <t>Yes / No</t>
  </si>
  <si>
    <t xml:space="preserve">country of origin </t>
  </si>
  <si>
    <t>الأعمال المعمارية / الإنشائية / المدنية</t>
  </si>
  <si>
    <t>033000</t>
  </si>
  <si>
    <t>الخرسانة ـ القسم رقم 03 : 
الخرسانة المصبوبة فى الموقع :
توريد وتنفيذ خرسانة عادية مصبوبة فى الموقع أسفل سطح الأرض باستخدام اسمنت طبقا لتقرير التربة وباجهاد كسر للاسطوانة القياسية لا يقل عن 200كجم/سم² بعد 28 يوم والسعر يشمل الفرم اللازمة، الفواصل الانشائية، وفواصل الصب اينما تطلب ذلك وكل مايلزم لإنهاء العمل طبقا للمخططات والمواصفات وحسب أصول الصناعة.</t>
  </si>
  <si>
    <t>033000-01</t>
  </si>
  <si>
    <t>خرسانة عادية سمك 100مم أسفل القواعد.</t>
  </si>
  <si>
    <t>م2</t>
  </si>
  <si>
    <t>نعم</t>
  </si>
  <si>
    <t>033000-02</t>
  </si>
  <si>
    <t>خرسانة عادية سمك 50مم أسفل الكمرات الأرضية و بلاطة أرضية الدور الارضي  ودرجات السلالم</t>
  </si>
  <si>
    <t xml:space="preserve">
توريد وتنفيذ خرسانة مسلحة مصبوبة فى الموقع اسفل سطح الأرض باستخدام اسمنت طبقا لتقرير التربة وباجهاد كسر للاسطوانة القياسية لا يقل عن 400 كجم/سم² بعد 28 يوم والسعر يشمل الشدات والفرم اللازمة، وحديد التسليح، والفواصل الانشائية وموانع تسريب المياه وكل مايلزم لإنهاء العمل طبقا للمخططات والمواصفات وحسب أصول الصناعة.</t>
  </si>
  <si>
    <t>033000-03</t>
  </si>
  <si>
    <t>القواعد المنفصلة</t>
  </si>
  <si>
    <t>م3</t>
  </si>
  <si>
    <t>033000-04</t>
  </si>
  <si>
    <t>القواعد الشريطية</t>
  </si>
  <si>
    <t>033000-05</t>
  </si>
  <si>
    <t xml:space="preserve">جلسة خرسانية للحوائط </t>
  </si>
  <si>
    <t>2002</t>
  </si>
  <si>
    <t>033000-06</t>
  </si>
  <si>
    <t>الكمرات الأرضيه</t>
  </si>
  <si>
    <t>033000-07</t>
  </si>
  <si>
    <t>أعمال خرسانة مسلحة لزوم رقاب الأعمدة المسلحه</t>
  </si>
  <si>
    <t xml:space="preserve">
توريد وتنفيذ خرسانة مسلحة مصبوبة فى الموقع اسفل سطح الأرض باستخدام اسمنت طبقا لتقرير التربة وباجهاد كسر للاسطوانة القياسية لا يقل عن 250 كجم/سم² بعد 28 يوم والسعر يشمل الشدات والفرم اللازمة، وحديد التسليح، والفواصل الانشائية وموانع تسريب المياه وكل مايلزم لإنهاء العمل طبقا للمخططات والمواصفات وحسب أصول الصناعة.</t>
  </si>
  <si>
    <t>033000-08</t>
  </si>
  <si>
    <t>بلاطة أرضية سمك 160 مم شاملة زيادة السمك عند الأطراف ودرج المداخل والمنحدرات</t>
  </si>
  <si>
    <t xml:space="preserve">
توريد وتنفيذ خرسانة مسلحة مصبوبة فى الموقع فوق سطح الأرض باستخدام اسمنت بورتلاندى عادي وباجهاد كسر للاسطوانة القياسية لا يقل عن 400 كجم/سم² بعد 28 يوم والسعر يشمل الشدات والفرم اللازمة، وحديد التسليح، والفواصل الانشائية وكل مايلزم لإنهاء العمل طبقا للمخططات والمواصفات وحسب أصول الصناعة</t>
  </si>
  <si>
    <t>033000-09</t>
  </si>
  <si>
    <t xml:space="preserve">الأعمدة من بلاطة أرضية الدور الأرضى  إلى أعلى </t>
  </si>
  <si>
    <t>033000-10</t>
  </si>
  <si>
    <t>الكمرات</t>
  </si>
  <si>
    <t>033000-11</t>
  </si>
  <si>
    <t xml:space="preserve">بلاطات الأسقف فى جميع الأدوار </t>
  </si>
  <si>
    <t>خرسانه سابقة الصب :
توريد وتنفيذ خرسانة سابقة الصب شاملة النقل والرفع ووضعھا في أماكنھا والأشاير والحقن وملء الوصلات وكل مايلزم لإنھاء العمل طبقا للمخططات والمواصفات وحسب أصول الصناعة .</t>
  </si>
  <si>
    <t xml:space="preserve"> </t>
  </si>
  <si>
    <t>033000-13</t>
  </si>
  <si>
    <t>طبان لزوم الدروة</t>
  </si>
  <si>
    <t>م</t>
  </si>
  <si>
    <r>
      <t xml:space="preserve">
</t>
    </r>
    <r>
      <rPr>
        <b/>
        <u/>
        <sz val="14"/>
        <rFont val="Calibri"/>
        <family val="2"/>
        <scheme val="minor"/>
      </rPr>
      <t>توريد وتنفيذ فرشة خرسانية باستخدام أسمنت بورتلاندى
عادى شاملة الصب والتسوية والتنعيم وكل مايلزم لإنھاء
العمل حسب المخططات والمواصفات وطبقا لأصول الصناعة</t>
    </r>
  </si>
  <si>
    <t>033000-14</t>
  </si>
  <si>
    <t>فرشة خرسانية بسمك 100 مم لاستقبال إيبوكسي الارضيات</t>
  </si>
  <si>
    <t>033000-15</t>
  </si>
  <si>
    <t>فرشة خرسانية لزوم السجاد</t>
  </si>
  <si>
    <t>042000</t>
  </si>
  <si>
    <r>
      <rPr>
        <b/>
        <u/>
        <sz val="14"/>
        <rFont val="Calibri"/>
        <family val="2"/>
        <scheme val="minor"/>
      </rPr>
      <t>أعمال المباني ـ القسم رقم 04 : 
أعمال البناء بوحدات الطوب :</t>
    </r>
    <r>
      <rPr>
        <b/>
        <sz val="14"/>
        <rFont val="Calibri"/>
        <family val="2"/>
        <scheme val="minor"/>
      </rPr>
      <t xml:space="preserve">
</t>
    </r>
    <r>
      <rPr>
        <b/>
        <u/>
        <sz val="14"/>
        <rFont val="Calibri"/>
        <family val="2"/>
        <scheme val="minor"/>
      </rPr>
      <t>أعمال التوريد  والبناء بالبلوك الاسمنتى باستخدام مونة الاسمنت والرمل والبند يشمل جميع ملحقات التثبيت ومقاومة الحريق والاعتاب والجلسات وكل مايلزم لإنهاء الأعمال طبقا للمخططات والمواصفات وحسب أصول الصناعة
حوائط من طبقة واحدة (داخلى)</t>
    </r>
  </si>
  <si>
    <t>042000-01</t>
  </si>
  <si>
    <t>حوائط سمك 100مم</t>
  </si>
  <si>
    <t>042000-02</t>
  </si>
  <si>
    <t>حوائط سمك 150مم</t>
  </si>
  <si>
    <t>042000-03</t>
  </si>
  <si>
    <t>حوائط سمك 200مم</t>
  </si>
  <si>
    <t>042000-04</t>
  </si>
  <si>
    <t>حوائط سمك 250مم</t>
  </si>
  <si>
    <t>حوائط من طبقة واحدة (خارجى)</t>
  </si>
  <si>
    <t>042000-05</t>
  </si>
  <si>
    <t>حوائط سمك 150مم للدروة</t>
  </si>
  <si>
    <t>042000-06</t>
  </si>
  <si>
    <t>042000-07</t>
  </si>
  <si>
    <t>حوائط سمك 200مم للدروة</t>
  </si>
  <si>
    <r>
      <rPr>
        <b/>
        <u/>
        <sz val="14"/>
        <rFont val="Calibri"/>
        <family val="2"/>
        <scheme val="minor"/>
      </rPr>
      <t xml:space="preserve">
أعمال البناء بوحدات الطوب :</t>
    </r>
    <r>
      <rPr>
        <b/>
        <sz val="14"/>
        <rFont val="Calibri"/>
        <family val="2"/>
        <scheme val="minor"/>
      </rPr>
      <t xml:space="preserve">
</t>
    </r>
    <r>
      <rPr>
        <b/>
        <u/>
        <sz val="14"/>
        <rFont val="Calibri"/>
        <family val="2"/>
        <scheme val="minor"/>
      </rPr>
      <t>أعمال توريد  وبناء حوائط مزدوجة من طبقتين وبينهما تجويف (شاملا العزل أينما طلب) بالبلوك الاسمنتى باستخدام مونة الاسمنت والرمل والبند يشمل جميع ملحقات التثبيت ومقاومة الحريق والاعتاب والجلسات وكل مايلزم لإنهاء الأعمال طبقا للمخططات والمواصفات وحسب أصول الصناعة
حوائط مزدوجة (داخلى)</t>
    </r>
  </si>
  <si>
    <t>042000-08</t>
  </si>
  <si>
    <t>جدار مزدوج بسمك 250 مم يتكون من طبقتين، سمك 100 مم وسمك 100مم مع تجويف 50 مم.</t>
  </si>
  <si>
    <t>042000-09</t>
  </si>
  <si>
    <t>جدار مزدوج بسمك 300 مم يتكون من طبقتين، سمك 150 مم وسمك 100مم مع تجويف 50 مم.</t>
  </si>
  <si>
    <t>حوائط مزدوجة (خارجى)</t>
  </si>
  <si>
    <t>042000-10</t>
  </si>
  <si>
    <t>جدار مزدوج بسمك 300 مم يتكون من طبقتين، سمك 100 مم وسمك 150مم مع تجويف 50 مم.</t>
  </si>
  <si>
    <t>047000</t>
  </si>
  <si>
    <r>
      <rPr>
        <b/>
        <u/>
        <sz val="14"/>
        <rFont val="Calibri"/>
        <family val="2"/>
        <scheme val="minor"/>
      </rPr>
      <t>التشطيب بالاحجار ـ القسم رقم 04 : 
تجاليد بالأحجار للحوائط :</t>
    </r>
    <r>
      <rPr>
        <b/>
        <sz val="14"/>
        <rFont val="Calibri"/>
        <family val="2"/>
        <scheme val="minor"/>
      </rPr>
      <t xml:space="preserve">
</t>
    </r>
    <r>
      <rPr>
        <b/>
        <u/>
        <sz val="14"/>
        <rFont val="Calibri"/>
        <family val="2"/>
        <scheme val="minor"/>
      </rPr>
      <t xml:space="preserve">تجاليد بالأحجار للحوائط تجمع بنظام تثبيت معتمد شامل التثبيت و مسامير التعليق و التقطيع للمقاس المطلوب و كافة ما يلزم كاملا و يشمل مادة الملو المعتمدة و الملو و التركيب  وكافة ما يلزم  حسب المخططات والمواصفات (الواجهات)
</t>
    </r>
  </si>
  <si>
    <t>047000-01</t>
  </si>
  <si>
    <t>سفل من الأحجار بارتفاع 300 مم</t>
  </si>
  <si>
    <t>2009</t>
  </si>
  <si>
    <t>055000</t>
  </si>
  <si>
    <r>
      <rPr>
        <b/>
        <u/>
        <sz val="14"/>
        <rFont val="Calibri"/>
        <family val="2"/>
        <scheme val="minor"/>
      </rPr>
      <t>الاعمال المعدنية ـ القسم رقم 05 : 
درابزين السلالم الخارجيه والمنحدرات (المداخل) :</t>
    </r>
    <r>
      <rPr>
        <b/>
        <sz val="14"/>
        <rFont val="Calibri"/>
        <family val="2"/>
        <scheme val="minor"/>
      </rPr>
      <t xml:space="preserve">
</t>
    </r>
    <r>
      <rPr>
        <b/>
        <u/>
        <sz val="14"/>
        <rFont val="Calibri"/>
        <family val="2"/>
        <scheme val="minor"/>
      </rPr>
      <t>توريد وتركيب درابزين لزوم السلالم الخارجية و المنحدرات شاملا القوائم الرأسية ملحوم بشريحة حديدية ارضية والسعر يشمل التثبيت وجميع اكسسوارات التثبيت وكل مايلزم لإنهاء الأعمال طبقا للمخططات والمواصفات وحسب أصول الصناعة.</t>
    </r>
  </si>
  <si>
    <t>055000-01</t>
  </si>
  <si>
    <t>درابزين لزوم السلالم الخارجية والمنحدرات</t>
  </si>
  <si>
    <r>
      <t xml:space="preserve">خطاف معدنى للسطح شامل الدرابزين : </t>
    </r>
    <r>
      <rPr>
        <b/>
        <sz val="14"/>
        <rFont val="Calibri"/>
        <family val="2"/>
        <scheme val="minor"/>
      </rPr>
      <t xml:space="preserve">                                                                                                      </t>
    </r>
    <r>
      <rPr>
        <b/>
        <u/>
        <sz val="14"/>
        <rFont val="Calibri"/>
        <family val="2"/>
        <scheme val="minor"/>
      </rPr>
      <t>توريد وتركيب خطاف معدني للسطح شامل الدرابزين شاملا التثبيت وإكسسوارات التثبيت والتشطيب وكل مايلزم لإنهاء العمل طبقا للمخططات والمواصفات وحسب أصول الصناعة.</t>
    </r>
  </si>
  <si>
    <t>055000-02</t>
  </si>
  <si>
    <t>خطاف معدني للسطح شامل الدرابزين</t>
  </si>
  <si>
    <t>عدد</t>
  </si>
  <si>
    <t>060000</t>
  </si>
  <si>
    <r>
      <rPr>
        <b/>
        <u/>
        <sz val="14"/>
        <rFont val="Calibri"/>
        <family val="2"/>
        <scheme val="minor"/>
      </rPr>
      <t>الخشب و البلاستيك ـ القسم رقم 06 : 
خزائن مطبخ :</t>
    </r>
    <r>
      <rPr>
        <b/>
        <sz val="14"/>
        <rFont val="Calibri"/>
        <family val="2"/>
        <scheme val="minor"/>
      </rPr>
      <t xml:space="preserve">
</t>
    </r>
    <r>
      <rPr>
        <b/>
        <u/>
        <sz val="14"/>
        <rFont val="Calibri"/>
        <family val="2"/>
        <scheme val="minor"/>
      </rPr>
      <t xml:space="preserve">توريد وتركيب خزائن مطبخ سفلية  شاملا الضلف والأرفف والأدراج والفواصل والقرصة العلوية من نوع معتمد والدهان والخردوات والتثبيت وجميع إكسسوارات التثبيت وكل مايلزم لإنهاء الأعمال طبقا للمخططات والمواصفات وحسب أصول الصناعة </t>
    </r>
  </si>
  <si>
    <t>060000-01</t>
  </si>
  <si>
    <t>خزانة مطبخ خشبية سفلية نموذج 113</t>
  </si>
  <si>
    <t>-</t>
  </si>
  <si>
    <t>لا</t>
  </si>
  <si>
    <t>توريد وتركيب خزائن مطبخ علوية شاملا الضلف والأرفف والفواصل والدهان والخردوات والتثبيت وجميع إكسسوارات التثبيت وكل مايلزم لإنهاء الأعمال طبقا للمخططات والمواصفات وحسب أصول الصناعة</t>
  </si>
  <si>
    <t>060000-02</t>
  </si>
  <si>
    <t>خزانة مطبخ خشبية علوية نموذج 111</t>
  </si>
  <si>
    <t>071000</t>
  </si>
  <si>
    <r>
      <rPr>
        <b/>
        <u/>
        <sz val="14"/>
        <rFont val="Calibri"/>
        <family val="2"/>
        <scheme val="minor"/>
      </rPr>
      <t>الوقاية من الحرارة والرطوبة ـ القسم رقم 07 : 
مانع البخر</t>
    </r>
  </si>
  <si>
    <t>071000-01</t>
  </si>
  <si>
    <t>توريد وتركيب فرشة من شرائح البولى ايثيلين 200 ميكرون أسفل الخرسانة العادية للاساسات والكمرات الأرضية وبلاطة ارضية الدور الارضى حسب المخططات والمواصفات وطبقا لأصول الصناعة</t>
  </si>
  <si>
    <t>عزل المياه
توريد وتنفيذ طبقتين من دهان بيتومينى سائل طبقا للمخططات والمواصفات وحسب أصول الصناعة</t>
  </si>
  <si>
    <t>071000-02</t>
  </si>
  <si>
    <t>للأسطح الأفقية والرأسية للخرسانات الملامسة للتربة</t>
  </si>
  <si>
    <t>075000</t>
  </si>
  <si>
    <t xml:space="preserve">
توريد وتنفيذ نظام عزل المياه الأفقى للسطح حسب الموضح بالمخططات شاملا فرشة خرسانة خفيفة لعمل الميول وغشاء بيتوميني عازل للمياه ومادة لاصقة للصق الفواصل والشريحة الألومنيوم ومانع تسرب المياه وغشاء فاصل للحماية ، و ألواح العزل الحرارى وطبقة من الركام سمك 50مم ، بلاطات خرسانيه أينما طلبت حسب المواصفات واللوحات ، كاملة ، شاملة جميع لوازم التثبيت والتكسية حول المواسيرالصرف والفتحات مع عمل التداخل المطلوب حسب المخططات وحسب إرشادات مصنع معتمد وحسب أصول الصناعة</t>
  </si>
  <si>
    <t>075000-01</t>
  </si>
  <si>
    <t>العزل الأفقى للسطح</t>
  </si>
  <si>
    <t xml:space="preserve">
توريد وتنفيذ عازل مياة رأسى بإرتفاع 300مم على الأقل لدروة السطح شاملا غشاء عازل للمياة وشرائح التثبيت ومواد حشو الفواصل والتثبيت وجميع اكسسوارات التثبيت وكل مايلزم لإنهاء الأعمال طبقا للمخططات والمواصفات وحسب أصول الصناعة</t>
  </si>
  <si>
    <t>075000-02</t>
  </si>
  <si>
    <t>العزل الرأسى لدروة السطح</t>
  </si>
  <si>
    <t>070000</t>
  </si>
  <si>
    <t xml:space="preserve">
توريد وتنفيذ عازل مياة للمناطق الرطبة شاملا الغشاء العازل للرطوبة وفرشة من الخرسانة وشرائح التثبيت والوزرة والتثبيت وجميع اكسسوارات التثبيت وكل مايلزم لإنهاء الأعمال طبقا للمخططات والمواصفات وحسب أصول الصناعة</t>
  </si>
  <si>
    <t>070000-01</t>
  </si>
  <si>
    <t xml:space="preserve"> للمناطق الرطبة </t>
  </si>
  <si>
    <t>081000</t>
  </si>
  <si>
    <t>الأبواب والنوافذ ـ القسم رقم 08 : 
الأبواب والإطارات
توريد وتركيب أبواب من خامات حسب المخططات والبند يشمل الضلف والاطار والاطار الفرعى والخردوات والعزل الصوتى ومقاومة الحريق والتشطيب والتركيب وجميع اكسسوارات التركيب  وكل مايلزم لإنهاء الأعمال طبقا للمخططات والمواصفات وحسب أصول الصناعة</t>
  </si>
  <si>
    <t>081000-01</t>
  </si>
  <si>
    <t>باب نموذج MD-1</t>
  </si>
  <si>
    <t>081000-02</t>
  </si>
  <si>
    <t>باب نموذج MD-2</t>
  </si>
  <si>
    <t>081000-03</t>
  </si>
  <si>
    <t>باب نموذج MD-3</t>
  </si>
  <si>
    <t>081000-04</t>
  </si>
  <si>
    <t>باب نموذج MD-4</t>
  </si>
  <si>
    <t>081000-05</t>
  </si>
  <si>
    <t>باب نموذج MD-5</t>
  </si>
  <si>
    <t>081000-06</t>
  </si>
  <si>
    <t>باب نموذج MD-6</t>
  </si>
  <si>
    <t>081000-07</t>
  </si>
  <si>
    <t>باب نموذج MD-7</t>
  </si>
  <si>
    <t>081000-08</t>
  </si>
  <si>
    <t>باب نموذج MD-8</t>
  </si>
  <si>
    <t>081000-09</t>
  </si>
  <si>
    <t>باب نموذج MD-9</t>
  </si>
  <si>
    <t>081000-10</t>
  </si>
  <si>
    <t>باب نموذج MD-10</t>
  </si>
  <si>
    <t>081000-11</t>
  </si>
  <si>
    <t>باب نموذج MD-11</t>
  </si>
  <si>
    <t>081000-12</t>
  </si>
  <si>
    <t>باب نموذج MD-12</t>
  </si>
  <si>
    <t>081000-13</t>
  </si>
  <si>
    <t>باب نموذج MD-13</t>
  </si>
  <si>
    <t>081000-14</t>
  </si>
  <si>
    <t>باب نموذج MD-14</t>
  </si>
  <si>
    <t>081000-15</t>
  </si>
  <si>
    <t>باب نموذج MD-15</t>
  </si>
  <si>
    <t>081000-16</t>
  </si>
  <si>
    <t>باب نموذج MD-16</t>
  </si>
  <si>
    <t>081000-17</t>
  </si>
  <si>
    <t>باب نموذج MD-17</t>
  </si>
  <si>
    <t>081000-18</t>
  </si>
  <si>
    <t>باب نموذج MD-18</t>
  </si>
  <si>
    <t>081000-19</t>
  </si>
  <si>
    <t>باب نموذج MD-19</t>
  </si>
  <si>
    <t>081000-20</t>
  </si>
  <si>
    <t>باب نموذج MD-20</t>
  </si>
  <si>
    <t>081000-21</t>
  </si>
  <si>
    <t>باب نموذج MD-21</t>
  </si>
  <si>
    <t>081000-22</t>
  </si>
  <si>
    <t>باب نموذج MD-22</t>
  </si>
  <si>
    <t>081000-23</t>
  </si>
  <si>
    <t>باب نموذج MD-23</t>
  </si>
  <si>
    <t>081000-24</t>
  </si>
  <si>
    <t>باب نموذج MD-24</t>
  </si>
  <si>
    <t>081000-25</t>
  </si>
  <si>
    <t>باب نموذج MD-25</t>
  </si>
  <si>
    <t>081000-26</t>
  </si>
  <si>
    <t>باب نموذج MD-26</t>
  </si>
  <si>
    <t>081000-27</t>
  </si>
  <si>
    <t>باب نموذج MD-27</t>
  </si>
  <si>
    <t>081000-28</t>
  </si>
  <si>
    <t>باب نموذج MD-28</t>
  </si>
  <si>
    <t>081000-29</t>
  </si>
  <si>
    <t>باب نموذج MD-29</t>
  </si>
  <si>
    <t>081000-30</t>
  </si>
  <si>
    <t>باب نموذج MD-30</t>
  </si>
  <si>
    <t>081000-31</t>
  </si>
  <si>
    <t>باب نموذج MD-31</t>
  </si>
  <si>
    <t>081000-32</t>
  </si>
  <si>
    <t>باب نموذج MD-32</t>
  </si>
  <si>
    <t>081000-33</t>
  </si>
  <si>
    <t>باب نموذج MD-33</t>
  </si>
  <si>
    <t>081000-34</t>
  </si>
  <si>
    <t>باب نموذج MD-34</t>
  </si>
  <si>
    <t>081000-35</t>
  </si>
  <si>
    <t>باب نموذج MD-35</t>
  </si>
  <si>
    <t>081000-36</t>
  </si>
  <si>
    <t>باب نموذج MD-36</t>
  </si>
  <si>
    <t>081000-37</t>
  </si>
  <si>
    <t>باب نموذج MD-37</t>
  </si>
  <si>
    <t>081000-38</t>
  </si>
  <si>
    <t>باب نموذج MD-38</t>
  </si>
  <si>
    <t>081000-39</t>
  </si>
  <si>
    <t>باب نموذج MD-39</t>
  </si>
  <si>
    <t>081000-40</t>
  </si>
  <si>
    <t>باب نموذج MD-40</t>
  </si>
  <si>
    <t>081000-41</t>
  </si>
  <si>
    <t>باب نموذج MD-41</t>
  </si>
  <si>
    <t>081000-42</t>
  </si>
  <si>
    <t>باب نموذج MD-42</t>
  </si>
  <si>
    <t>081000-43</t>
  </si>
  <si>
    <t>باب نموذج MD-43</t>
  </si>
  <si>
    <t>081000-44</t>
  </si>
  <si>
    <t>باب نموذج MD-44</t>
  </si>
  <si>
    <t>081000-45</t>
  </si>
  <si>
    <t>باب نموذج MD-45</t>
  </si>
  <si>
    <t>081000-46</t>
  </si>
  <si>
    <t>باب نموذج MD-46</t>
  </si>
  <si>
    <t>081000-47</t>
  </si>
  <si>
    <t>باب نموذج MD-47</t>
  </si>
  <si>
    <t>081000-48</t>
  </si>
  <si>
    <t>باب نموذج MD-48</t>
  </si>
  <si>
    <t>081000-49</t>
  </si>
  <si>
    <t>باب نموذج MD-49</t>
  </si>
  <si>
    <t>081000-50</t>
  </si>
  <si>
    <t>باب نموذج MD-50</t>
  </si>
  <si>
    <t>081000-51</t>
  </si>
  <si>
    <t>باب نموذج MD-51</t>
  </si>
  <si>
    <t>081000-52</t>
  </si>
  <si>
    <t>باب نموذج MD-52</t>
  </si>
  <si>
    <t>081000-53</t>
  </si>
  <si>
    <t>باب نموذج MD-53</t>
  </si>
  <si>
    <t>081000-54</t>
  </si>
  <si>
    <t>باب نموذج MD-54</t>
  </si>
  <si>
    <t>081000-55</t>
  </si>
  <si>
    <t>باب نموذج MD-55</t>
  </si>
  <si>
    <t>081000-56</t>
  </si>
  <si>
    <t>باب نموذج MD-56</t>
  </si>
  <si>
    <t>081000-57</t>
  </si>
  <si>
    <t>باب نموذج MD-57</t>
  </si>
  <si>
    <t>081000-58</t>
  </si>
  <si>
    <t>باب نموذج GD-1</t>
  </si>
  <si>
    <t>085000</t>
  </si>
  <si>
    <t xml:space="preserve">النوافذ
توريد وتركيب نوافذ بزجاج مزدوج شاملا الإطارات والعناصر والإطارات الفرعية والزوايا والمجاري وأغطية الوصلات أينما تتطلب ذلك وشرائح العزل وإكسسوارات التثبيت وكل مايلزم لإنهاء الأعمال طبقا للمخططات والمواصفات وحسب أصول الصناعة. </t>
  </si>
  <si>
    <t>085000-01</t>
  </si>
  <si>
    <t>شباك نموذج W1</t>
  </si>
  <si>
    <t>085000-02</t>
  </si>
  <si>
    <t>شباك نموذج W2</t>
  </si>
  <si>
    <t>085000-03</t>
  </si>
  <si>
    <t>شباك نموذج W3</t>
  </si>
  <si>
    <t>085000-04</t>
  </si>
  <si>
    <t>شباك نموذج W4</t>
  </si>
  <si>
    <t>085000-05</t>
  </si>
  <si>
    <t>شباك نموذج W5</t>
  </si>
  <si>
    <t>088000</t>
  </si>
  <si>
    <t>المرايات
توريد وتركيب مرايات شاملا الإطار والتثبيت وجميع اكسسوارات التثبيت وكل مايلزم لإنهاء الأعمال طبقا للمخططات والمواصفات وحسب أصول الصناعة.</t>
  </si>
  <si>
    <t>088000-01</t>
  </si>
  <si>
    <t>مراية حائط نموذج MIR-1</t>
  </si>
  <si>
    <t>088000-02</t>
  </si>
  <si>
    <t>مراية حائط نموذج MIR-2</t>
  </si>
  <si>
    <t>092000</t>
  </si>
  <si>
    <t>أعمال التشطيبات ـ القسم رقم 09 : 
تشطيب الحوائط
توريد وتنفيذ بياض من الرمل و الاسمنت من طبقتين / ثلاثة حسب المواصفات شامل الفواصل و الزوايا و الشبك المعدنى و الشبك السلكى وكافة ما يلزم حسب المخططات والمواصفات (داخليا)</t>
  </si>
  <si>
    <t>092000-01</t>
  </si>
  <si>
    <t>لزوم بياض الحوائط لإستقبال الدهانات</t>
  </si>
  <si>
    <t>092000-02</t>
  </si>
  <si>
    <t>لزوم بياض لبطنية الأسقف الخرسانية لإستقبال الدهانات</t>
  </si>
  <si>
    <t>092000-03</t>
  </si>
  <si>
    <t>لزوم بياض الحوائط لإستقبال بلاط البورسلين .</t>
  </si>
  <si>
    <t>092000-04</t>
  </si>
  <si>
    <t>لزوم بياض الحوائط لإستقبال دهانات مقاومة للبكتيريا</t>
  </si>
  <si>
    <t>توريد وتنفيذ بياض من الرمل و الاسمنت من طبقتين / ثلاثة حسب المواصفات شامل الفواصل و الزواىا و الشبك المعدنى و الشبك السلكى وكافة ما يلزم حسب المخططات والمواصفات (خارجى)</t>
  </si>
  <si>
    <t>092000-05</t>
  </si>
  <si>
    <t>لزوم بياض الحوائط الخارجية و الدراوى.</t>
  </si>
  <si>
    <t xml:space="preserve">تجاليد جبسيه للحوائط مزوده بطبقه حمايه من الرصاص
توريد وتركيب تجاليد جبسيه للحوائط مزوده بطبقة حمايه من الرصاص شاملا الإطار المعدني و التركيب و التثبيت وفواصل التمدد اينما طلبت وإكسسوارات التثبيت ومضادة للحريق والضوضاء  وكل مايلزم لإنهاء الأعمال طبقا للمخططات والمواصفات وحسب أصول الصناعة 
</t>
  </si>
  <si>
    <t>092000-06</t>
  </si>
  <si>
    <t>تجاليد جبسيه للحوائط مزوده بطبقة حمايه من الرصاص لزوم غرفة الأشعه.</t>
  </si>
  <si>
    <t>2045</t>
  </si>
  <si>
    <t>093000</t>
  </si>
  <si>
    <t>بلاط البورسلين
توريد وتركيب بورسيلين للحوائط شاملا التركيب ومواد اللصق المعتمدة والتقطيع ومواد الملء المعتمدة والنظافة عند الانتهاء وكل مايلزم لإنهاء الأعمال طبقا للمخططات والمواصفات وحسب أصول الصناعة</t>
  </si>
  <si>
    <t>093000-01</t>
  </si>
  <si>
    <r>
      <t xml:space="preserve">بورسلين حوائط مقاس 600 </t>
    </r>
    <r>
      <rPr>
        <sz val="14"/>
        <rFont val="Calibri"/>
        <family val="2"/>
      </rPr>
      <t>×</t>
    </r>
    <r>
      <rPr>
        <sz val="14"/>
        <rFont val="Calibri"/>
        <family val="2"/>
        <scheme val="minor"/>
      </rPr>
      <t xml:space="preserve"> 300 مم شديد المقاومه</t>
    </r>
  </si>
  <si>
    <t>توريد وتركيب بورسلين للأرضيات على  مونة أسمنتية والبند يشمل التقطيع والمونة و الملو و الاكسسوار والتنظيف  وكل ما يلزم حسب المخططات والمواصفات.</t>
  </si>
  <si>
    <t>093000-02</t>
  </si>
  <si>
    <t>بورسلين أرضيات مقاس 600 × 600 مم .</t>
  </si>
  <si>
    <t>093000-03</t>
  </si>
  <si>
    <t>بورسلين أرضيات عالي المقاومه مقاوم للانزلاق مقاس 600 × 600 مم</t>
  </si>
  <si>
    <t>وزرات</t>
  </si>
  <si>
    <t>093000-04</t>
  </si>
  <si>
    <t>وزرة من البورسلين بإرتفاع 100مم.</t>
  </si>
  <si>
    <t>097000</t>
  </si>
  <si>
    <t xml:space="preserve">ارضيات من الفينيل
توريد وتركيب أرضيات فينيل على فرشه خرسانيه شاملة طبقة عزل من الفوم و يشمل التقطيع والمونة و الملو و الاكسسوار والتنظيف  وكل ما يلزم حسب المخططات والمواصفات.
</t>
  </si>
  <si>
    <t>097000-01</t>
  </si>
  <si>
    <r>
      <t xml:space="preserve">ترابيع فينيل مقاس 600 </t>
    </r>
    <r>
      <rPr>
        <sz val="14"/>
        <rFont val="Calibri"/>
        <family val="2"/>
      </rPr>
      <t>×</t>
    </r>
    <r>
      <rPr>
        <sz val="14"/>
        <rFont val="Calibri"/>
        <family val="2"/>
        <scheme val="minor"/>
      </rPr>
      <t xml:space="preserve"> 600 مم .</t>
    </r>
  </si>
  <si>
    <t>097000-02</t>
  </si>
  <si>
    <t>ترابيع فينيل عازله للكهرباء الإستاتيكيه.</t>
  </si>
  <si>
    <t>097000-03</t>
  </si>
  <si>
    <t>وزرة من الفينيل بإرتفاع 100مم.</t>
  </si>
  <si>
    <t>السجاد :
توريد و تركيب ارضيات سجاد على فرشة خرسانية  والبند يشمل التقطيع والتركيب و التنظيف وكل ما يلزم حسب المخططات (A800)والمواصفات.</t>
  </si>
  <si>
    <t>097000-04</t>
  </si>
  <si>
    <t>سجاد على فرشه أسمنتيه.</t>
  </si>
  <si>
    <t>095000</t>
  </si>
  <si>
    <t>الأسقف المعلقة
توريد وتركيب أسقف معلقة شاملا نظام التعليق والكرانيش الديكورية والقوالب المصبوبة وفتحات الصيانة وخلافة كاملة وكل مايلزم لإنهاء الأعمال طبقا للمخططات والمواصفات وحسب  أصول الصناعة ( تقاس المساحات على الافقى)</t>
  </si>
  <si>
    <t>095000-01</t>
  </si>
  <si>
    <t>أسقف من الواح ماصة للصوت مقاس 600X600 مم</t>
  </si>
  <si>
    <t>095000-02</t>
  </si>
  <si>
    <t>أسقف من الواح جبسية</t>
  </si>
  <si>
    <t>095000-03</t>
  </si>
  <si>
    <t xml:space="preserve">أسقف من الواح الومنيوم سمك 100 مم </t>
  </si>
  <si>
    <t>099000</t>
  </si>
  <si>
    <t>الدهانات
توريد وتنفيذ طبقتين دهان بطانة وثلاثة طبقات معجون وثلاثة طبقات تشطيب من دهانات ذات أساس مائى شاملا كل مايلزم لإنهاء الأعمال طبقا للمخططات والمواصفات وحسب أصول الصناعة (داخلى)</t>
  </si>
  <si>
    <t>099000-01</t>
  </si>
  <si>
    <t>دهان للحوائط التى تم بياضها</t>
  </si>
  <si>
    <t>2048</t>
  </si>
  <si>
    <t>099000-02</t>
  </si>
  <si>
    <t xml:space="preserve">دهان مقاوم للبكتريا للحوائط </t>
  </si>
  <si>
    <t>099000-03</t>
  </si>
  <si>
    <t>دهان للاسقف الخرسانية التى تم بياضها</t>
  </si>
  <si>
    <t>099000-04</t>
  </si>
  <si>
    <t>دهان لزوم التجاليد الجبسية المزودة بطبقة من الرصاص</t>
  </si>
  <si>
    <t>099000-05</t>
  </si>
  <si>
    <t>دهان لزوم الأسقف الجبسية</t>
  </si>
  <si>
    <t>099000-06</t>
  </si>
  <si>
    <t>دهان لزوم الأسقف الخرسانية الملساء</t>
  </si>
  <si>
    <t>توريد وتنفيذ طبقتين دهان بطانة وثلاثة طبقات معجون وثلاثة طبقات تشطيب من دهانات ذات أساس مائى شاملا كل مايلزم لإنهاء الأعمال طبقا للمخططات والمواصفات وحسب أصول الصناعة (خارجى)</t>
  </si>
  <si>
    <t>099000-07</t>
  </si>
  <si>
    <t xml:space="preserve">دهان حجري للحوائط الخارجية و الدراوي stone shield  </t>
  </si>
  <si>
    <t>دهان إيبوكسي 
توريد وتنفيذ دهان ايبوكسي للأرضيات على  فرشة خرسانية والبند يشمل الملو والتنظيف  وكل ما يلزم حسب المخططات (A800)والمواصفات.</t>
  </si>
  <si>
    <t>099000-08</t>
  </si>
  <si>
    <t xml:space="preserve">ارضيات ايبوكسي </t>
  </si>
  <si>
    <t>097000-09</t>
  </si>
  <si>
    <t>وزرات من الايبوكسي لون غامق بارتفاع 1000 مم.</t>
  </si>
  <si>
    <t>102800</t>
  </si>
  <si>
    <t>أعمال خاصة ـ القسم رقم 10 : 
أكسسوارات الحمامات
توريد وتركيب اكسسوارات الحمام شاملا التثبيت وجميع اكسسوارات التثبيت وكل مايلزم لإنهاء الأعمال طبقا للمخططات والمواصفات وحسب أصول الصناعة</t>
  </si>
  <si>
    <t>102800-01</t>
  </si>
  <si>
    <t>سلة مهملات نموذج TRB-1</t>
  </si>
  <si>
    <t>102800-02</t>
  </si>
  <si>
    <t xml:space="preserve">سلة مهملات نموذج TRB-2     </t>
  </si>
  <si>
    <t>102800-03</t>
  </si>
  <si>
    <t>خطاف تعليق الملابس ضد التخريب نموذج HOK-1</t>
  </si>
  <si>
    <t>102800-04</t>
  </si>
  <si>
    <t>خطاف تعليق الملابس نموذج HOK-2</t>
  </si>
  <si>
    <t>102800-05</t>
  </si>
  <si>
    <t>موزع ورق حمام مثبت داخل الحائط ضد التخريب نموذج TSD-1</t>
  </si>
  <si>
    <t>102800-06</t>
  </si>
  <si>
    <t>موزع ورق حمام مثبت على الحائط نموذج TSD-2</t>
  </si>
  <si>
    <t>102800-07</t>
  </si>
  <si>
    <t>موزع ورق حمام مثبت على الحائط نموذج TSD-3</t>
  </si>
  <si>
    <t>102800-08</t>
  </si>
  <si>
    <t>موزع صابون حمام مثبت داخل الحائط ضد التخريب  نموذج SHO-1</t>
  </si>
  <si>
    <t>102800-09</t>
  </si>
  <si>
    <t>موزع صابون حمام مثبت على الحائط نموذج SHO-2</t>
  </si>
  <si>
    <t>102800-10</t>
  </si>
  <si>
    <t>قضيب جانبي مسك لذوي الإحتياجات الخاصه GRB-1</t>
  </si>
  <si>
    <t>102800-11</t>
  </si>
  <si>
    <t>قضيب خلفي مسك لذوي الإحتياجات الخاصه GRB-2</t>
  </si>
  <si>
    <t>102800-12</t>
  </si>
  <si>
    <t>قضيب شاور مسك لذوي الإحتياجات الخاصه GRB-3</t>
  </si>
  <si>
    <t>101400</t>
  </si>
  <si>
    <t xml:space="preserve">قواطيع حمامات 
توريد وتركيب قواطيع حمامات شاملة الأبواب واكسسوارات التثبيت والتركيب والتشطيب كاملة حسب المطلوب وحسب الموضح بالمخططات والمواصفات والرسومات التنفيذية المعتمدة و حسب اعتماد المهندس الاستشارى </t>
  </si>
  <si>
    <t>101400-01</t>
  </si>
  <si>
    <t>قواطيع حمامات شامله الأبواب</t>
  </si>
  <si>
    <t>اللوحات الإرشادية :
توريد وتركيب اللوحات الإرشادية والبند يشمل نظام التعليق ، الركائز ، والتثبيت ولوازم التثبيت وكافة ما يلزم حسب المخططات والمواصفات 
اللوحات الإرشاديه الداخليه :</t>
  </si>
  <si>
    <t>101400-02</t>
  </si>
  <si>
    <t>لوحة ارشادية نموذج AS1</t>
  </si>
  <si>
    <t>101400-03</t>
  </si>
  <si>
    <t>لوحة ارشادية نموذج AS2</t>
  </si>
  <si>
    <t>101400-04</t>
  </si>
  <si>
    <t>لوحة ارشادية نموذج AS3</t>
  </si>
  <si>
    <t>101400-05</t>
  </si>
  <si>
    <t>لوحة ارشادية نموذج AS4</t>
  </si>
  <si>
    <t>101400-06</t>
  </si>
  <si>
    <t>لوحة ارشادية نموذج AS6</t>
  </si>
  <si>
    <t>101400-07</t>
  </si>
  <si>
    <t>لوحة ارشادية نموذج AS7</t>
  </si>
  <si>
    <t>101400-08</t>
  </si>
  <si>
    <t>لوحة ارشادية نموذج AS8</t>
  </si>
  <si>
    <t>101400-09</t>
  </si>
  <si>
    <t>لوحة ارشادية نموذج AS10</t>
  </si>
  <si>
    <t>101400-10</t>
  </si>
  <si>
    <t>لوحة ارشادية نموذج AS11</t>
  </si>
  <si>
    <t>113000</t>
  </si>
  <si>
    <t>المعدات ـ القسم رقم 11 : 
معدات المطبخ
توريد وتركيب مُعدَّات المطابخ والاوفيسات شامله جميع اكسسوارات التثبيت طبقا للمواصفات والمخططات وأصول الصناعه وتعليمات المهندس المشرف</t>
  </si>
  <si>
    <t>113000-01</t>
  </si>
  <si>
    <t>نموذج REF-1</t>
  </si>
  <si>
    <t>113000-02</t>
  </si>
  <si>
    <t>نموذج BO-1</t>
  </si>
  <si>
    <t>113000-03</t>
  </si>
  <si>
    <t>نموذج BWC-1</t>
  </si>
  <si>
    <t>113000-04</t>
  </si>
  <si>
    <t>نموذج JD-1</t>
  </si>
  <si>
    <t>113000-05</t>
  </si>
  <si>
    <t>نموذج HP-1</t>
  </si>
  <si>
    <t>113000-06</t>
  </si>
  <si>
    <t>نموذج BS-1</t>
  </si>
  <si>
    <t>113000-07</t>
  </si>
  <si>
    <t>نموذج WRC-1</t>
  </si>
  <si>
    <t>113000-08</t>
  </si>
  <si>
    <t>نموذج CU-1</t>
  </si>
  <si>
    <t>117000</t>
  </si>
  <si>
    <t>المعدات الطبية
توريد وتركيب المعدات الطبية شامله جميع اكسسوارات التثبيت والتثبيت وجميع مايلزم طبقا للمواصفات والمخططات</t>
  </si>
  <si>
    <t>117000-1</t>
  </si>
  <si>
    <t>نموذج LA02005</t>
  </si>
  <si>
    <t>117000-2</t>
  </si>
  <si>
    <t>نموذج LA07050</t>
  </si>
  <si>
    <t>117000-3</t>
  </si>
  <si>
    <t>نموذج LA07045</t>
  </si>
  <si>
    <t>117000-4</t>
  </si>
  <si>
    <t>نموذج LA02020</t>
  </si>
  <si>
    <t>117000-5</t>
  </si>
  <si>
    <t>نموذج LA07070</t>
  </si>
  <si>
    <t>117000-6</t>
  </si>
  <si>
    <t>نموذج LA11010</t>
  </si>
  <si>
    <t>117000-7</t>
  </si>
  <si>
    <t>نموذج LA07127</t>
  </si>
  <si>
    <t>117000-8</t>
  </si>
  <si>
    <t>نموذج ME31120</t>
  </si>
  <si>
    <t>117000-9</t>
  </si>
  <si>
    <t>نموذج ME31100</t>
  </si>
  <si>
    <t>117000-10</t>
  </si>
  <si>
    <t>نموذج OPH001</t>
  </si>
  <si>
    <t>117000-11</t>
  </si>
  <si>
    <t>نموذج LA02010</t>
  </si>
  <si>
    <t>117000-12</t>
  </si>
  <si>
    <t>نموذج LA10307</t>
  </si>
  <si>
    <t>117000-13</t>
  </si>
  <si>
    <t>نموذج LA10300</t>
  </si>
  <si>
    <t>117000-14</t>
  </si>
  <si>
    <t>نموذج FH30005</t>
  </si>
  <si>
    <t>117000-15</t>
  </si>
  <si>
    <t>نموذج FH30015</t>
  </si>
  <si>
    <t>117000-16</t>
  </si>
  <si>
    <t>نموذج BH27336</t>
  </si>
  <si>
    <t>117000-17</t>
  </si>
  <si>
    <t>نموذج BH27333</t>
  </si>
  <si>
    <t>117000-18</t>
  </si>
  <si>
    <t>نموذج ME30030</t>
  </si>
  <si>
    <t>117000-19</t>
  </si>
  <si>
    <t>نموذج FG30010</t>
  </si>
  <si>
    <t>117000-20</t>
  </si>
  <si>
    <t>نموذج GF092</t>
  </si>
  <si>
    <t>117000-21</t>
  </si>
  <si>
    <t>نموذج LA10014</t>
  </si>
  <si>
    <t>117000-22</t>
  </si>
  <si>
    <t>نموذج LA04033</t>
  </si>
  <si>
    <t>117000-23</t>
  </si>
  <si>
    <t>نموذج LA02013</t>
  </si>
  <si>
    <t>117000-24</t>
  </si>
  <si>
    <t>نموذج FH30130</t>
  </si>
  <si>
    <t>117000-25</t>
  </si>
  <si>
    <t>نموذج FH30120</t>
  </si>
  <si>
    <t>117000-26</t>
  </si>
  <si>
    <t>نموذج FH41703</t>
  </si>
  <si>
    <t>117000-27</t>
  </si>
  <si>
    <t>نموذج LA06687</t>
  </si>
  <si>
    <t>117000-28</t>
  </si>
  <si>
    <t>نموذج ST40301</t>
  </si>
  <si>
    <t>117000-29</t>
  </si>
  <si>
    <t>نموذج ST19051</t>
  </si>
  <si>
    <t>117000-30</t>
  </si>
  <si>
    <t>نموذج FH40305</t>
  </si>
  <si>
    <t>117000-31</t>
  </si>
  <si>
    <t>نموذج FH11120</t>
  </si>
  <si>
    <t>117000-32</t>
  </si>
  <si>
    <t>نموذج FH41120</t>
  </si>
  <si>
    <t>117000-33</t>
  </si>
  <si>
    <t>نموذج FH20081</t>
  </si>
  <si>
    <t>117000-34</t>
  </si>
  <si>
    <t>نموذج FH20081'</t>
  </si>
  <si>
    <t>117000-35</t>
  </si>
  <si>
    <t>نموذج FH41200</t>
  </si>
  <si>
    <t>117000-36</t>
  </si>
  <si>
    <t>نموذج FH40100</t>
  </si>
  <si>
    <t>117000-37</t>
  </si>
  <si>
    <t>نموذج FH55025</t>
  </si>
  <si>
    <t>117000-38</t>
  </si>
  <si>
    <t>117000-39</t>
  </si>
  <si>
    <t>نموذج FH41122</t>
  </si>
  <si>
    <t>117000-40</t>
  </si>
  <si>
    <t>نموذج LA02040</t>
  </si>
  <si>
    <t>117000-41</t>
  </si>
  <si>
    <t>نموذج LA07011</t>
  </si>
  <si>
    <t>117000-42</t>
  </si>
  <si>
    <t>نموذج ENT0010</t>
  </si>
  <si>
    <t>117000-43</t>
  </si>
  <si>
    <t>نموذج FH10010</t>
  </si>
  <si>
    <t>117000-44</t>
  </si>
  <si>
    <t>نموذج BH27331</t>
  </si>
  <si>
    <t>117000-45</t>
  </si>
  <si>
    <t>نموذج ME22556</t>
  </si>
  <si>
    <t>117000-46</t>
  </si>
  <si>
    <t>نموذج ME41031</t>
  </si>
  <si>
    <t>117000-47</t>
  </si>
  <si>
    <t>نموذج ME48350</t>
  </si>
  <si>
    <t>117000-48</t>
  </si>
  <si>
    <t>نموذج LA06690</t>
  </si>
  <si>
    <t>117000-49</t>
  </si>
  <si>
    <t>نموذج ME22222</t>
  </si>
  <si>
    <t>117000-50</t>
  </si>
  <si>
    <t>نموذج ME22550</t>
  </si>
  <si>
    <t>117000-51</t>
  </si>
  <si>
    <t>نموذج ME21663</t>
  </si>
  <si>
    <t>117000-52</t>
  </si>
  <si>
    <t>نموذج FH20100</t>
  </si>
  <si>
    <t>117000-53</t>
  </si>
  <si>
    <t>نموذج FH20101</t>
  </si>
  <si>
    <t>117000-54</t>
  </si>
  <si>
    <t>نموذج DM16286A</t>
  </si>
  <si>
    <t>117000-55</t>
  </si>
  <si>
    <t>نموذج FO30010</t>
  </si>
  <si>
    <t>117000-56</t>
  </si>
  <si>
    <t>نموذج DM16289</t>
  </si>
  <si>
    <t>117000-57</t>
  </si>
  <si>
    <t>نموذج FO30013</t>
  </si>
  <si>
    <t>117000-58</t>
  </si>
  <si>
    <t>نموذج ENT0011</t>
  </si>
  <si>
    <t>117000-59</t>
  </si>
  <si>
    <t>نموذج ME31420</t>
  </si>
  <si>
    <t>117000-60</t>
  </si>
  <si>
    <t>نموذج FG19500</t>
  </si>
  <si>
    <t>117000-61</t>
  </si>
  <si>
    <t>نموذج FH40800</t>
  </si>
  <si>
    <t>117000-62</t>
  </si>
  <si>
    <t>نموذج ME11400</t>
  </si>
  <si>
    <t>117000-63</t>
  </si>
  <si>
    <t>نموذج ME11410</t>
  </si>
  <si>
    <t>117000-64</t>
  </si>
  <si>
    <t>نموذج FH41415</t>
  </si>
  <si>
    <t>117000-65</t>
  </si>
  <si>
    <t>نموذج FG14470</t>
  </si>
  <si>
    <t>117000-66</t>
  </si>
  <si>
    <t>نموذج LA04040</t>
  </si>
  <si>
    <t>117000-67</t>
  </si>
  <si>
    <t>نموذج LA04045</t>
  </si>
  <si>
    <t>117000-68</t>
  </si>
  <si>
    <t>نموذج ME11703</t>
  </si>
  <si>
    <t>117000-69</t>
  </si>
  <si>
    <t>نموذج LF00001</t>
  </si>
  <si>
    <t>117000-70</t>
  </si>
  <si>
    <t>نموذج ME33200</t>
  </si>
  <si>
    <t>117000-71</t>
  </si>
  <si>
    <t>نموذج RD10133</t>
  </si>
  <si>
    <t>117000-72</t>
  </si>
  <si>
    <t>نموذج OP01010</t>
  </si>
  <si>
    <t>117000-73</t>
  </si>
  <si>
    <t>نموذج MO13016</t>
  </si>
  <si>
    <t>117000-74</t>
  </si>
  <si>
    <t>نموذج ME22102</t>
  </si>
  <si>
    <t>117000-75</t>
  </si>
  <si>
    <t>نموذج ME22100</t>
  </si>
  <si>
    <t>117000-76</t>
  </si>
  <si>
    <t>نموذج ME31222</t>
  </si>
  <si>
    <t>117000-77</t>
  </si>
  <si>
    <t>نموذج LA18000</t>
  </si>
  <si>
    <t>117000-78</t>
  </si>
  <si>
    <t>نموذج LA07036</t>
  </si>
  <si>
    <t>117000-79</t>
  </si>
  <si>
    <t>نموذج LA04059</t>
  </si>
  <si>
    <t>117000-80</t>
  </si>
  <si>
    <t>نموذج LA07090</t>
  </si>
  <si>
    <t>117000-81</t>
  </si>
  <si>
    <t>نموذج ME84101</t>
  </si>
  <si>
    <t>117000-82</t>
  </si>
  <si>
    <t>نموذج MO10000</t>
  </si>
  <si>
    <t>117000-83</t>
  </si>
  <si>
    <t>نموذج ENT0012</t>
  </si>
  <si>
    <t>117000-84</t>
  </si>
  <si>
    <t>نموذج OPH004</t>
  </si>
  <si>
    <t>117000-85</t>
  </si>
  <si>
    <t>نموذج OPH006</t>
  </si>
  <si>
    <t>117000-86</t>
  </si>
  <si>
    <t>نموذج ME47148</t>
  </si>
  <si>
    <t>117000-87</t>
  </si>
  <si>
    <t>نموذج ME90999</t>
  </si>
  <si>
    <t>117000-88</t>
  </si>
  <si>
    <t>نموذج PC00101</t>
  </si>
  <si>
    <t>117000-89</t>
  </si>
  <si>
    <t>نموذج LA02160</t>
  </si>
  <si>
    <t>117000-90</t>
  </si>
  <si>
    <t>نموذج FH21625</t>
  </si>
  <si>
    <t>117000-91</t>
  </si>
  <si>
    <t>نموذج ME63226</t>
  </si>
  <si>
    <t>117000-92</t>
  </si>
  <si>
    <t>نموذج ME63226'</t>
  </si>
  <si>
    <t>117000-93</t>
  </si>
  <si>
    <t>نموذج ME63200</t>
  </si>
  <si>
    <t>117000-94</t>
  </si>
  <si>
    <t>نموذج LA10044</t>
  </si>
  <si>
    <t>117000-95</t>
  </si>
  <si>
    <t>نموذج FH40440</t>
  </si>
  <si>
    <t>117000-96</t>
  </si>
  <si>
    <t>نموذج OPH002</t>
  </si>
  <si>
    <t>117000-97</t>
  </si>
  <si>
    <t>نموذج ME11700</t>
  </si>
  <si>
    <t>117000-98</t>
  </si>
  <si>
    <t>117000-99</t>
  </si>
  <si>
    <t>نموذج RD20115</t>
  </si>
  <si>
    <t>117000-100</t>
  </si>
  <si>
    <t>نموذج RD21130-D</t>
  </si>
  <si>
    <t>117000-101</t>
  </si>
  <si>
    <t>نموذج LA07060</t>
  </si>
  <si>
    <t>117000-102</t>
  </si>
  <si>
    <t>نموذج FG14402</t>
  </si>
  <si>
    <t>117000-103</t>
  </si>
  <si>
    <t>نموذج LA07068</t>
  </si>
  <si>
    <t>117000-104</t>
  </si>
  <si>
    <t>نموذج FG14409</t>
  </si>
  <si>
    <t>117000-105</t>
  </si>
  <si>
    <t>نموذج ME84200</t>
  </si>
  <si>
    <t>117000-106</t>
  </si>
  <si>
    <t>نموذج MO13000</t>
  </si>
  <si>
    <t>117000-107</t>
  </si>
  <si>
    <t>نموذج ME11480</t>
  </si>
  <si>
    <t>117000-108</t>
  </si>
  <si>
    <t>نموذج LA09027</t>
  </si>
  <si>
    <t>117000-109</t>
  </si>
  <si>
    <t>نموذج ME22555</t>
  </si>
  <si>
    <t>117000-110</t>
  </si>
  <si>
    <t>نموذج LA09022</t>
  </si>
  <si>
    <t>117000-111</t>
  </si>
  <si>
    <t>نموذج LA07020</t>
  </si>
  <si>
    <t>117000-112</t>
  </si>
  <si>
    <t>نموذج FG30000</t>
  </si>
  <si>
    <t>117000-113</t>
  </si>
  <si>
    <t>نموذج FH41010</t>
  </si>
  <si>
    <t>117000-114</t>
  </si>
  <si>
    <t>نموذج RD22792</t>
  </si>
  <si>
    <t>117000-115</t>
  </si>
  <si>
    <t>نموذج FH20810</t>
  </si>
  <si>
    <t>117000-116</t>
  </si>
  <si>
    <t>نموذج ST19020</t>
  </si>
  <si>
    <t>117000-117</t>
  </si>
  <si>
    <t>نموذج FH40620</t>
  </si>
  <si>
    <t>117000-118</t>
  </si>
  <si>
    <t>نموذج FH40610</t>
  </si>
  <si>
    <t>117000-119</t>
  </si>
  <si>
    <t>نموذج FH40630</t>
  </si>
  <si>
    <t>117000-120</t>
  </si>
  <si>
    <t>نموذج FH20820</t>
  </si>
  <si>
    <t>117000-121</t>
  </si>
  <si>
    <t>نموذج LA07182</t>
  </si>
  <si>
    <t>117000-122</t>
  </si>
  <si>
    <t>نموذج LA07025</t>
  </si>
  <si>
    <t>117000-123</t>
  </si>
  <si>
    <t>نموذج OPH005</t>
  </si>
  <si>
    <t>117000-124</t>
  </si>
  <si>
    <t>نموذج LA02130</t>
  </si>
  <si>
    <t>117000-125</t>
  </si>
  <si>
    <t>نموذج ST18015</t>
  </si>
  <si>
    <t>117000-126</t>
  </si>
  <si>
    <t>نموذج FH55030</t>
  </si>
  <si>
    <t>117000-127</t>
  </si>
  <si>
    <t>نموذج ST16041</t>
  </si>
  <si>
    <t>117000-128</t>
  </si>
  <si>
    <t>نموذج ST16040</t>
  </si>
  <si>
    <t>117000-129</t>
  </si>
  <si>
    <t>117000-130</t>
  </si>
  <si>
    <t>نموذج ME21670</t>
  </si>
  <si>
    <t>117000-131</t>
  </si>
  <si>
    <t>نموذج FH20310</t>
  </si>
  <si>
    <t>117000-132</t>
  </si>
  <si>
    <t>نموذج FH10020</t>
  </si>
  <si>
    <t>117000-133</t>
  </si>
  <si>
    <t>نموذج FH10030</t>
  </si>
  <si>
    <t>117000-134</t>
  </si>
  <si>
    <t>نموذج FH10026</t>
  </si>
  <si>
    <t>117000-135</t>
  </si>
  <si>
    <t>نموذج FH13156</t>
  </si>
  <si>
    <t>117000-136</t>
  </si>
  <si>
    <t>نموذج ME90100</t>
  </si>
  <si>
    <t>117000-137</t>
  </si>
  <si>
    <t>نموذج FH30260</t>
  </si>
  <si>
    <t>117000-138</t>
  </si>
  <si>
    <t>نموذج ME90300</t>
  </si>
  <si>
    <t>117000-139</t>
  </si>
  <si>
    <t>نموذج ME90250</t>
  </si>
  <si>
    <t>117000-140</t>
  </si>
  <si>
    <t>نموذج MO13014</t>
  </si>
  <si>
    <t>117000-141</t>
  </si>
  <si>
    <t>نموذج LA07030</t>
  </si>
  <si>
    <t>117000-142</t>
  </si>
  <si>
    <t>نموذج FH40805</t>
  </si>
  <si>
    <t>117000-143</t>
  </si>
  <si>
    <t>نموذج FG14431</t>
  </si>
  <si>
    <t>117000-144</t>
  </si>
  <si>
    <t>نموذج FH40064</t>
  </si>
  <si>
    <t>117000-145</t>
  </si>
  <si>
    <t>نموذج CM21000</t>
  </si>
  <si>
    <t>117000-146</t>
  </si>
  <si>
    <t>نموذج CM22000</t>
  </si>
  <si>
    <t>117000-147</t>
  </si>
  <si>
    <t>نموذج ME91320</t>
  </si>
  <si>
    <t>117000-148</t>
  </si>
  <si>
    <t>نموذج RD10151</t>
  </si>
  <si>
    <t>117000-149</t>
  </si>
  <si>
    <t>نموذج CM20000</t>
  </si>
  <si>
    <t>117000-150</t>
  </si>
  <si>
    <t>نموذج ME22220</t>
  </si>
  <si>
    <t>117000-151</t>
  </si>
  <si>
    <t>نموذج WM00005</t>
  </si>
  <si>
    <t>117000-152</t>
  </si>
  <si>
    <t>نموذج WM00007</t>
  </si>
  <si>
    <t>117000-153</t>
  </si>
  <si>
    <t>نموذج LA09263</t>
  </si>
  <si>
    <t>125000</t>
  </si>
  <si>
    <t>الاثاث ـ القسم رقم 12 : 
الاثاث
توريد وتركيب أثاث شاملا التثبيت وجميع اكسسوارات التثبيت وكل مايلزم لإنهاء الأعمال طبقا للمخططات والمواصفات وحسب أصول الصناعة</t>
  </si>
  <si>
    <t>125000-01</t>
  </si>
  <si>
    <t>نموذج  AC05</t>
  </si>
  <si>
    <t>125000-02</t>
  </si>
  <si>
    <t>نموذج  BE05</t>
  </si>
  <si>
    <t>125000-03</t>
  </si>
  <si>
    <t>نموذج  BD08</t>
  </si>
  <si>
    <t>125000-04</t>
  </si>
  <si>
    <t>نموذج  CA01</t>
  </si>
  <si>
    <t>125000-05</t>
  </si>
  <si>
    <t>نموذج  CA02</t>
  </si>
  <si>
    <t>125000-06</t>
  </si>
  <si>
    <t>نموذج  CA04</t>
  </si>
  <si>
    <t>125000-07</t>
  </si>
  <si>
    <t>نموذج  CA06</t>
  </si>
  <si>
    <t>125000-08</t>
  </si>
  <si>
    <t>نموذج  CA07</t>
  </si>
  <si>
    <t>125000-09</t>
  </si>
  <si>
    <t>نموذج  CA13</t>
  </si>
  <si>
    <t>125000-10</t>
  </si>
  <si>
    <t>نموذج  CH02</t>
  </si>
  <si>
    <t>125000-11</t>
  </si>
  <si>
    <t>نموذج  CH04</t>
  </si>
  <si>
    <t>125000-12</t>
  </si>
  <si>
    <t>نموذج  CH08</t>
  </si>
  <si>
    <t>125000-13</t>
  </si>
  <si>
    <t>نموذج  CH09</t>
  </si>
  <si>
    <t>125000-14</t>
  </si>
  <si>
    <t>نموذج  CH11</t>
  </si>
  <si>
    <t>125000-15</t>
  </si>
  <si>
    <t>نموذج  CH12</t>
  </si>
  <si>
    <t>125000-16</t>
  </si>
  <si>
    <t>نموذج  CH16</t>
  </si>
  <si>
    <t>125000-17</t>
  </si>
  <si>
    <t>نموذج  CH38</t>
  </si>
  <si>
    <t>125000-18</t>
  </si>
  <si>
    <t>نموذج  CH73</t>
  </si>
  <si>
    <t>125000-19</t>
  </si>
  <si>
    <t>نموذج  CR03</t>
  </si>
  <si>
    <t>125000-20</t>
  </si>
  <si>
    <t>نموذج  DE01</t>
  </si>
  <si>
    <t>125000-21</t>
  </si>
  <si>
    <t>نموذج  DE09</t>
  </si>
  <si>
    <t>125000-22</t>
  </si>
  <si>
    <t>نموذج  DE10</t>
  </si>
  <si>
    <t>125000-23</t>
  </si>
  <si>
    <t>نموذج  DE11</t>
  </si>
  <si>
    <t>125000-24</t>
  </si>
  <si>
    <t>نموذج  DE13</t>
  </si>
  <si>
    <t>125000-25</t>
  </si>
  <si>
    <t>نموذج  DE15</t>
  </si>
  <si>
    <t>125000-26</t>
  </si>
  <si>
    <t>نموذج  DE27</t>
  </si>
  <si>
    <t>125000-27</t>
  </si>
  <si>
    <t>نموذج  SE04</t>
  </si>
  <si>
    <t>125000-28</t>
  </si>
  <si>
    <t>نموذج  SE05</t>
  </si>
  <si>
    <t>125000-29</t>
  </si>
  <si>
    <t>نموذج  SE06</t>
  </si>
  <si>
    <t>125000-30</t>
  </si>
  <si>
    <t>نموذج  SO03</t>
  </si>
  <si>
    <t>125000-31</t>
  </si>
  <si>
    <t>نموذج  SO04</t>
  </si>
  <si>
    <t>125000-32</t>
  </si>
  <si>
    <t>نموذج  SO05</t>
  </si>
  <si>
    <t>125000-33</t>
  </si>
  <si>
    <t>نموذج  ST01</t>
  </si>
  <si>
    <t>125000-34</t>
  </si>
  <si>
    <t>نموذج  TA01</t>
  </si>
  <si>
    <t>125000-35</t>
  </si>
  <si>
    <t>نموذج  TA11</t>
  </si>
  <si>
    <t>125000-36</t>
  </si>
  <si>
    <t>نموذج  TA33</t>
  </si>
  <si>
    <t>125000-37</t>
  </si>
  <si>
    <t>نموذج  TA24</t>
  </si>
  <si>
    <t>125000-38</t>
  </si>
  <si>
    <t>نموذج  TA25</t>
  </si>
  <si>
    <t>125000-39</t>
  </si>
  <si>
    <t>نموذج  TA26</t>
  </si>
  <si>
    <t>125000-40</t>
  </si>
  <si>
    <t>نموذج  TA37</t>
  </si>
  <si>
    <t>312000</t>
  </si>
  <si>
    <t>الأعمال الترابية ـ القسم رقم 31 : 
أعمال الحفر والردم
أعمال الحفر من منسوب التسوية الى منسوب التأسيس المطلوب شاملا التسوية والدمك و نقل مخلفات الحفر إلى المقالب العموميه المعتمده</t>
  </si>
  <si>
    <t>312000-01</t>
  </si>
  <si>
    <t>اعمال الحفر لزوم الاساسات</t>
  </si>
  <si>
    <t>ردم المساحات المحفورة حول القواعد باستخدام تربة من مواد مختارة من نواتج الحفر أو تربة موردة من خارج الموقع حسب اعتماد المهندس الاستشارى شاملا الدمك</t>
  </si>
  <si>
    <t>312000-02</t>
  </si>
  <si>
    <t>أعمال الردم حول الاساسات</t>
  </si>
  <si>
    <t>313000</t>
  </si>
  <si>
    <t>أعمال معالجة التربة
توريد وتنفيذ معالجة للتربة ضد النمل الأبيض للأسطح الأفقية والرأسية حسب توجيه المهندس الاستشاري</t>
  </si>
  <si>
    <t>313000-01</t>
  </si>
  <si>
    <t>معالجة التربة ضد النمل الأبيض</t>
  </si>
  <si>
    <t xml:space="preserve">Total of Architecture / Structural /Civil Works for The Clinics Building =  مجموع الأعمال المعمارية / الإنشائية / المدنية لمبنى  المستوصف  </t>
  </si>
  <si>
    <t>الأعمال الميكانيكية</t>
  </si>
  <si>
    <t>104416</t>
  </si>
  <si>
    <t xml:space="preserve">أعمال خاصة ـ القسم رقم 10 : 
طفايات الحريق
توريد وتركيب واختبار طفايات الحريق مصنفة من UL ومعتمدة من FM شاملا التثبيت وجميع اكسسوارات التثبيت وكل مايلزم لإنهاء الأعمال طبقا للمخططات والمواصفات وحسب أصول الصناعة </t>
  </si>
  <si>
    <t>104416-01</t>
  </si>
  <si>
    <t>طفاية  حريق  نوع  FE-1  سعة  6 كجم نوع كيميائى  جاف  متعددة الأغراض</t>
  </si>
  <si>
    <t xml:space="preserve">نعم </t>
  </si>
  <si>
    <t>104416-02</t>
  </si>
  <si>
    <t>طفاية حريق نوع FE-2 سعة 6 كجم نوع غاز ثانى أكسيد الكربون</t>
  </si>
  <si>
    <t>210000</t>
  </si>
  <si>
    <t>مكافحة الحريق ـ القسم رقم 21 : 
أعمال مقاومة الحريق
متطلبات عامة:
توريد وتركيب واختبار واتزان اعمال الحريق شاملة اعمال مضادات الزلازل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االحريق  كما هو مذكور بالتعاقد وتقديم كتالوجات التشغيل والصيانة خلال فترة تنفيذ المشروع وقطع الغيار اللازمة  والكتيبات اللازمة لأعمال الحريق حسب المدة المذكورة بالعقد بالاضافة الى عملية الربط مع المراحل الأخرى للمشروع</t>
  </si>
  <si>
    <t>211313</t>
  </si>
  <si>
    <t xml:space="preserve">مواسير نظام الحريق الرطب
أعمال مواسير نظام الحريق الرطب طبقا لنظام الجمعيه الوطنيه للوقايه من الحريق والبند يشمل مواسير صرف الرشاشات وكل اللوازم وركائز التثبيت كاملة حسب الموضح في المخططات و المواصفات
توريد وتركيب واختبار مواسير حريق من (Ductile Iron) توضع تحت الارض بما في ذلك الحفر والردم الخ. حسب الموضح بالمواصفات والمخططات
</t>
  </si>
  <si>
    <t>211313-01</t>
  </si>
  <si>
    <t>قطر 150 مم</t>
  </si>
  <si>
    <t xml:space="preserve">توريد وتركيب واختبار مواسير مكافحة الحريق من (الحديد المجلفن غيرالملحوم,  جدول 40, ويكون التوصيل threaded للمواسير حتي 2 بوصة ويكون grooved coupling للمواسير أعلي من 2 بوصة) توضع فوق الارض, فوق السقف, الحوائط , المناور,  وفقا لمتطلبات الجمعية الوطنية للوقاية من الحريق , شاملا جميع اللوازم, الوصلات, علامات المواسير و الدعائم كاملة حسب الموضح بالمواصفات والمخططات
</t>
  </si>
  <si>
    <t>211313-02</t>
  </si>
  <si>
    <t>قطر 25 مم</t>
  </si>
  <si>
    <t>211313-03</t>
  </si>
  <si>
    <t>قطر 32 مم</t>
  </si>
  <si>
    <t>211313-04</t>
  </si>
  <si>
    <t>قطر 40 مم</t>
  </si>
  <si>
    <t>211313-05</t>
  </si>
  <si>
    <t>قطر 50 مم</t>
  </si>
  <si>
    <t>211313-06</t>
  </si>
  <si>
    <t>قطر 65 مم</t>
  </si>
  <si>
    <t>211313-07</t>
  </si>
  <si>
    <t>قطر 80 مم</t>
  </si>
  <si>
    <t>211313-08</t>
  </si>
  <si>
    <t>قطر 100 مم</t>
  </si>
  <si>
    <t>211313-09</t>
  </si>
  <si>
    <t xml:space="preserve">مواسير صرف الحريق
مواسير صرف الحريق من الصلب المجلفن فوق السقف شاملا الكماليات, الوصلات, ادوات التعليق وجميع اللوازم, كاملة حسب الموضح بالمواصفات والمخططات
</t>
  </si>
  <si>
    <t>211313-10</t>
  </si>
  <si>
    <t>لوازم اعمال الحريق</t>
  </si>
  <si>
    <t>211313-11</t>
  </si>
  <si>
    <t>محبس عدم رجوع كهربي بجرس انذار وصمام عزل OS&amp;Y على الماسوره الرأسيه, قطر 150 مم</t>
  </si>
  <si>
    <t>211313-12</t>
  </si>
  <si>
    <t>وصلة الدفاع المدني ( Siamese Connection) نوع Wet type بمحبس عدم رجوع مقاس 150 * 65 * 65 مم</t>
  </si>
  <si>
    <t>211313-13</t>
  </si>
  <si>
    <t xml:space="preserve">صمامات العزل OS &amp; Y بقطر 50 مم مع مفتاح ضبط اشرافي </t>
  </si>
  <si>
    <t>211313-14</t>
  </si>
  <si>
    <t>وصلة إختبار و تنظيف قطر 25 مم مع محبس صرف</t>
  </si>
  <si>
    <t>211313-15</t>
  </si>
  <si>
    <t>منفس هواء اتوماتيكي (AAV) قطر 25 مم .</t>
  </si>
  <si>
    <t>الرشاشات</t>
  </si>
  <si>
    <t>211313-16</t>
  </si>
  <si>
    <t>رشاشات حريق من النوع المقلوب (Upright) سريع الاستجابة</t>
  </si>
  <si>
    <t>211313-17</t>
  </si>
  <si>
    <t>رشاشات حريق من النوع المتدلي (Pendent) سريع الاستجابة</t>
  </si>
  <si>
    <t>211313-18</t>
  </si>
  <si>
    <t>رشاشات حريق من النوع الجانبي سريع الاستجابه ذو تغطية قياسية</t>
  </si>
  <si>
    <t>211313-19</t>
  </si>
  <si>
    <t xml:space="preserve">رشاشات حريق من النوع المقلوب الجاف </t>
  </si>
  <si>
    <t>رشاشات حريق من النوع الجانبي الجاف سريع الاستجابه ذو تغطية قياسية</t>
  </si>
  <si>
    <t>211313-20</t>
  </si>
  <si>
    <t xml:space="preserve">رشاشات حريق من النوع المتدلي (Pendent) سريع الاستجابه والمحمي ضد التخريب Vandal Proof </t>
  </si>
  <si>
    <t>211313-21</t>
  </si>
  <si>
    <t>رشاشات حريق من النوع الجانبي سريع الاستجابه ذو تغطية قياسية والمحمي ضد التخريب Vandal Proof بمعامل تدفق K-factor =5.6</t>
  </si>
  <si>
    <t>211313-22</t>
  </si>
  <si>
    <t>رشاشات حريق من النوع الجانبي سريع الاستجابه واسع التغطيه والمحمي ضد التخريب Vandal Proof بمعامل تدفق K-factor =8</t>
  </si>
  <si>
    <t xml:space="preserve">مجموعه محبس تحكم منطقة  (ZCS)
توريد وتركيب واختبار مجموعه محبس تحكم منطقه (معتمده من مختبرات الضامنين  ومختبرات المصنع),  شامله محابس OS&amp;Y متصل بمفتاح امان, محابس بوابه, محبس عدم رجوع, محابس تخفيض للضغط, محبس اختبار وصرف, منظم ضغط, شاشه مراقبه, مفتاح تدفق ......الخ, كاملة حسب الموضح بالمواصفات والمخططات
</t>
  </si>
  <si>
    <t>211313-23</t>
  </si>
  <si>
    <t xml:space="preserve">مجموعه محبس تحكم منطقه (ZCS), قطر 150 مم </t>
  </si>
  <si>
    <t>211200</t>
  </si>
  <si>
    <t xml:space="preserve">صناديق (كبائن) الحريق
توريد وتركيب واختبار كابينة خرطوم حريق خاصة شامله التثبيت وكل اللوازم كما هو موضح بالمخططات والمواصفات (كابينة خرطوم الحريق علي السطح او خارج المبني يجب ان تكون مقاومة للعوامل الجوية), كاملة حسب الموضح بالمواصفات والمخططات
</t>
  </si>
  <si>
    <t>211200-01</t>
  </si>
  <si>
    <t>كابينة خرطوم حريق نوع FHC-2</t>
  </si>
  <si>
    <t>212200</t>
  </si>
  <si>
    <t xml:space="preserve">أنظمة إطفاء الحریق بالغاز الصافى (NOVEC-1230)
توريد وتركيب واختبار نظام الاطفــــاء بالغــاز     (NOVEC-1230) وفقا لاشتراطات الجمعية الوطنية للوقاية من الحريق NFPA, والبند يشمل  الاسطوانات الغاز المملوء والمواسير والصمامات والفوهات وكل وحدات التحكم المطلوبه, متصله بنظام الانذار ضد الحريق وكاشف حراره والدخان ومفتاح فصل يدوي وجرس انذار كما هو موضح بالمخططات والمواصفات
</t>
  </si>
  <si>
    <t>212200-01</t>
  </si>
  <si>
    <t>نظام إطفاء بغاز NOVEC-1230 مكون من أسطوانة بسعة قياسية 16 لتر مملوءه بوزن 13 كجم من الغاز.</t>
  </si>
  <si>
    <t>212200-02</t>
  </si>
  <si>
    <t>نظام إطفاء بغاز NOVEC-1230 مكون من أسطوانة بسعة قياسية 16 لتر مملوءه بوزن 15 كجم من الغاز.</t>
  </si>
  <si>
    <t>212200-03</t>
  </si>
  <si>
    <t>نظام إطفاء بغاز NOVEC-1230 مكون من أسطوانة بسعة قياسية 32 لتر مملوءه بوزن 16 كجم من الغاز.</t>
  </si>
  <si>
    <t>212200-04</t>
  </si>
  <si>
    <t>نظام إطفاء بغاز NOVEC-1230 مكون من أسطوانة بسعة قياسية 32 لتر مملوءه بوزن 20 كجم من الغاز.</t>
  </si>
  <si>
    <t>212200-05</t>
  </si>
  <si>
    <t>نظام إطفاء بغاز NOVEC-1230 مكون من أسطوانة بسعة قياسية 106 لتر مملوءه بوزن 59 كجم من الغاز.</t>
  </si>
  <si>
    <t>220000</t>
  </si>
  <si>
    <t>الأعمال الصحية ـ القسم رقم 22 : 
متطلبات عامة:
توريد وتركيب واختبار واتزان الأعمال الصحية والأنظمة الصحىة  شاملة مضادات الزلازل واعمال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الصحى واعمال الغاز كما هو مذكور بالتعاقد وتقديم كتالوجات التشغيل والصيانة خلال فترة تنفيذ المشروع وقطع الغيار اللازمة  والكتيبات اللازمة لأعمال الصحى حسب المدة المذكورة بالعقد بالاضافة الى عملية الربط مع المراحل الأخرى للمشروع</t>
  </si>
  <si>
    <t>224000</t>
  </si>
  <si>
    <t>الأجهزة الصحية
توريد و تركيب الاجهزه الصحيه كاملة مع الخلاطات وصمامات الزاويه والوصلات المرنه ,وحاجز الروائح شكل  (P or S) والمصافي والشطافة ووصلات المواسير وكل التركيبات واللوازم كاملة كما هو موضح بالمواصفات والمخططات وحسب تعليمات المهندس المعماري</t>
  </si>
  <si>
    <t>224000-01</t>
  </si>
  <si>
    <t>مرحاض غربي نوع (WC-3) شاملا" صمام الطرد و كل ما يلزم</t>
  </si>
  <si>
    <t>224000-02</t>
  </si>
  <si>
    <t>حوض غسيل ايدي مثبت علي الحائط نوع (LAV-3)</t>
  </si>
  <si>
    <t>224000-03</t>
  </si>
  <si>
    <t>طقم شاور (دش) ( SH ) شاملا الخلاط</t>
  </si>
  <si>
    <t>224000-04</t>
  </si>
  <si>
    <t>حوض مطبخ بوعاء واحد نوع  (BSF-1)</t>
  </si>
  <si>
    <t>224000-05</t>
  </si>
  <si>
    <t>حوض مطبخ بوعاء واحد نوع  (OBS-1)</t>
  </si>
  <si>
    <t>224000-06</t>
  </si>
  <si>
    <t>حوض خدمة ادوات النظافة نوع (JS)</t>
  </si>
  <si>
    <t>224600</t>
  </si>
  <si>
    <t xml:space="preserve">الأجهزة الصحيةالأجهزة الصحية ذات الطبيعة الأمنية
توريد و تركيب الاجهزه الصحيه من  الستانلس ستيل  ذات الطبيعة الأمنية ضد التخريب كاملة مع أزرار الضغط,  Bubbler وصمامات تعمل بالهواء (A.O.V) ومشغل غشائي (D.A) والوصلات المرنه, وحاجز الروائح شكل  (P or S) والمصافي والشطافة بدرجة أمنية ووصمامات الزاويه, وصلات المواسير وكل التركيبات واللوازم كاملة كما هو موضح بالمواصفات والمخططات وحسب تعليمات المهندس المعماري </t>
  </si>
  <si>
    <t>224600-01</t>
  </si>
  <si>
    <t>مرحاض غربي بدرجـة أمنية خـاص بذوي الأحتياجات الخاصة نوع (WC-2) شاملا" صمام الطرد و كل ما يلزم</t>
  </si>
  <si>
    <t>224600-02</t>
  </si>
  <si>
    <t>مرحاض شرقي بدرجة أمنية  نوع (WC-1) شاملا" صمام الطرد و كل ما يلزم</t>
  </si>
  <si>
    <t>224600-03</t>
  </si>
  <si>
    <t>حوض غسيل ايدي بدرجة أمنية خاص بذوي الأحتياجات الخاصة مثبت علي الحائط نوع (LAV-2)</t>
  </si>
  <si>
    <t>224600-04</t>
  </si>
  <si>
    <t>حوض غسيل ايدي بدرجة أمنية خاص بمدخل غرفة العزل مثبت علي الحائط نوع (LAV)</t>
  </si>
  <si>
    <t>224600-05</t>
  </si>
  <si>
    <t>طقم شاور (دش) ( SH ) بدرجة أمنية خاص بذوي الأحتياجات الخاصة مثبت علي الحائط</t>
  </si>
  <si>
    <t>تركيبات مواسير مياه المجاري و الصرف الصحي و التهوئة 
توريد وتركيب واختبار أنابيب مياه المجاري والصرف الصحي و التهوية بما في ذلك  السليفات، الفتحات اللازمة، طبقات الحجب، ومانعات التسرب، والقواعد (إذا لزم الأمر)،  وكل القطع و اللوازم  وركائز التثبيت، التدعيم، التعليق، التثبيت و جميع اعمال البناء الازمة لاعمال السباكة  لإكمال العمل كما يلزم حسب المخططات والمواصفات
توريد وتركيب واختبار أنابيب مياه الصرف الصحي من (UPVC) توضع تحت الارض بما في ذلك الحفر والردم الخ. حسب الموضح بالمواصفات والمخططات</t>
  </si>
  <si>
    <t>221316-01</t>
  </si>
  <si>
    <t>221316-02</t>
  </si>
  <si>
    <t>221316-03</t>
  </si>
  <si>
    <t>توريد وتركيب واختبار أنابيب مياه الصرف الصحي من (PVC) توضع تحت البلاط ، فوق الاسقف المعلقة، في المناور وفي الجدران الخ. حسب الموضح بالمواصفات والمخططات</t>
  </si>
  <si>
    <t>221316-04</t>
  </si>
  <si>
    <t>توريد وتركيب واختبار أنابيب التهوية  من (PVC ) تحت الارض بما في ذلك الحفر والردم الخ. حسب الموضح بالمواصفات والمخططات</t>
  </si>
  <si>
    <t>221316-05</t>
  </si>
  <si>
    <t>توريد وتركيب واختبار أنابيب التهوية  من (PVC ) توضع تحت البلاط ، فوق الاسقف المعلقة، في المناور وفي الجدران الخ. حسب الموضح بالمواصفات والمخططات</t>
  </si>
  <si>
    <t>221316-06</t>
  </si>
  <si>
    <t>توريد وتركيب واختبار أنابيب تصريف مياه الامطار من  (PVC) توضع تحت البلاط ، فوق الاسقف المعلقة، في المناور وفي الجدران الخ. حسب الموضح بالمواصفات والمخططات</t>
  </si>
  <si>
    <t>221316-07</t>
  </si>
  <si>
    <t>221316-08</t>
  </si>
  <si>
    <t>221316-09</t>
  </si>
  <si>
    <t>توريد وتركيب واختبار أنابيب صرف أجهزة التكيف من  (PVC) توضع تحت الارض بما في ذلك الحفر والردم الخ. حسب الموضح بالمواصفات والمخططاتت</t>
  </si>
  <si>
    <t>221316-10</t>
  </si>
  <si>
    <t>توريد وتركيب واختبار أنابيب صرف أجهزة التكيف من  (PVC) توضع تحت البلاط ، فوق الاسقف المعلقة، في المناور وفي الجدران الخ. حسب الموضح بالمواصفات والمخططات</t>
  </si>
  <si>
    <t>221316-11</t>
  </si>
  <si>
    <t>قطر 20 مم</t>
  </si>
  <si>
    <t>221316-12</t>
  </si>
  <si>
    <t>221319</t>
  </si>
  <si>
    <t>الملحقات</t>
  </si>
  <si>
    <t>221319-01</t>
  </si>
  <si>
    <t>طبة تسليك ارضية (FCO), قياس قطر 80 مم</t>
  </si>
  <si>
    <t>221319-02</t>
  </si>
  <si>
    <t>طبة تسليك ارضية (FCO), قياس قطر 100 مم</t>
  </si>
  <si>
    <t>221319-03</t>
  </si>
  <si>
    <t>طبة تسليك (CO), قياس قطر 50 مم</t>
  </si>
  <si>
    <t>221319-04</t>
  </si>
  <si>
    <t xml:space="preserve">مصرف ارضي (FD-1 ), قياس قطر 80 مم </t>
  </si>
  <si>
    <t>221319-05</t>
  </si>
  <si>
    <t xml:space="preserve">مصرف ارضي (FD-2 ), قياس قطر 80 مم </t>
  </si>
  <si>
    <t>221319-06</t>
  </si>
  <si>
    <t xml:space="preserve">مصرف ارضي (FD-3 ), قياس قطر 50 مم </t>
  </si>
  <si>
    <t>221319-07</t>
  </si>
  <si>
    <t>مصرف سطح (RD) , قطر 80 مم</t>
  </si>
  <si>
    <t>221319-08</t>
  </si>
  <si>
    <t>مصرف سطح (RD) , قطر 100 مم</t>
  </si>
  <si>
    <t>221319-09</t>
  </si>
  <si>
    <t>مصرف سطح (RD) , قطر 150 مم</t>
  </si>
  <si>
    <t>221319-11</t>
  </si>
  <si>
    <t xml:space="preserve">كوع تصريف مياه الامطار بمانع رش, مقاس 80 مم </t>
  </si>
  <si>
    <t>221319-12</t>
  </si>
  <si>
    <t xml:space="preserve">كوع تصريف مياه الامطار بمانع رش, مقاس 100 مم </t>
  </si>
  <si>
    <t>221319-13</t>
  </si>
  <si>
    <t xml:space="preserve">كوع تصريف مياه الامطار بمانع رش, مقاس 150 مم </t>
  </si>
  <si>
    <t>221319-14</t>
  </si>
  <si>
    <t>غطاء عمود تهويه بالسطح ( RVC ), قطر 50 مم</t>
  </si>
  <si>
    <t>223300</t>
  </si>
  <si>
    <t xml:space="preserve">إمدادات المياة
سخانات المياه الكهربائيه
توريد وتركيب واختبار سخانات مياه كهربائيه شاملا" اعمال المواسير قصيرة الطول والصمامات و خزان التمدد (عند اللزوم) وركائز التثبيت ووحدات التحكم  ولوازم التثبيتات وجميع ما يلزم حسب المواصفات والمخططات  </t>
  </si>
  <si>
    <t>223300-01</t>
  </si>
  <si>
    <t xml:space="preserve">سخان مياه كهرباء نوع B07-EWH-01 </t>
  </si>
  <si>
    <t>221123</t>
  </si>
  <si>
    <t xml:space="preserve">مضخات تقليب المياة الساخنة
توريد وتركيب واختبار مضخات تقليب المياة الساخنة لسخانات المياه شاملة الانابيب القصيرة اللازمة، الصمامات، الصفايات، عددات قياس الضغط ولوحة التحكم والكابلات وجميع ما يلزم حسب الموضح بالمخططات و المواصفات. </t>
  </si>
  <si>
    <t>221123-01</t>
  </si>
  <si>
    <t>مضخات تقليب المياة الساخنة نوع (B07-HWCP-01)
(1 أساسيه + 1 احتياطيه)</t>
  </si>
  <si>
    <t>221116</t>
  </si>
  <si>
    <t>توزيع المياه البارده والساخنه 
توريد وتركيب واختبار انابيب المياه  البارده والساخنه بما في ذلك تسمية الانابيب، الاكمام، الفتحات، حجب اللحام، مانع المطرقة المائية, مانع التسريب, القواعد (إذا طلبت) بما في ذلك جميع قطع التركيب، التدعيم،  والتعليق، التثبيت و أي إكسسوار يلزم لإكمال العمل حسب المواصفات والمخططات 
توريد وتركيب واختبار مواسير تغذيه المياه البارده من
(HDPE) توضع تحت الارض بما في ذلك الحفر والردم.... الخ. حسب الموضح بالمواصفات والمخططات</t>
  </si>
  <si>
    <t>221116-01</t>
  </si>
  <si>
    <t>221116-02</t>
  </si>
  <si>
    <t>قطر 75 مم</t>
  </si>
  <si>
    <t>توريد وتركيب واختبار مواسير تغذيه المياه البارده 
من (CPVC)  توضع تحت البلاط ، فوق الاسقف المعلقة، في المناور وفي الجدران الخ,والمواسير التي علي السطح او المعرضة للشمس يجب تجهيزها بعازل من الألياف الزجاجية و تغليف بالألومنيوم بسماكة  0.6 مم,حسب الموضح بالمواصفات والمخططات</t>
  </si>
  <si>
    <t>221116-03</t>
  </si>
  <si>
    <t>قطر 15 مم</t>
  </si>
  <si>
    <t>221116-04</t>
  </si>
  <si>
    <t>221116-05</t>
  </si>
  <si>
    <t>221116-06</t>
  </si>
  <si>
    <t>221116-07</t>
  </si>
  <si>
    <t>221116-08</t>
  </si>
  <si>
    <t>221116-09</t>
  </si>
  <si>
    <t>221116-10</t>
  </si>
  <si>
    <t>توريد وتركيب واختبار مواسير تغذيه المياه الساخنه 
 (CPVC)  شاملة العزل والتوصيلات واللوازم توضع تحت البلاط ، فوق الاسقف المعلقة، في المناور وفي الجدران.... الخ, حسب الموضح بالمواصفات والمخططات</t>
  </si>
  <si>
    <t>221116-11</t>
  </si>
  <si>
    <t>221116-12</t>
  </si>
  <si>
    <t>221116-13</t>
  </si>
  <si>
    <t>221116-14</t>
  </si>
  <si>
    <t>221116-15</t>
  </si>
  <si>
    <t>221116-16</t>
  </si>
  <si>
    <t>221113-01</t>
  </si>
  <si>
    <t>صمام بوابة  قطر 15 مم</t>
  </si>
  <si>
    <t>221113-02</t>
  </si>
  <si>
    <t>صمام بوابة  قطر 20 مم</t>
  </si>
  <si>
    <t>221113-03</t>
  </si>
  <si>
    <t>صمام بوابة  قطر 25 مم</t>
  </si>
  <si>
    <t>221113-04</t>
  </si>
  <si>
    <t>صمام بوابة  قطر 32 مم</t>
  </si>
  <si>
    <t>221113-05</t>
  </si>
  <si>
    <t>صمام بوابة  قطر 40 مم</t>
  </si>
  <si>
    <t>221113-06</t>
  </si>
  <si>
    <t>صمام بوابة  قطر 50 مم</t>
  </si>
  <si>
    <t>221113-07</t>
  </si>
  <si>
    <t>صمام عدم رجوع (CHV), قطر 15 مم</t>
  </si>
  <si>
    <t>221119</t>
  </si>
  <si>
    <t>221119-01</t>
  </si>
  <si>
    <t>صمام تعيير كروي (GLV), قطر 15 مم</t>
  </si>
  <si>
    <t>221119-02</t>
  </si>
  <si>
    <t>صمام خلط ثرموستاتي ( TMV )</t>
  </si>
  <si>
    <t>221119-03</t>
  </si>
  <si>
    <t>حنفية غسيل ( HB ) بصمام بوابة قطر 20 مم</t>
  </si>
  <si>
    <t>221119-04</t>
  </si>
  <si>
    <t>فتحة تنفيس هواء اتوماتكية (AAV), قطر 15 مم</t>
  </si>
  <si>
    <t>Nr / عدد</t>
  </si>
  <si>
    <t>نظام مواسير الغازات الطبية
توريد وتركيب واختبار مواسير الغازات الطبية من النحاس الغير ملحوم بما في ذلك وسم المواسير، الاكمام، الفتحات، حجب اللحام، القواعد (إذا طلبت ) بما في ذلك جميع قطع التركيب، التدعيم، التعليق، التثبيت و أي إكسسوار يلزم لإكمال العمل كما يلزم حسب المخططات و المواصفات.الانابيب يتم توريدها مغلفة ومختومة خاصة للاعمال الطبية</t>
  </si>
  <si>
    <t>مواسير الهواء الطبى 
توريد وتركيب واختبار مواسير الهواء الطبي ( MA4 ) (نحاس نوع L غير ملحوم) توضع تحت البلاط ، فوق الاسقف المعلقة، في المناور وفي الجدران.... الخ, حسب الموضح بالمواصفات والمخططات</t>
  </si>
  <si>
    <t>226113</t>
  </si>
  <si>
    <t>226113-01</t>
  </si>
  <si>
    <t>226113-02</t>
  </si>
  <si>
    <t>قطر 22 مم</t>
  </si>
  <si>
    <t>226213</t>
  </si>
  <si>
    <t>مواسير التفريغ الطبية 
توريد وتركيب واختبار مواسير التفريغ الطبية ( VAC ) (نحاس نوع L غير ملحوم) توضع تحت البلاط ، فوق الاسقف المعلقة، في المناور وفي الجدران.... الخ, حسب الموضح بالمواصفات والمخططات</t>
  </si>
  <si>
    <t>226213-01</t>
  </si>
  <si>
    <t>226213-02</t>
  </si>
  <si>
    <t>قطر 28 مم</t>
  </si>
  <si>
    <t>226213-03</t>
  </si>
  <si>
    <t>قطر 42 مم</t>
  </si>
  <si>
    <t>226213-04</t>
  </si>
  <si>
    <t>قطر 54 مم</t>
  </si>
  <si>
    <t>226223</t>
  </si>
  <si>
    <t>انظمة طرد غازات  التخدير
توريد وتركيب واختبار مواسير أنظمة التخدير( AGSS ) (نحاس  نوع L غير ملحوم) مع المفاصل ملحوم فوق أسقف والجدران، في  المناور، الخ.</t>
  </si>
  <si>
    <t>226223-01</t>
  </si>
  <si>
    <t>226313</t>
  </si>
  <si>
    <t>انظمة غاز النيتروجين
توريد وتركيب واختبار مواسير غاز أكسيد النيتروز الطبي ( N2O ) (نحاس نوع L غير ملحوم)  توضع تحت البلاط ، فوق الاسقف المعلقة، في المناور وفي الجدران.... الخ, حسب الموضح بالمواصفات والمخططات</t>
  </si>
  <si>
    <t>226313-01</t>
  </si>
  <si>
    <t>انظمة غاز الأكسجين
توريد وتركيب واختبار مواسير غاز الأكسجين الطبي ( O2 )  (نحاس نوع L غير ملحوم) توضع تحت البلاط ، فوق الاسقف المعلقة، في المناور وفي الجدران.... الخ, حسب الموضح بالمواصفات والمخططات</t>
  </si>
  <si>
    <t>226313-02</t>
  </si>
  <si>
    <t>226219</t>
  </si>
  <si>
    <t>معدات واجهزة تفريغ الهواء الطبي
توريد وتركيب واختبار معدات تفريغ الهواء  الطبي مطابقة لمتطلبات HTM-02-01 وISO 7396-1 بما في ذلك  الصمامات وأجهزة القياس، والضوابط، والفلاتروالصرف وشاملا" قاعدة الخرسانة المسلحة، وعوازل للاهتزاز، وجميع التجهيزات اللازمة، والتدعيم  والمثبتات و كامل ملحقاتها وكل اللوازم كما هو مطلوب وموضح في المخططات والمواصفات.</t>
  </si>
  <si>
    <t>226219-01</t>
  </si>
  <si>
    <t>معدات تفريغ الهواء  الطبي  نوع  B04-MVAC-01  تتضمن 3 مضخات فراغ تدفق 250 لتر بالدقيقة ، مع خزان هواء واحد سعته كل خزان 500 لتر.</t>
  </si>
  <si>
    <t>بند</t>
  </si>
  <si>
    <t>وحدة نظام طرد غازات التخدير
توريد وتركيب واختبار معدات التخديرالطبي مطابقة لمتطلبات HTM-02-01 وISO 7396-1 بما في ذلك  الصمامات وأجهزة القياس، والضوابط، والفلاتر والصرف وشاملا" قاعدة الخرسانة المسلحة، وعوازل للاهتزاز وجميع التجهيزات اللازمة، والتدعيم  والمثبتات و كامل ملحقاتها وكل اللوازم كما هو مطلوب وموضح في المخططات والمواصفات.</t>
  </si>
  <si>
    <t xml:space="preserve"> وحدة تفريغ الهواء الطبي لقسم التخدير نوع B04-AGSS-01 ( سعة 120 لتر بالدقيقة)</t>
  </si>
  <si>
    <t>226119</t>
  </si>
  <si>
    <t>وحدة ضغط الهواء الطبي
توريد وتركيب واختبار وحدة ضغط الهواء الطبي مطابقة لمتطلبات HTM-02-01 وISO 7396-1  بما في ذلك  الصمامات وأجهزة القياس، والضوابط و والفلاتر شاملا" قاعدة الخرسانة المسلحة، وعوازل للاهتزاز و جميع التجهيزات اللازمة، والتدعيم والمثبتات و كامل ملحقاتها وكل اللوازم كما هو مطلوب وموضح في المخططات والمواصفات.</t>
  </si>
  <si>
    <t>226119-01</t>
  </si>
  <si>
    <t xml:space="preserve"> وحدة ضغط الهواء الطبي لقسم نوع B04-MCA-01                  (سعة 177.5 لتر بالدقيقة)</t>
  </si>
  <si>
    <t>226000</t>
  </si>
  <si>
    <r>
      <t>مخارج التوصيل لمواسير الغازات الطبية
ئوريد وتركيب واختبار مخارج الغازات الطبية (يجب تنسيقها مع الفرش والمعدات الطبية) شاملة المحابس و جميع قطع التركيب و أي إكسسوار يلزم لإكمال العمل وكل المستلزمات الكهربية  كاملا" كما يلزم حسب الموضح بالمواصفات والمخططات.</t>
    </r>
    <r>
      <rPr>
        <u/>
        <sz val="14"/>
        <rFont val="Calibri"/>
        <family val="2"/>
        <scheme val="minor"/>
      </rPr>
      <t xml:space="preserve">
</t>
    </r>
  </si>
  <si>
    <t>مأخذ الهواء الطبي (4 بار)</t>
  </si>
  <si>
    <t>مأخذ  التفريغ الطبي</t>
  </si>
  <si>
    <t>مأخذ البنج و هواء التفريغ</t>
  </si>
  <si>
    <t>O2 مأخذ</t>
  </si>
  <si>
    <t>N2O مأخذ</t>
  </si>
  <si>
    <t>226313-03</t>
  </si>
  <si>
    <t>صمام كروي لمواسير الغازات الطبيه قابل للقفل قطر 15 مم</t>
  </si>
  <si>
    <t>226313-04</t>
  </si>
  <si>
    <t>صمام كروي لمواسير الغازات الطبيه قابل للقفل قطر 22 مم</t>
  </si>
  <si>
    <t>226313-05</t>
  </si>
  <si>
    <t>صمام كروي لمواسير الغازات الطبيه قابل للقفل قطر 28 مم</t>
  </si>
  <si>
    <t>226313-06</t>
  </si>
  <si>
    <t>صمام كروي لمواسير الغازات الطبيه قابل للقفل قطر 54 مم</t>
  </si>
  <si>
    <t>أسطوانات تغذية الغازات الطبية
ئوريد وتركيب واختبار 'أسطوانات الغازات الطبية كاملة شاملة المحابس و جميع قطع التركيب و أي إكسسوار يلزم لإكمال العمل وكل المستلزمات الكهربية  كاملا" كما يلزم حسب الموضح بالمواصفات والمخططات.</t>
  </si>
  <si>
    <t>226313-07</t>
  </si>
  <si>
    <t xml:space="preserve">أسطوانات غاز الأكسجين </t>
  </si>
  <si>
    <t>226313-08</t>
  </si>
  <si>
    <t xml:space="preserve">أسطوانات غاز اكسيد النيتروز </t>
  </si>
  <si>
    <t xml:space="preserve">أسطوانات غاز الطبى </t>
  </si>
  <si>
    <t>221313</t>
  </si>
  <si>
    <t>الاعمال المدنية المرتبطة باعمال السباكة
الأعمال المدنيه شامله صناديق الخرسانه (  صندوق المحابس , عدادات المياه , بيارة صرف ,المطابق ,...الخ) شاملا" الحفر والردم , اعمال الخرسانه المسلحه , عزل المياه , الغطاء , الدرج ....الخ, كاملا" كما يلزم حسب الموضح بالمواصفات والمخططات.</t>
  </si>
  <si>
    <t>221313-01</t>
  </si>
  <si>
    <t xml:space="preserve">حفرة تشرب مياه تكثيف وحدات  التكييف (Soakaway pit), مقاس كما موضح بالمخططات  </t>
  </si>
  <si>
    <t>230000</t>
  </si>
  <si>
    <t>أعمال التدفئة و التھوية و تكييف الھواء ـ القسم رقم 23 : 
متطلبات عامة:
توريد وتركيب واختبار واتزان انظمة التكييف شاملة اعمال مضادات زلازل  البناء بما فى ذلك السليفات والفتحات والقواعد واعمال الخرسانة المسلحة بما فى ذلك اعمال الشدات وحديد التسليح وموانع الأهتزاز والعزل وحشو جميع الشقوق والفتحات وتقديم الضمانات اللازمة لأعمال التكييف كما هو مذكور بالتعاقد وتقديم كتالوجات التشغيل والصيانة اثناء فترة تنفيذ المشروع وقطع الغيار اللازمة خلال فترة المشروع والكتيبات اللازمة لأعمال التكييف حسب المدة المذكورة بالعقد بالاضافة الى عملية الربط مع المراحل الأخرى للمشروع.</t>
  </si>
  <si>
    <t>237413</t>
  </si>
  <si>
    <t>وحدات مناولة الهواء (DX-AHU) 
توريد وتركيب واختبار وحدات مناوله الهواء مع وحدة التكثيف ( طبقا للمعهد الامريكي للتبريد ولائحه إختبار الضامنين), كامله مع مواسير التبريد ومواسير صرف مياه التكثيف , الكابلات , القطع , فلاتر الهواء , العوازل , الصمامات و المحابس المزوده بموتور ولوحات التحكم , الثرموستات , التثبيت و القواعد المضاده للاهتزاز الوصلات المرنه , وجميع اللوازم الاخري اللازمه حسب الموصف  والموضح بالمخططات والمواصفات</t>
  </si>
  <si>
    <t>237413-01</t>
  </si>
  <si>
    <t>وحده مناولة الهواء نوع AHU-B1-01/ACCU-B1-01</t>
  </si>
  <si>
    <t>237413-02</t>
  </si>
  <si>
    <t>وحده مناولة الهواء نوع AHU-B1-02/ACCU-B1-02</t>
  </si>
  <si>
    <t>237413-03</t>
  </si>
  <si>
    <t>وحده مناولة الهواء نوع AHU-B1-02/ACCU-B1-03</t>
  </si>
  <si>
    <t xml:space="preserve"> 237413</t>
  </si>
  <si>
    <t>وحده التكييف المدمجة بموفر
توريد وتركيب واختبار وحده تكييف من النوع المدمج بموفر , شاملا" مدخل الهواء النقي ولوحات التحكم  والكابلات و العزل  و الفلاتر  و التحكم و الثرموستات و لوازم التثبيت و قواعد مانعة الاهتزاز ... ألخ مع العزل  واللوازم  وركائز التثبيت مع القاعده والسقف حسب الموضح بالمخططات والمواصفات</t>
  </si>
  <si>
    <t xml:space="preserve"> 237413-01</t>
  </si>
  <si>
    <t xml:space="preserve">وحده تكييف مدمجة نوع PACU-01 </t>
  </si>
  <si>
    <t xml:space="preserve"> 237413-02</t>
  </si>
  <si>
    <t>وحده تكييف مدمجة نوع PACU-02</t>
  </si>
  <si>
    <t xml:space="preserve"> 237413-03</t>
  </si>
  <si>
    <t>وحده تكييف مدمجة نوع PACU-03</t>
  </si>
  <si>
    <t xml:space="preserve"> 237413-04</t>
  </si>
  <si>
    <t>وحده تكييف مدمجة نوع PACU-04</t>
  </si>
  <si>
    <t xml:space="preserve"> 237413-05</t>
  </si>
  <si>
    <t>وحده تكييف مدمجة نوع PACU-05</t>
  </si>
  <si>
    <t>238126</t>
  </si>
  <si>
    <t>وحدات الملف و المروحة (DX-COIL)
توريد و تركيب واختبار وحدة تكييف منفصلة معلقة مع وحدة التكثيف مثبتة على منصة أو فوق السقف شامله وحدة التكثيف دعائم التثبيت و أعمال مواسير التبريد و المحابس و التحكم و الكابلات و الثرموستات و مواسير صرف الماء المكثف و العوازل وجميع ما يلزم حسب الموضح بالمخططات والمواصفات</t>
  </si>
  <si>
    <t>238126-01</t>
  </si>
  <si>
    <t>وحدة نوع XFCU-A-E2-04/ACU-A-E2-04</t>
  </si>
  <si>
    <t>238126-02</t>
  </si>
  <si>
    <t>وحدة نوع XFCU-A-E2-05/ACU-A-E2-05</t>
  </si>
  <si>
    <t>238126-03</t>
  </si>
  <si>
    <t>وحدة نوع XFCU-C-F5-02/ACU-C-F5-02</t>
  </si>
  <si>
    <t>238126-04</t>
  </si>
  <si>
    <t>وحدة نوع XFCU-C-F6-01/ACU-C-F6-01</t>
  </si>
  <si>
    <t>238413</t>
  </si>
  <si>
    <t>مُرطّب البخار
توريد وتركيب واختبار وحده مرطب للوحدات المدمجة من النوع الخطي ويكون مناسبا لدخول صنبور المياه ولتركيبات الخارجية  , شاملا"  المواسير والمحابس و اللوازم  ... ألخ حسب الموضح بالمخططات والمواصفات</t>
  </si>
  <si>
    <t>233413</t>
  </si>
  <si>
    <t>233413-01</t>
  </si>
  <si>
    <t xml:space="preserve">مُرطّب البخار نوع (HU-01) </t>
  </si>
  <si>
    <t>233413-02</t>
  </si>
  <si>
    <t xml:space="preserve">مُرطّب البخار نوع (HU-02) </t>
  </si>
  <si>
    <t>233413-03</t>
  </si>
  <si>
    <t xml:space="preserve">مُرطّب البخار نوع (HU-03) </t>
  </si>
  <si>
    <t>233413-04</t>
  </si>
  <si>
    <t xml:space="preserve">مُرطّب البخار نوع (HU-04) </t>
  </si>
  <si>
    <t>233413-05</t>
  </si>
  <si>
    <t xml:space="preserve">مُرطّب البخار نوع (HU-05) </t>
  </si>
  <si>
    <t>233413-06</t>
  </si>
  <si>
    <t xml:space="preserve">مُرطّب البخار نوع (HU-06) </t>
  </si>
  <si>
    <t>233413-07</t>
  </si>
  <si>
    <t xml:space="preserve">مُرطّب البخار نوع (HU-07) </t>
  </si>
  <si>
    <t>233413-08</t>
  </si>
  <si>
    <t xml:space="preserve">مُرطّب البخار نوع (HU-08) </t>
  </si>
  <si>
    <t>233416</t>
  </si>
  <si>
    <t xml:space="preserve">مراوح الهواء
توريد وتركيب واختبار مراوح الهواء (لائحة معامل إختبار الضامنين) كاملة مع جميع الفلانجات و ركائز التثبيت و التركيبات و مفاتيح الفصل عند زيادة الأحمال و دنبر عدم الرجوع ودنبر غلق مع  شبكة سلك و صندوق التجميع وجميع ما يلزم حسب الموضح بالمخططات والمواصفات </t>
  </si>
  <si>
    <t>233416-01</t>
  </si>
  <si>
    <t>مراوح طرد هواء نوع B07-EF-A-01</t>
  </si>
  <si>
    <t>233416-02</t>
  </si>
  <si>
    <t>مراوح طرد هواء نوع B07-EF-A-02</t>
  </si>
  <si>
    <t>233416-03</t>
  </si>
  <si>
    <t>مراوح طرد هواء نوع B07-EF-A-03</t>
  </si>
  <si>
    <t>233416-04</t>
  </si>
  <si>
    <t>مراوح طرد هواء نوع B07-EF-A-04</t>
  </si>
  <si>
    <t>233416-05</t>
  </si>
  <si>
    <t>مراوح طرد هواء نوع B07-EF-A-05</t>
  </si>
  <si>
    <t>233416-06</t>
  </si>
  <si>
    <t>مراوح طرد هواء نوع B07-EF-A-06</t>
  </si>
  <si>
    <t>233416-07</t>
  </si>
  <si>
    <t>مراوح طرد هواء نوع B07-EF-A-07</t>
  </si>
  <si>
    <t>233416-08</t>
  </si>
  <si>
    <t>مراوح طرد هواء نوع B07-EF-A-08</t>
  </si>
  <si>
    <t>233416-09</t>
  </si>
  <si>
    <t>مراوح طرد هواء نوع B07-EF-A-09</t>
  </si>
  <si>
    <t>233416-10</t>
  </si>
  <si>
    <t>مراوح طرد هواء نوع B07-EF-A-10</t>
  </si>
  <si>
    <t>233416-11</t>
  </si>
  <si>
    <t>مراوح طرد هواء نوع B07-EF-A-11</t>
  </si>
  <si>
    <t>233416-12</t>
  </si>
  <si>
    <t>مراوح طرد هواء نوع B07-EF-A-12</t>
  </si>
  <si>
    <t>233416-13</t>
  </si>
  <si>
    <t>مراوح طرد هواء نوع B07-EF-A-13</t>
  </si>
  <si>
    <t>233416-14</t>
  </si>
  <si>
    <t>مراوح طرد هواء نوع B07-EF-A-14</t>
  </si>
  <si>
    <t>233416-15</t>
  </si>
  <si>
    <t>مراوح طرد هواء نوع B07-EF-A-15</t>
  </si>
  <si>
    <t>233416-16</t>
  </si>
  <si>
    <t>مراوح طرد هواء نوع B07-EF-A-16</t>
  </si>
  <si>
    <t>233416-17</t>
  </si>
  <si>
    <t>مراوح طرد هواء نوع B07-EF-A-17</t>
  </si>
  <si>
    <t>233416-18</t>
  </si>
  <si>
    <t>مراوح طرد هواء نوع B07-EF-A-18</t>
  </si>
  <si>
    <t>233416-19</t>
  </si>
  <si>
    <t>مراوح طرد هواء نوع B07-EF-A-19</t>
  </si>
  <si>
    <t>233416-20</t>
  </si>
  <si>
    <t>مراوح طرد هواء نوع B07-EF-A-20</t>
  </si>
  <si>
    <t>233416-21</t>
  </si>
  <si>
    <t>مراوح طرد هواء نوع B07-EF-A-21</t>
  </si>
  <si>
    <t>233416-22</t>
  </si>
  <si>
    <t>مراوح طرد هواء نوع B07-EF-A-22</t>
  </si>
  <si>
    <t>233416-23</t>
  </si>
  <si>
    <t>مراوح طرد هواء نوع B07-HPF-01</t>
  </si>
  <si>
    <t>238000</t>
  </si>
  <si>
    <t xml:space="preserve"> وحدة تنقية الهواء بالاشعة الفوق بنفسجية
توريد وتركيب تنقية الهواء بالاشعة الفوق بنفسجية شاملة وحدة التنقية وفلاتر الهواء  والمراوح  ,الكابلات , القطع ,  العوازل , الصمامات و المحابس ولوحات التحكم , التثبيت و القواعد المضاده للاهتزاز ,الوصلات المرنه , وجميع اللوازم الاخري اللازمه حسب الموصف  والموضح بالمخططات والمواصفات</t>
  </si>
  <si>
    <t>238000-01</t>
  </si>
  <si>
    <t xml:space="preserve"> وحدة تنقية الهواء بالاشعة الفوق بنفسجية (UV-01)</t>
  </si>
  <si>
    <t>233300</t>
  </si>
  <si>
    <t>كواتم الصوت
توريد وتركيب واختبار كواتم  للصوت على مجاري  الامداد ,الراجع  وطرد الهواء للحفاظ على مستوى الصوت للغرف كما هو مطلوب كامل مع جميع ما يلزم حسب الموضح بالمخططات والمواصفات</t>
  </si>
  <si>
    <t>233300-01</t>
  </si>
  <si>
    <t>كاتم صوت نوع S/A-S-PACU-01</t>
  </si>
  <si>
    <t>233300-02</t>
  </si>
  <si>
    <t>كاتم صوت نوع S/A-S-PACU-02</t>
  </si>
  <si>
    <t>233300-03</t>
  </si>
  <si>
    <t>كاتم صوت نوع S/A-S-PACU-03</t>
  </si>
  <si>
    <t>233300-04</t>
  </si>
  <si>
    <t>كاتم صوت نوع S/A-S-PACU-04</t>
  </si>
  <si>
    <t>233300-05</t>
  </si>
  <si>
    <t>كاتم صوت نوع S/A-S-PACU-05</t>
  </si>
  <si>
    <t>233300-06</t>
  </si>
  <si>
    <t>كاتم صوت نوع S/A-R-PACU-01</t>
  </si>
  <si>
    <t>233300-07</t>
  </si>
  <si>
    <t>كاتم صوت نوع S/A-R-PACU-02</t>
  </si>
  <si>
    <t>233300-08</t>
  </si>
  <si>
    <t>كاتم صوت نوع S/A-R-PACU-03</t>
  </si>
  <si>
    <t>233300-09</t>
  </si>
  <si>
    <t>كاتم صوت نوع S/A-R-PACU-04</t>
  </si>
  <si>
    <t>233300-10</t>
  </si>
  <si>
    <t>كاتم صوت نوع S/A-R-PACU-05</t>
  </si>
  <si>
    <t>233300-11</t>
  </si>
  <si>
    <t>كاتم صوت نوع S/A-S-AHU-B1-01</t>
  </si>
  <si>
    <t>233300-12</t>
  </si>
  <si>
    <t>كاتم صوت نوع S/A-S-AHU-B1-02</t>
  </si>
  <si>
    <t>233300-13</t>
  </si>
  <si>
    <t>كاتم صوت نوع S/A-S-AHU-B1-03</t>
  </si>
  <si>
    <t>233300-14</t>
  </si>
  <si>
    <t>كاتم صوت نوع S/A-R-AHU-B1-01</t>
  </si>
  <si>
    <t>233300-15</t>
  </si>
  <si>
    <t>كاتم صوت نوع S/A-R-AHU-B1-02</t>
  </si>
  <si>
    <t xml:space="preserve"> 233600</t>
  </si>
  <si>
    <t xml:space="preserve"> وحدة امدادالهواء متغير الحجم (VAV) مع ملف إعادة التسخين
 توريد وتركيب واختبار وحدة الامداد لحجم الهواء المتغير VAV (معتمدة من المعهد الامريكى للتبريد ولائحة معامل اختبار الضامنين) تتضمن و لا تقتصر على التالى التحكم و   جميع اللوازم ، الكابلات،  العزل، حساس تدفق، ملف التسخين, محول فولتية للتحكم سلكي، مفتاح ضغط.، ،مفتاح كهربائي ، ألخ مع العزل واللوازم حسب المخططات والمواصفات. </t>
  </si>
  <si>
    <t xml:space="preserve"> 233600-01</t>
  </si>
  <si>
    <t xml:space="preserve"> وحدة امدادالهواء متغير الحجم نوع (VAV-BP-01)</t>
  </si>
  <si>
    <t xml:space="preserve"> 233600-02</t>
  </si>
  <si>
    <t xml:space="preserve"> وحدة امدادالهواء متغير الحجم نوع (VAV-BP-02)</t>
  </si>
  <si>
    <t xml:space="preserve"> 233600-03</t>
  </si>
  <si>
    <t xml:space="preserve"> وحدة امدادالهواء متغير الحجم نوع (VAV-BP-03)</t>
  </si>
  <si>
    <t>233100</t>
  </si>
  <si>
    <t>أعمال مجاري الهواء
توريد وتركيب واختبار مجاري الهواء لنظام التتكييف والتهوية طبقا لمتطلبات SMACNA شاملاً الركائز، الوصلات، المنظمات الحجمية والحريق والدخان والمزوده بموتور بانواعها المختلفة ، ووصلة مجارى الهواء الراجع على شكل فوهة جرس بمقاستها المختلفة ,المنظمات، مواد منع الحريق ،وهياكل التدعيم والوصلات المرنه وعملية تنظيف وتطهير الصاج وكل اللوازام المرتبطه بالتوصيل كاملة حسب المخططات والمواصفات.</t>
  </si>
  <si>
    <t>233100-01</t>
  </si>
  <si>
    <t>مجاري هواء من الصلب المجلفن للهواء الداخل والراجع و النقي</t>
  </si>
  <si>
    <t>كجم</t>
  </si>
  <si>
    <t>233100-02</t>
  </si>
  <si>
    <t xml:space="preserve">مجاري  هواء من الصلب المجلفن  للهواء المطرود </t>
  </si>
  <si>
    <t>230713</t>
  </si>
  <si>
    <t>عزل مجاري الهواء
توريد وتركيب واختبار عزل مجاري الهواء شاملاً   الركائز، الوصلات،  التثبيتات والللوازم .....الخ  كاملة حسب المخططات والمواصفات.</t>
  </si>
  <si>
    <t>230713-01</t>
  </si>
  <si>
    <t xml:space="preserve">العزل ( بألياف زجاجية صلبة مع الألومنيوم بسمك 40مم وكثافة 24 كجم/م3 ) لمجاري التغذية و الراجع في الأماكن الداخلية ولمجاري الطرد و تغذية الهواء النقي للمطبخ </t>
  </si>
  <si>
    <t>230713-02</t>
  </si>
  <si>
    <t>عازل لمجاري الهواء (سماكة 50 مم من  الألياف الزجاجية  بورق الألومنيوم، وكثافة 48 كجم / متر مكعب  )و تغليف بالألومنيوم بسماكة  0.6 مم   لمجاري التهوئة لغرف المعدات والاماكن المكشوفة مع جميع المواد و اللوازم</t>
  </si>
  <si>
    <t>230713-03</t>
  </si>
  <si>
    <t>تبطين داخلي بمادة الفيبر غلاس الماصة للصوت بدهان الأسطح الداخلية بلون أسود كاملة باللاصق و دبابيس التثبيت</t>
  </si>
  <si>
    <t>233713</t>
  </si>
  <si>
    <t>مخارج الهواء
توريد وتركيب واختبار مخارج هواء سقفية وحائطية وجانبية  كاملة مع منظم هواء (VD) ومجارى الهواء المرنة والعزل الحرارى والتثبيت والحليات حسب الموضح بالمخططات والمواصفات، لون المخارج حسب اختيار المهندس.</t>
  </si>
  <si>
    <t>مخرج هواء تغذية سقفي مربع SCD</t>
  </si>
  <si>
    <t>233713-01</t>
  </si>
  <si>
    <t xml:space="preserve">مخرج هواء تغذية سقفي مربع SCD-01/4   </t>
  </si>
  <si>
    <t>233713-02</t>
  </si>
  <si>
    <t xml:space="preserve">مخرج هواء تغذية سقفي مربع SCD-02/4   </t>
  </si>
  <si>
    <t>233713-03</t>
  </si>
  <si>
    <t xml:space="preserve">مخرج هواء تغذية سقفي مربع SCD-03/4   </t>
  </si>
  <si>
    <t>233713-04</t>
  </si>
  <si>
    <t xml:space="preserve">مخرج هواء تغذية سقفي مربع SCD-04/4   </t>
  </si>
  <si>
    <t>233713-05</t>
  </si>
  <si>
    <t xml:space="preserve">مخرج هواء تغذية سقفي مربع SCD-05/4   </t>
  </si>
  <si>
    <t>233713-06</t>
  </si>
  <si>
    <t>مخرج هواء تغذية سقفي مربع SCD-10/4</t>
  </si>
  <si>
    <t>مخرج هواء راجع سقفي مربع RCD</t>
  </si>
  <si>
    <t>233713-07</t>
  </si>
  <si>
    <t xml:space="preserve">مخرج هواء راجع سقفي مربع RCD-01/4   </t>
  </si>
  <si>
    <t>233713-08</t>
  </si>
  <si>
    <t xml:space="preserve">مخرج هواء راجع سقفي مربع RCD-02/4   </t>
  </si>
  <si>
    <t>233713-09</t>
  </si>
  <si>
    <t xml:space="preserve">مخرج هواء راجع سقفي مربع RCD-03/4   </t>
  </si>
  <si>
    <t>مخرج هواء تغذية SR</t>
  </si>
  <si>
    <t>233713-10</t>
  </si>
  <si>
    <t xml:space="preserve">مخرج هواء تغذية  SR1   </t>
  </si>
  <si>
    <t>233713-11</t>
  </si>
  <si>
    <t>مخرج هواء تغذية  SR2</t>
  </si>
  <si>
    <t>233713-12</t>
  </si>
  <si>
    <t>مخرج هواء تغذية  SR3</t>
  </si>
  <si>
    <t>233713-13</t>
  </si>
  <si>
    <t xml:space="preserve">مخرج هواء تغذية  SR5   </t>
  </si>
  <si>
    <t>233713-14</t>
  </si>
  <si>
    <t xml:space="preserve">مخرج هواء تغذية  SR8   </t>
  </si>
  <si>
    <t>مخرج هواء راجع RR</t>
  </si>
  <si>
    <t>233713-15</t>
  </si>
  <si>
    <t xml:space="preserve">مخرج هواء راجع   RR1   </t>
  </si>
  <si>
    <t>233713-16</t>
  </si>
  <si>
    <t>مخرج هواء راجع   RR3</t>
  </si>
  <si>
    <t>233713-17</t>
  </si>
  <si>
    <t>مخرج هواء راجع   RR5</t>
  </si>
  <si>
    <t>233713-18</t>
  </si>
  <si>
    <t>مخرج هواء راجع   RR8</t>
  </si>
  <si>
    <t>مخرج هواء تغذية خطي SLD</t>
  </si>
  <si>
    <t>233713-19</t>
  </si>
  <si>
    <t>مخرج هواء تغذية خطي SLD-09-1</t>
  </si>
  <si>
    <t>233713-20</t>
  </si>
  <si>
    <t>مخرج هواء تغذية خطي SLD-14-2</t>
  </si>
  <si>
    <t>مخرج هواء راجع طولي RBG</t>
  </si>
  <si>
    <t>233713-21</t>
  </si>
  <si>
    <t>مخرج هواء راجع خطي RLD-09-1</t>
  </si>
  <si>
    <t>233713-22</t>
  </si>
  <si>
    <t>مخرج هواء راجع خطي RLD-14-2</t>
  </si>
  <si>
    <t>مخرج هواء عادم ER</t>
  </si>
  <si>
    <t>233713-23</t>
  </si>
  <si>
    <t>مخرج هواء عادم ER1</t>
  </si>
  <si>
    <t>233713-24</t>
  </si>
  <si>
    <t>مخرج هواء عادم ER3</t>
  </si>
  <si>
    <t>233713-25</t>
  </si>
  <si>
    <t>مخرج هواء عادم ER4</t>
  </si>
  <si>
    <t>233713-26</t>
  </si>
  <si>
    <t>مخرج هواء عادم ER5</t>
  </si>
  <si>
    <t>233713-27</t>
  </si>
  <si>
    <t>مخرج هواء عادم ER6</t>
  </si>
  <si>
    <t>233713-28</t>
  </si>
  <si>
    <t>مخرج هواء عادم ER8</t>
  </si>
  <si>
    <t>233713-29</t>
  </si>
  <si>
    <t>مخرج هواء عادم ER9</t>
  </si>
  <si>
    <t>233713-30</t>
  </si>
  <si>
    <t>مخرج هواء عادم ER10</t>
  </si>
  <si>
    <t>مخرج هواء تغذية امني سقفي SSCD</t>
  </si>
  <si>
    <t>233713-31</t>
  </si>
  <si>
    <t xml:space="preserve">مخرج هواء تغذية امني سقفي  SSCD-02/4   </t>
  </si>
  <si>
    <t>233713-32</t>
  </si>
  <si>
    <t xml:space="preserve">مخرج هواء تغذية امني سقفي  SSCD-03/4   </t>
  </si>
  <si>
    <t>233713-33</t>
  </si>
  <si>
    <t xml:space="preserve">مخرج هواء تغذية امني سقفي  SSCD-05/4   </t>
  </si>
  <si>
    <t>مخرج هواء راجع امني سقفي RSCD</t>
  </si>
  <si>
    <t>233713-34</t>
  </si>
  <si>
    <t xml:space="preserve">مخرج هواء راجع امني سقفي  RSCD-01/4   </t>
  </si>
  <si>
    <t>233713-35</t>
  </si>
  <si>
    <t xml:space="preserve">مخرج هواء راجع امني سقفي  RSCD-02/4   </t>
  </si>
  <si>
    <t>233713-36</t>
  </si>
  <si>
    <t xml:space="preserve">مخرج هواء راجع امني سقفي  RSCD-03/4   </t>
  </si>
  <si>
    <t>233713-37</t>
  </si>
  <si>
    <t xml:space="preserve">مخرج هواء راجع امني سقفي  RSCD-05/4   </t>
  </si>
  <si>
    <t>مخرج هواء تغذية امني SSR</t>
  </si>
  <si>
    <t>233713-38</t>
  </si>
  <si>
    <t xml:space="preserve">مخرج هواء تغذية امني SSR1  </t>
  </si>
  <si>
    <t>233713-39</t>
  </si>
  <si>
    <t>مخرج هواء تغذية امني SSR2</t>
  </si>
  <si>
    <t>233713-40</t>
  </si>
  <si>
    <t>مخرج هواء تغذية امني SSR3</t>
  </si>
  <si>
    <t>233713-41</t>
  </si>
  <si>
    <t>مخرج هواء تغذية امني SSR4</t>
  </si>
  <si>
    <t>233713-42</t>
  </si>
  <si>
    <t>مخرج هواء تغذية امني SSR5</t>
  </si>
  <si>
    <t>233713-43</t>
  </si>
  <si>
    <t>مخرج هواء تغذية امني SSR6</t>
  </si>
  <si>
    <t>233713-44</t>
  </si>
  <si>
    <t>مخرج هواء تغذية امني SSR7</t>
  </si>
  <si>
    <t>233713-45</t>
  </si>
  <si>
    <t>مخرج هواء تغذية امني SSR8</t>
  </si>
  <si>
    <t>233713-46</t>
  </si>
  <si>
    <t>مخرج هواء تغذية امني SSR9</t>
  </si>
  <si>
    <t>مخرج هواء راجع امني SRR</t>
  </si>
  <si>
    <t>233713-47</t>
  </si>
  <si>
    <t xml:space="preserve">مخرج هواء راجع امني SRR1  </t>
  </si>
  <si>
    <t>233713-48</t>
  </si>
  <si>
    <t>مخرج هواء راجع امني SRR2</t>
  </si>
  <si>
    <t>233713-49</t>
  </si>
  <si>
    <t>مخرج هواء راجع امني SRR3</t>
  </si>
  <si>
    <t>233713-50</t>
  </si>
  <si>
    <t>مخرج هواء راجع امني SRR4</t>
  </si>
  <si>
    <t>233713-51</t>
  </si>
  <si>
    <t>مخرج هواء راجع امني SRR5</t>
  </si>
  <si>
    <t>233713-52</t>
  </si>
  <si>
    <t>مخرج هواء راجع امني SRR7</t>
  </si>
  <si>
    <t>233713-53</t>
  </si>
  <si>
    <t>مخرج هواء راجع امني SRR8</t>
  </si>
  <si>
    <t>مخرج هواء عادم امني SER</t>
  </si>
  <si>
    <t>233713-54</t>
  </si>
  <si>
    <t>مخرج هواء عادم SER1</t>
  </si>
  <si>
    <t>233713-55</t>
  </si>
  <si>
    <t>مخرج هواء عادم SER2</t>
  </si>
  <si>
    <t>233713-56</t>
  </si>
  <si>
    <t>مخرج هواء عادم SER3</t>
  </si>
  <si>
    <t>233713-57</t>
  </si>
  <si>
    <t>مخرج هواء عادم SER8</t>
  </si>
  <si>
    <t>مخرج هواء تغذية مثقب مربع PRD</t>
  </si>
  <si>
    <t>233713-58</t>
  </si>
  <si>
    <t xml:space="preserve">مخرج هواء تغذية مثقب مربع PR.S-01   </t>
  </si>
  <si>
    <t>جريلة هواء بالباب DG</t>
  </si>
  <si>
    <t>233713-59</t>
  </si>
  <si>
    <t>جريلة هواء بالباب DG1</t>
  </si>
  <si>
    <t>233713-60</t>
  </si>
  <si>
    <t>جريلة هواء بالباب DG3</t>
  </si>
  <si>
    <t>233713-61</t>
  </si>
  <si>
    <t>جريلة هواء بالباب DG5</t>
  </si>
  <si>
    <t>مدخل هواء نقي Fresh Air Intake Louver</t>
  </si>
  <si>
    <t>233713-62</t>
  </si>
  <si>
    <t>مدخل هواء نقي FAL مقاس  500 مم * 500 مم ,كاملة بمصيدة الرمال وفلتر قابل للغسيل وشبكه حماية من السلك</t>
  </si>
  <si>
    <t>233713-63</t>
  </si>
  <si>
    <t>مدخل هواء نقي FAL مقاس  790 مم * 400 مم ,كاملة بمصيدة الرمال وفلتر قابل للغسيل وشبكه حماية من السلك</t>
  </si>
  <si>
    <t>233713-64</t>
  </si>
  <si>
    <t>مدخل هواء نقي FAL مقاس  790 مم * 800 مم ,كاملة بمصيدة الرمال وفلتر قابل للغسيل وشبكه حماية من السلك</t>
  </si>
  <si>
    <t>233713-65</t>
  </si>
  <si>
    <t>مدخل هواء نقي FAL مقاس  790 مم * 1100 مم ,كاملة بمصيدة الرمال وفلتر قابل للغسيل وشبكه حماية من السلك</t>
  </si>
  <si>
    <t>233713-66</t>
  </si>
  <si>
    <t>مدخل هواء نقي FAL مقاس  790 مم * 1500 مم ,كاملة بمصيدة الرمال وفلتر قابل للغسيل وشبكه حماية من السلك</t>
  </si>
  <si>
    <t>233713-67</t>
  </si>
  <si>
    <t>مدخل هواء نقي FAL مقاس  1800 مم * 1700 مم ,كاملة بمصيدة الرمال وفلتر قابل للغسيل وشبكه حماية من السلك</t>
  </si>
  <si>
    <t>233713-68</t>
  </si>
  <si>
    <t>مدخل هواء نقي FAL مقاس  900 مم * 1000 مم ,كاملة بمصيدة الرمال وفلتر قابل للغسيل وشبكه حماية من السلك</t>
  </si>
  <si>
    <t>239200</t>
  </si>
  <si>
    <t>اجهزة القياس والتحكم
انظمة التحكم والمراقبة للمبانى
توريد و تركيب و إختبار و تشغيل نظام إدارة المباني ( BMS ) للأعمال الكهروميكانيكية و لأنظمة السلامة و الأمان تلبية لمتطلبات المشروع, ونظام الـ(BMS) شاملا البرمجيات, أدوات التحكم, أجهزة الموقع, نقاط التحكم, الكابلات الموصلة بالأنظمة الأخرى, القنوات, صناديق السحب, نهايه خط المقاومه, صناديق التوصيل الإحتياطية, الإشتقاقات (derivations) و جميع لوازم التثبيت, هذه الأجهزة يجب توصيلها بشبكة الـ(IP) سواء كان الجهاز مهيئا للتوصيل المباشر أو عن طريق منفذ / جهاز توجيه. يجب أن تشمل أيضا على وحدات تحكم برمجية و تكاملية عند اللزوم و ذلك لتحقيق الإتصال و التفاعل بين هذه الأجهزة للأعمال الكهروميكانيكية و لأنظمة السلامة و الأمان , ترتيب هذه العمليات وفقا لنقاط المداخل و المخارج, كاملة حسب المواصفات والمخططات.</t>
  </si>
  <si>
    <t>239200-01</t>
  </si>
  <si>
    <t xml:space="preserve">نظام إدارة المباني ( BMS ) </t>
  </si>
  <si>
    <t>Total of Mechanical Works for The Clinics Building = مجموع الأعمال الميكانيكية لمبنى  المستوصف</t>
  </si>
  <si>
    <t xml:space="preserve">أعمال الكهرباء </t>
  </si>
  <si>
    <t>260000</t>
  </si>
  <si>
    <t xml:space="preserve">أعمال الكهرباء ـ القسم رقم 26 :
متطلبات عامة :
أسعار البنود يجب أن تشمل ولا تقتصر على تكلفة جميع الاعمال المدنية ، القواعد الخرسانية ، عمل الفتحات ، السلايف والاكمام ، والاطارات ، القواعد ، التقطيب ، المواد المانعة لانتشار الحريق ، التثبيتات والدعامات ، قواعد اللوحات والمعدات ، عوازل الاهتزازات ، مضادات الزلازل ،الترقيم والتعليم ، التشغيل والصيانة أثناء تنفيذ المشروع والكتيبات والكتالوجات ، شهادات الضمان وقطع الغيار للمعدات الكهربائية طبقا للمنصوص عليه في وثائق العقد ، التنسيق مع باقي الاقسام والتوصيل بالمغذيات الرئيسية والشبكة التحتية لكافة مراحل المشروع على أن تشمل جميع الإكسسوارات وكل ما يلزم كما ھو موضح بالمخططات والمواصفات الفنية . </t>
  </si>
  <si>
    <t>260519</t>
  </si>
  <si>
    <t>كابلات و موصلات الطاقة الكهربائية للجھد المنخفض
توريد وتركيب واختبار و تشغيل كابلات الجھد المنخفض , والبند يشمل حوامل / سلالم الكابلات أو مجارى الكابلات بما فى ذلك المواسير و علب التوصيل، الإكسسوارات والفتحات والترقيم و الأشرطة التحذيرية والسلايف والاكمام والتوصيل الي لوحات التوزيع و المعدات كما ھو موضح بالمخططات و المخططات الأحادية (S.L.D) وحسب الموصف بالمواصفات الفنية وطبقا لأصول الصناعة .</t>
  </si>
  <si>
    <t xml:space="preserve">CU/XLPE/PVC كابل ذو عزل من نوع </t>
  </si>
  <si>
    <t>260519-01</t>
  </si>
  <si>
    <t xml:space="preserve">4 موصلات - 50 مم2+ 25 مم2 أرضى </t>
  </si>
  <si>
    <t>260519-02</t>
  </si>
  <si>
    <t xml:space="preserve">4 موصلات - 25 مم2+ 16 مم2 أرضى </t>
  </si>
  <si>
    <t>260519-03</t>
  </si>
  <si>
    <t xml:space="preserve">4 موصلات - 16 مم2+ 16 مم2 أرضى </t>
  </si>
  <si>
    <t>260519-04</t>
  </si>
  <si>
    <t xml:space="preserve">4 موصلات - 10 مم2+ 10 مم2 أرضى </t>
  </si>
  <si>
    <t>260519-05</t>
  </si>
  <si>
    <t xml:space="preserve">2 موصل - 6 مم2+ 6 مم2 أرضى </t>
  </si>
  <si>
    <t>262416</t>
  </si>
  <si>
    <t>لوحات التوزيع
توريد وتركيب واختبار وتسليم لوحات التوزيع والبند يشمل كل القواطع والقضبان النحاسية والأجهزة والتثبيت , والترقيم و التعليم وكافة الإكسسوارات وكل ما يلزم لاستكمال الاعمال كما هو موضح بالمخططات والمواصفات والمشار إلیھا في الجداول الخاصة باللوحات وطبقا لأصول الصناعة.</t>
  </si>
  <si>
    <t>262416-01</t>
  </si>
  <si>
    <t xml:space="preserve">مرجع DB1-GB07 </t>
  </si>
  <si>
    <t>262416-02</t>
  </si>
  <si>
    <t xml:space="preserve">مرجع EDB1-GB07 </t>
  </si>
  <si>
    <t>262416-03</t>
  </si>
  <si>
    <t xml:space="preserve">مرجع EDB2-GB07 </t>
  </si>
  <si>
    <t>262416-04</t>
  </si>
  <si>
    <t xml:space="preserve">مرجع UDB1-GB07 </t>
  </si>
  <si>
    <t>262416-05</t>
  </si>
  <si>
    <t xml:space="preserve">مرجع UDB2-GB07 </t>
  </si>
  <si>
    <t>262416-06</t>
  </si>
  <si>
    <t xml:space="preserve">مرجع PP1-GB07 </t>
  </si>
  <si>
    <t>262416-07</t>
  </si>
  <si>
    <t xml:space="preserve">مرجع PP2-GB07 </t>
  </si>
  <si>
    <t>262416-08</t>
  </si>
  <si>
    <t xml:space="preserve">مرجع PP3-GB07 </t>
  </si>
  <si>
    <t>262416-09</t>
  </si>
  <si>
    <t xml:space="preserve">مرجع PP4-GB07 </t>
  </si>
  <si>
    <t>262416-10</t>
  </si>
  <si>
    <t xml:space="preserve">مرجع PP5-GB07 </t>
  </si>
  <si>
    <t>262416-11</t>
  </si>
  <si>
    <t xml:space="preserve">مرجع EPP1-GB07 </t>
  </si>
  <si>
    <t>262416-12</t>
  </si>
  <si>
    <t xml:space="preserve">مرجع EPP2-GB07 </t>
  </si>
  <si>
    <t>262416-13</t>
  </si>
  <si>
    <t xml:space="preserve">مرجع ELP1-GB07 </t>
  </si>
  <si>
    <t>262416-14</t>
  </si>
  <si>
    <t xml:space="preserve">مرجع ELP2-GB07 </t>
  </si>
  <si>
    <t>262416-15</t>
  </si>
  <si>
    <t xml:space="preserve">مرجع ELP3-GB07 </t>
  </si>
  <si>
    <t>262416-16</t>
  </si>
  <si>
    <t xml:space="preserve">مرجع ELP4-GB07 </t>
  </si>
  <si>
    <t>262416-17</t>
  </si>
  <si>
    <t xml:space="preserve">مرجع UPP1-GB07 </t>
  </si>
  <si>
    <t>262416-18</t>
  </si>
  <si>
    <t xml:space="preserve">مرجع UPP2-GB07 </t>
  </si>
  <si>
    <t>262416-19</t>
  </si>
  <si>
    <t xml:space="preserve">مرجع UPP3-GB07 </t>
  </si>
  <si>
    <t>262416-20</t>
  </si>
  <si>
    <t xml:space="preserve">مرجع UPP4-GB07 </t>
  </si>
  <si>
    <t>262416-21</t>
  </si>
  <si>
    <t>مرجع CUI1-GB07 شامل Isolation transformer  230V/230V 1PH, 60HZ</t>
  </si>
  <si>
    <t>262416-22</t>
  </si>
  <si>
    <t>مرجع CUI2-GB07 شامل Isolation transformer  230V/230V 1PH, 60HZ</t>
  </si>
  <si>
    <t>263353</t>
  </si>
  <si>
    <t>مزود الطاقة الكھربائية الغير منقطعة (UPS)
توريد وتركيب واختبار و تشغيل مزود الطاقة الكهربائية الغير منقطعة (UPS) شاملا البطاريات وشاحن البطاريات وكل ما يلزم من اكسسورات ... إلخ كما ھو موضح بالمخططات والمواصفات الفنية</t>
  </si>
  <si>
    <t>263353-01</t>
  </si>
  <si>
    <t>مزود الطاقة الكهربائية الغير منقطعة , 60 ك.ف.أ , 30 دقيقة , 400 فولت , مرجع (UPS1)</t>
  </si>
  <si>
    <t>263353-02</t>
  </si>
  <si>
    <t>مزود الطاقة الكهربائية الغير منقطعة ,7.5 ك.ف.أ , 30 دقيقة , 400 فولت , مرجع (UPS2)</t>
  </si>
  <si>
    <t>262726</t>
  </si>
  <si>
    <t>مخارج القوى
توريد وتركيب واختبار وتسليم مخارج للمعدات تشتمل علي المواسير والصناديق وحوامل / سلالم الكابلات والقطع المكملة واشرطه العلامات والفتحات والاسلاك / الكابلات اللازمة للتوصيل من مفتاح فصل المعدة الي اللوحة الكهربية وكل ما يلزم لاستكمال الاعمال كما هو موضح بالمخططات والمواصفات الفنية وطبقا لأصول الصناعة.</t>
  </si>
  <si>
    <t>262726-01</t>
  </si>
  <si>
    <t>مخرج قوى لزوم (XFCU/ACU)</t>
  </si>
  <si>
    <t>262726-02</t>
  </si>
  <si>
    <t>مخرج قوى لزوم (SCC)</t>
  </si>
  <si>
    <t>262726-03</t>
  </si>
  <si>
    <t>مخرج قوى لزوم (AHU-B1-01)</t>
  </si>
  <si>
    <t>262726-04</t>
  </si>
  <si>
    <t>مخرج قوى لزوم (AHU-B1-02)</t>
  </si>
  <si>
    <t>262726-05</t>
  </si>
  <si>
    <t>مخرج قوى لزوم (AHU-B1-03)</t>
  </si>
  <si>
    <t>262726-06</t>
  </si>
  <si>
    <t>مخرج قوى لزوم (B07-ACBU-01)</t>
  </si>
  <si>
    <t>262726-07</t>
  </si>
  <si>
    <t>مخرج قوى لزوم (B07-AGSP-01)</t>
  </si>
  <si>
    <t>262726-08</t>
  </si>
  <si>
    <t>مخرج قوى لزوم (B07-BOU-01)</t>
  </si>
  <si>
    <t>262726-09</t>
  </si>
  <si>
    <t>مخرج قوى لزوم (EF's)</t>
  </si>
  <si>
    <t>262726-10</t>
  </si>
  <si>
    <t>مخرج قوى لزوم (B07-HPF-01)</t>
  </si>
  <si>
    <t>262726-11</t>
  </si>
  <si>
    <t>مخرج قوى لزوم (B07-MCA-01)</t>
  </si>
  <si>
    <t>262726-12</t>
  </si>
  <si>
    <t>مخرج قوى لزوم (B07-UV-01)</t>
  </si>
  <si>
    <t>262726-13</t>
  </si>
  <si>
    <t>مخرج قوى لزوم (B07-VACP-01)</t>
  </si>
  <si>
    <t>262726-14</t>
  </si>
  <si>
    <t>مخرج قوى لزوم (BEDPAN MACERATOR)</t>
  </si>
  <si>
    <t>262726-15</t>
  </si>
  <si>
    <t>مخرج قوى لزوم (BOILER)</t>
  </si>
  <si>
    <t>262726-16</t>
  </si>
  <si>
    <t>مخرج قوى لزوم (COFFEE URN)</t>
  </si>
  <si>
    <t>262726-17</t>
  </si>
  <si>
    <t>مخرج قوى لزوم (EWH-1)</t>
  </si>
  <si>
    <t>262726-18</t>
  </si>
  <si>
    <t>مخرج قوى لزوم (HU-01)</t>
  </si>
  <si>
    <t>262726-19</t>
  </si>
  <si>
    <t>مخرج قوى لزوم (HU-02)</t>
  </si>
  <si>
    <t>262726-20</t>
  </si>
  <si>
    <t>مخرج قوى لزوم (HU-03)</t>
  </si>
  <si>
    <t>262726-21</t>
  </si>
  <si>
    <t>مخرج قوى لزوم (HU-04)</t>
  </si>
  <si>
    <t>262726-22</t>
  </si>
  <si>
    <t>مخرج قوى لزوم (HU-06)</t>
  </si>
  <si>
    <t>262726-23</t>
  </si>
  <si>
    <t>مخرج قوى لزوم (HU-07)</t>
  </si>
  <si>
    <t>262726-24</t>
  </si>
  <si>
    <t>مخرج قوى لزوم (HU-08)</t>
  </si>
  <si>
    <t>262726-25</t>
  </si>
  <si>
    <t>مخرج قوى لزوم (HWCP-01)</t>
  </si>
  <si>
    <t>262726-26</t>
  </si>
  <si>
    <t>مخرج قوى لزوم (OVEN)</t>
  </si>
  <si>
    <t>262726-27</t>
  </si>
  <si>
    <t>مخرج قوى لزوم (PAC-01)</t>
  </si>
  <si>
    <t>262726-28</t>
  </si>
  <si>
    <t>مخرج قوى لزوم (PAC-02)</t>
  </si>
  <si>
    <t>262726-29</t>
  </si>
  <si>
    <t>مخرج قوى لزوم (PAC-03)</t>
  </si>
  <si>
    <t>262726-30</t>
  </si>
  <si>
    <t>مخرج قوى لزوم (PAC-04)</t>
  </si>
  <si>
    <t>262726-31</t>
  </si>
  <si>
    <t>مخرج قوى لزوم (PAC-05)</t>
  </si>
  <si>
    <t>262726-32</t>
  </si>
  <si>
    <t>مخرج قوى لزوم (RADIOGRAPHIC DIGITAL UNIT)</t>
  </si>
  <si>
    <t>262726-33</t>
  </si>
  <si>
    <t>مخرج قوى لزوم (STERILIZER STEAM)</t>
  </si>
  <si>
    <t>262726-34</t>
  </si>
  <si>
    <t>مخرج قوى لزوم (STERILIZER UNIT)</t>
  </si>
  <si>
    <t>262726-35</t>
  </si>
  <si>
    <t>مخرج قوى لزوم (WATER PURIFICATION SYSTEM)</t>
  </si>
  <si>
    <t>264770</t>
  </si>
  <si>
    <t xml:space="preserve">مفاتيح فصل التيار
توريد وتركيب واختبار وتسليم مفاتيح فصل التيار والتي تشتمل على العلب، التثبيتات والتركيبات والتوصيلات والسلايف والاكمام والفتحات وأشرطة العلامات … الخ وكل ما يلزم لاستكمال الاعمال كما هو موضح بالمخططات والمواصفات الفنية وطبقا لأصول الصناعة. </t>
  </si>
  <si>
    <t>264770-01</t>
  </si>
  <si>
    <t>مفتاح فصل التیار  بدون مصھر ، 16 أمبیر، ثنائى القطبیة ،  230 فولت ، ذو درجة حماية IP20</t>
  </si>
  <si>
    <t>264770-02</t>
  </si>
  <si>
    <t>مفتاح فصل التیار  بدون مصھر ، 16 أمبیر، ثنائى القطبیة ،  230 فولت ، ذو درجة حماية IP54</t>
  </si>
  <si>
    <t>264770-03</t>
  </si>
  <si>
    <t>مفتاح فصل التیار  بدون مصھر ، 16 أمبیر، ثنائى القطبیة ،  230 فولت ، ذو درجة حماية IP65</t>
  </si>
  <si>
    <t>264770-04</t>
  </si>
  <si>
    <t xml:space="preserve">مفتاح فصل التیار  بدون مصھر ، 16 أمبیر، ثنائى القطبیة ،  230 فولت ، ذو درجة حماية IP65 (لزوم B04-EF-A-21) و يتم ربطه (interlocked)  مع مفتاح فصل التيار الخاص ب B04-HPF-01 ) </t>
  </si>
  <si>
    <t>264770-05</t>
  </si>
  <si>
    <t>مفتاح فصل التیار  بدون مصھر ، 20 أمبیر، ثنائى القطبیة ،  230 فولت ، ذو درجة حماية IP20</t>
  </si>
  <si>
    <t>264770-06</t>
  </si>
  <si>
    <t>مفتاح فصل التیار  بدون مصھر ، 20 أمبیر، ثنائى القطبیة ،  230 فولت ، ذو درجة حماية IP54</t>
  </si>
  <si>
    <t>264770-07</t>
  </si>
  <si>
    <t>مفتاح فصل التیار  بدون مصھر ، 20 أمبیر، ثنائى القطبیة ،  230 فولت ، ذو درجة حماية IP65</t>
  </si>
  <si>
    <t>264770-08</t>
  </si>
  <si>
    <t>مفتاح فصل التیار  بدون مصھر ، 25 أمبیر، ثنائى القطبیة ،  230 فولت ، ذو درجة حماية IP20</t>
  </si>
  <si>
    <t>264770-09</t>
  </si>
  <si>
    <t>مفتاح فصل التیار  بدون مصھر ، 25 أمبیر، ثنائى القطبیة ،  230 فولت ، ذو درجة حماية IP65</t>
  </si>
  <si>
    <t>264770-10</t>
  </si>
  <si>
    <t>مفتاح فصل التیار  بدون مصھر ، 32 أمبیر، ثنائى القطبیة ،  230 فولت ، ذو درجة حماية IP54</t>
  </si>
  <si>
    <t>264770-11</t>
  </si>
  <si>
    <t>مفتاح فصل التیار  بدون مصھر ، 16 أمبیر، ثلاثى القطبیة ،  400 فولت ، ذو درجة حماية IP54</t>
  </si>
  <si>
    <t>264770-12</t>
  </si>
  <si>
    <t>مفتاح فصل التیار  بدون مصھر ، 16 أمبیر، ثلاثى القطبیة ،  400 فولت ، ذو درجة حماية IP65</t>
  </si>
  <si>
    <t>264770-13</t>
  </si>
  <si>
    <t xml:space="preserve">مفتاح فصل التیار  بدون مصھر ، 16 أمبیر، ثلاثى القطبیة ،  400 فولت ، ذو درجة حماية IP65 (لزوم B04-HPF-01) و يتم ربطه (interlocked)  مع مفتاح فصل التيار الخاص ب B04-EF-A-21 ) </t>
  </si>
  <si>
    <t>264770-14</t>
  </si>
  <si>
    <t>مفتاح فصل التیار  بدون مصھر ، 20 أمبیر، ثلاثى القطبیة ،  400 فولت ، ذو درجة حماية IP54</t>
  </si>
  <si>
    <t>264770-15</t>
  </si>
  <si>
    <t>مفتاح فصل التیار  بدون مصھر ، 20 أمبیر، ثلاثى القطبیة ،  400 فولت ، ذو درجة حماية IP65</t>
  </si>
  <si>
    <t>264770-16</t>
  </si>
  <si>
    <t>مفتاح فصل التیار  بدون مصھر ، 25 أمبیر، ثلاثى القطبیة ،  400 فولت ، ذو درجة حماية IP54</t>
  </si>
  <si>
    <t>264770-17</t>
  </si>
  <si>
    <t>مفتاح فصل التیار  بدون مصھر ، 40 أمبیر، ثلاثى القطبیة ،  400 فولت ، ذو درجة حماية IP65</t>
  </si>
  <si>
    <t>264770-18</t>
  </si>
  <si>
    <t>مفتاح فصل التیار  مزود بمصھر ، 63 أمبیر، ثلاثى القطبیة ،  400 فولت ، ذو درجة حماية IP20</t>
  </si>
  <si>
    <t>264770-19</t>
  </si>
  <si>
    <t>مفتاح فصل التیار  بدون مصھر ، 63 أمبیر، ثلاثى القطبیة ،  400 فولت ، ذو درجة حماية IP65</t>
  </si>
  <si>
    <t>264770-20</t>
  </si>
  <si>
    <t>مفتاح فصل التیار  بدون مصھر ، 80 أمبیر، ثلاثى القطبیة ،  400 فولت ، ذو درجة حماية IP65</t>
  </si>
  <si>
    <t xml:space="preserve"> عدد</t>
  </si>
  <si>
    <t>264770-21</t>
  </si>
  <si>
    <t>مفتاح فصل التیار  مزود بمصھر ، 100 أمبیر، ثلاثى القطبیة ،  400 فولت ، ذو درجة حماية IP20</t>
  </si>
  <si>
    <t>264770-22</t>
  </si>
  <si>
    <t>مفتاح فصل التیار  بدون مصھر ، 100 أمبیر، ثلاثى القطبیة ،  400 فولت ، ذو درجة حماية IP54</t>
  </si>
  <si>
    <t>264770-23</t>
  </si>
  <si>
    <t>مفتاح فصل التیار  بدون مصھر ، 125 أمبیر، ثلاثى القطبیة ،  400 فولت ، ذو درجة حماية IP65</t>
  </si>
  <si>
    <t>264770-24</t>
  </si>
  <si>
    <t>مفتاح فصل التیار  بدون مصھر ، 160 أمبیر، ثلاثى القطبیة ،  400 فولت ، ذو درجة حماية IP65</t>
  </si>
  <si>
    <t xml:space="preserve">  عدد</t>
  </si>
  <si>
    <t>264770-25</t>
  </si>
  <si>
    <t>مفتاح فصل التیار  بدون مصھر ، 250 أمبیر، ثلاثى القطبیة ،  400 فولت ، ذو درجة حماية IP20</t>
  </si>
  <si>
    <t>المآخذ (المقابس)
توريد وتركيب واختبار وتسليم المآخذ (المقابس) وتشتمل على جميع العلب والاوجه ومواسير التوصيل والاسلاك وذلك من المخرج حتى لوحات التوزيع المغذية وكل ما يلزم لاستكمال الاعمال كما ھو موضح بالمخططات والمواصفات الفنية وطبقا لأصول الصناعة</t>
  </si>
  <si>
    <t>مأخذ مفرد، 13 أمبیر، 230 فولت، ثنائى القطبية بوصلة ارضى، مثبت بالحائط ، ذو درجة حماية IP20</t>
  </si>
  <si>
    <t>مأخذ مفرد، 13 أمبیر، 230 فولت، ثنائى القطبية بوصلة ارضى، مثبت بالحائط و مقاوم للعوامل الجویة ، ذو درجة حماية IP65</t>
  </si>
  <si>
    <t>مأخذ مفرد، 15 أمبیر، 230 فولت، ثنائى القطبية بوصلة ارضى، مثبت فوق مستوى سطح الكاونتر ذو درجة حماية IP20</t>
  </si>
  <si>
    <t>مأخذ مزدوج، 13 أمبیر، 230 فولت، ثنائى القطبية بوصلة ارضى، مثبت بالحائط، ذو درجة حماية IP20</t>
  </si>
  <si>
    <t>مأخذ مزدوج، 13 أمبیر، 230 فولت، ثنائى القطبية بوصلة ارضى، مثبت بالحائط، ذو درجة حماية IP20 لزوم التليفزيون</t>
  </si>
  <si>
    <t>مأخذ مزدوج، 13 أمبیر، 230 فولت، ثنائى القطبية بوصلة ارضى، مثبت بالحائط و مقاوم للعوامل الجویة ، ذو درجة حماية IP65</t>
  </si>
  <si>
    <t>مأخذ مزدوج، 13 أمبیر، 230 فولت، ثنائى القطبية بوصلة ارضى، مثبت فوق مستوى سطح الكاونتر ، ذو درجة حماية IP20</t>
  </si>
  <si>
    <t>مأخذ مزدوج، 13 أمبیر، 230 فولت، ثنائى القطبية بوصلة ارضى، مثبت فوق مستوى سطح الكاونتر ، ذو درجة حماية IP20 لزوم التليفزيون</t>
  </si>
  <si>
    <t>مأخذ مزدوج، 13 أمبیر، 230 فولت، ثنائى القطبية بوصلة ارضى، مثبت فوق مستوى سطح الكاونتر ، و مقاوم للعوامل الجویة ، ذو درجة حماية IP65</t>
  </si>
  <si>
    <t>مأخذ مفرد، 13 أمبیر، 230 فولت، ثنائى القطبية بوصلة ارضى، مثبت بالحائط و موصل على دائرة الطوارئ و بلون مختلف ، ذو درجة حماية IP20</t>
  </si>
  <si>
    <t>مأخذ مفرد، 13 أمبیر، 230 فولت، ثنائى القطبية بوصلة ارضى، مثبت بالحائط ،  لزوم الثلاجة ، موصل على دائرة الطوارئ و بلون مختلف و مقاوم للعوامل الجویة ، ذو درجة حماية IP65</t>
  </si>
  <si>
    <t>مأخذ مزدوج، 13 أمبیر، 230 فولت، ثنائى القطبية بوصلة ارضى، مثبت بالحائط ، موصل على دائرة الطوارئ و بلون مختلف ، ذو درجة حماية IP20</t>
  </si>
  <si>
    <t>مأخذ مزدوج، 13 أمبیر، 230 فولت، ثنائى القطبية بوصلة ارضى، مثبت بالحائط ، موصل على دائرة الطوارئ و بلون مختلف و مقاوم للعوامل الجویة ، ذو درجة حماية IP65</t>
  </si>
  <si>
    <t>مأخذ مزدوج، 13 أمبیر، 230 فولت، ثنائى القطبية بوصلة ارضى، مثبت فوق مستوى سطح الكاونتر ، موصل على دائرة الطوارئ و بلون مختلف ، ذو درجة حماية IP20</t>
  </si>
  <si>
    <t>مأخذ مزدوج، 13 أمبیر، 230 فولت، ثنائى القطبية بوصلة ارضى، مثبت فوق مستوى سطح الكاونتر ، موصل على دائرة الطوارئ و بلون مختلف و مقاوم للعوامل الجویة ، ذو درجة حماية IP65</t>
  </si>
  <si>
    <t>مأخذ مزدوج، 13 أمبیر، 230 فولت، ثنائى القطبية بوصلة ارضى، مثبت فوق مستوى سطح الكاونتر ، موصل على دائرة الطوارئ و بلون مختلف لزوم الثلاجة و مقاوم للعوامل الجویة  ذو درجة حماية IP65</t>
  </si>
  <si>
    <t xml:space="preserve">مأخذ مزدوج، 13 أمبیر، 230 فولت، ثنائى القطبية بوصلة ارضى، مثبت بالحائط ، موصل على دائرة UPS و بلون مختلف ، ذو درجة حماية IP20 </t>
  </si>
  <si>
    <t xml:space="preserve">مأخذ مزدوج، 13 أمبیر، 230 فولت، ثنائى القطبية بوصلة ارضى، مثبت فوق مستوى سطح الكاونتر ، موصل على دائرة UPS و بلون مختلف ، ذو درجة حماية IP20 </t>
  </si>
  <si>
    <t>مأخذ مزدوج، 13 أمبیر، 230 فولت، ثنائى القطبية بوصلة ارضى، مثبت بالحائط ، موصل على دائرة UPS و بلون مختلف لزوم الثلاجة و مقاوم للعوامل الجویة  ذو درجة حماية IP65</t>
  </si>
  <si>
    <t>مأخذ مزدوج، 13 أمبیر، 230 فولت، ثنائى القطبية بوصلة ارضى، مثبت بالارضية ، موصل على دائرة UPS و بلون مختلف ، ذو درجة حماية IP40 شامل الصندوق الارضى</t>
  </si>
  <si>
    <t>مأخذ مزدوج، 13 أمبیر، 230 فولت، ثنائى القطبية بوصلة ارضى، مثبت بالارضية ، موصل على دائرة الطوارئ و بلون مختلف ، ذو درجة حماية IP40 شامل الصندوق الارضى</t>
  </si>
  <si>
    <t>مأخذ صناعى ثلاثى الأوجه ، 32 أمبیر، 400 فولت، رباعى القطبية بوصلة أرضى ، مثبت بالحائط و موصل على دائرة الطوارئ و بلون مختلف ، ذو درجة حماية IP20</t>
  </si>
  <si>
    <t>مأخذ صناعى ثلاثى الأوجه ، 32 أمبیر، 400 فولت، رباعى القطبية بوصلة أرضى ، مثبت بالحائط و موصل على دائرة الطوارئ و بلون مختلف ، مقاوم للعوامل الجویة  ذو درجة حماية IP65</t>
  </si>
  <si>
    <t>مأخذ صناعى ثلاثى الأوجه ، 32 أمبیر، 400 فولت، رباعى القطبية بوصلة أرضى ، مثبت بالحائط و مقاوم للعوامل الجویة ، ذو درجة حماية IP65</t>
  </si>
  <si>
    <t>260533</t>
  </si>
  <si>
    <t xml:space="preserve">صناديق التوصيل (خاصة بمنظومة القوى)
توريد وتركيب واختبار وتسليم صناديق التوصيل و تشمل المواسير, الصناديق و الأسلاك  حتى  لوحات  التوزيع  وكل  ما يلزم  لاستكمال الاعمال كما هو موضح بالمخططات والمواصفات الفنية وطبقا لأصول الصناعة. </t>
  </si>
  <si>
    <t>260533-01</t>
  </si>
  <si>
    <t>صندوق توصيل مثبت بالحائط</t>
  </si>
  <si>
    <t>260533-02</t>
  </si>
  <si>
    <t>صندوق توصيل مثبت بالسقف</t>
  </si>
  <si>
    <t>260533-03</t>
  </si>
  <si>
    <t>صندوق توصيل مثبت بالأرض</t>
  </si>
  <si>
    <t>260533-04</t>
  </si>
  <si>
    <t>صندوق توصيل مثبت بالأرض ثلاثي الأوجه</t>
  </si>
  <si>
    <t>265119</t>
  </si>
  <si>
    <t xml:space="preserve">الإنارة
وحدات الإنارة
توريد وتركيب و تشغيل واختبار وحدات الانارة شاملة اللمبات والمحولات وأدوات التعليق والتثبيت وأعمال التأريض والتوصيلات الكهربية كاملة بجميع الإكسسوارات و كل ما يلزم لاستكمال الاعمال كما هو موضح بالمخططات والمواصفات الفنية وطبقا لأصول الصناعة </t>
  </si>
  <si>
    <t>265119-01</t>
  </si>
  <si>
    <t>نوع - A1</t>
  </si>
  <si>
    <t>265119-02</t>
  </si>
  <si>
    <t>نوع - A1E</t>
  </si>
  <si>
    <t>265119-03</t>
  </si>
  <si>
    <t>نوع - A2</t>
  </si>
  <si>
    <t>265119-04</t>
  </si>
  <si>
    <t>نوع - A2E</t>
  </si>
  <si>
    <t>265119-05</t>
  </si>
  <si>
    <t>نوع - A3</t>
  </si>
  <si>
    <t>265119-06</t>
  </si>
  <si>
    <t>نوع - A3E</t>
  </si>
  <si>
    <t>265119-07</t>
  </si>
  <si>
    <t>نوع - A4</t>
  </si>
  <si>
    <t>265119-08</t>
  </si>
  <si>
    <t>نوع - A4E</t>
  </si>
  <si>
    <t>265119-09</t>
  </si>
  <si>
    <t>نوع - A6</t>
  </si>
  <si>
    <t>265119-10</t>
  </si>
  <si>
    <t>نوع - A6E</t>
  </si>
  <si>
    <t>265119-11</t>
  </si>
  <si>
    <t>نوع - A8</t>
  </si>
  <si>
    <t>265119-12</t>
  </si>
  <si>
    <t>نوع - A14</t>
  </si>
  <si>
    <t>265119-13</t>
  </si>
  <si>
    <t>نوع - A14E</t>
  </si>
  <si>
    <t>265119-14</t>
  </si>
  <si>
    <t>نوع - A15</t>
  </si>
  <si>
    <t>265119-15</t>
  </si>
  <si>
    <t>نوع - A15E</t>
  </si>
  <si>
    <t>265119-16</t>
  </si>
  <si>
    <t>نوع - A17</t>
  </si>
  <si>
    <t>265119-17</t>
  </si>
  <si>
    <t>نوع - A17E</t>
  </si>
  <si>
    <t>265119-18</t>
  </si>
  <si>
    <t>نوع - A18</t>
  </si>
  <si>
    <t>265119-19</t>
  </si>
  <si>
    <t>نوع - A18E</t>
  </si>
  <si>
    <t>265119-20</t>
  </si>
  <si>
    <t>نوع - B1</t>
  </si>
  <si>
    <t>265119-21</t>
  </si>
  <si>
    <t>نوع - B1E</t>
  </si>
  <si>
    <t>265119-22</t>
  </si>
  <si>
    <t>نوع - B2</t>
  </si>
  <si>
    <t>265119-23</t>
  </si>
  <si>
    <t>نوع - B2E</t>
  </si>
  <si>
    <t>265119-24</t>
  </si>
  <si>
    <t>نوع - B3</t>
  </si>
  <si>
    <t>265119-25</t>
  </si>
  <si>
    <t>نوع - B3E</t>
  </si>
  <si>
    <t>265119-26</t>
  </si>
  <si>
    <t>نوع - B4</t>
  </si>
  <si>
    <t>265119-27</t>
  </si>
  <si>
    <t>نوع - B4E</t>
  </si>
  <si>
    <t>265119-28</t>
  </si>
  <si>
    <t>نوع - B6</t>
  </si>
  <si>
    <t>265119-29</t>
  </si>
  <si>
    <t>نوع - B6E</t>
  </si>
  <si>
    <t>265119-30</t>
  </si>
  <si>
    <t>نوع - EX</t>
  </si>
  <si>
    <t>265119-31</t>
  </si>
  <si>
    <t>نوع - EX1</t>
  </si>
  <si>
    <t>265119-32</t>
  </si>
  <si>
    <t>نوع - EX2</t>
  </si>
  <si>
    <t>265119-33</t>
  </si>
  <si>
    <t>نوع - EX3</t>
  </si>
  <si>
    <t>265119-34</t>
  </si>
  <si>
    <t>نوع - W2</t>
  </si>
  <si>
    <t>265119-35</t>
  </si>
  <si>
    <t>نوع - W7</t>
  </si>
  <si>
    <t>262717</t>
  </si>
  <si>
    <t xml:space="preserve">مخارج وحدات الإنارة
توريد وتركيب واختبار وتسليم مخارج وحدات الإنارة و تشمل على الأسلاك ومواسير التوصيل وصناديق المناولة لتوصيل الدوائر بلوحاتها المخصصة وكل ما يلزم لاستكمال الاعمال كما هو موضح بالمخططات والمواصفات الفنية وطبقا لأصول الصناعة. </t>
  </si>
  <si>
    <t>262717-01</t>
  </si>
  <si>
    <t>مخارج وحدات الانارة</t>
  </si>
  <si>
    <t>المفاتيح
توريد وتركيب واختبار وتسليم المفاتيح التي تشتمل على جميع العلب والصناديق والاوجه، الأسلاك والمواسير والتوصيل وكل ما يلزم لاستكمال الاعمال كما هو موضح بالمخططات والمواصفات الفنية وطبقا لأصول الصناعة.</t>
  </si>
  <si>
    <t>مفتاح اتجاه واحد، بلقمة واحدة, 230 فولت ، 10 أمبير</t>
  </si>
  <si>
    <t>مفتاح اتجاه واحد، بلقمة واحدة, 230 فولت ، 10 أمبير ومقاوم للعوامل الجوية</t>
  </si>
  <si>
    <t>مفتاح اتجاه واحد، بلقمتين , 230 فولت ، 10 أمبير</t>
  </si>
  <si>
    <t>مفتاح اتجاه واحد، بلقمتين , 230 فولت ، 10 أمبير ومقاوم للعوامل الجوية</t>
  </si>
  <si>
    <t>مفتاح اتجاهين ، بلقمة واحدة ، 230 فولت ، 10 أمبير</t>
  </si>
  <si>
    <t>مفتاح ضاغط للتوقف عند الطوارئ</t>
  </si>
  <si>
    <t>حساس إشغال</t>
  </si>
  <si>
    <t>لوحات التحكم في الاضاءة
توريد وتركيب واختبار وتسليم لوحات التحكم في الاضاءة التي تشتمل على جميع الأسلاك والمواسير والتوصيل وكل ما يلزم لاستكمال الاعمال كما هو موضح بالمخططات والمواصفات الفنية وطبقا لأصول الصناعة.</t>
  </si>
  <si>
    <t xml:space="preserve">مرجع  LCP </t>
  </si>
  <si>
    <t>260526</t>
  </si>
  <si>
    <t>نظام التأريض
تورید وتركیب واختبار وتشغيل نظام تأریض یتكون من موصلات من النحاس الغير معزولة وفقا للقطاعات الواردة فى مستندات المشروع لزوم شبكة موصلات لتأریض المعدات الكھربائیة والمیكانیكیة والاجزاء المعدنية بالمبنى بما في ذلك أعمال الحفر والردم، التوصیلات، مشابك التوصيل، القضبان النحاسية و الحربات والآبار والكابلات النحاسية المعزولة والدعامات الإكسسوارات و وصلات اللحام والتثبيت واشرطة العلامات و السلايف و الاكمام و القواعد والفتحات , التوصيل بحديد التسليح وجمیع الأعمال المتعلقة بذلك لتوفير نظام تأريض كامل حسب الموضح بالمخططات والمواصفات الفنية وطبقا لأصول الصناعة.</t>
  </si>
  <si>
    <t>260526-01</t>
  </si>
  <si>
    <t>لزوم الشبكة الكاملة للتأريض اللازمة للوصول إلى المقاومة الأرضية المطلوبة</t>
  </si>
  <si>
    <t xml:space="preserve"> بند</t>
  </si>
  <si>
    <t>260526-02</t>
  </si>
  <si>
    <t xml:space="preserve"> لزوم شبكة تأريض أنظمة التيار الخفيف بالمبنى
(clean earth)</t>
  </si>
  <si>
    <t>264113</t>
  </si>
  <si>
    <t>نظام الحماية من الصواعق
توريد، تركيب، اختبار وتشغيل نظام الحماية من الصواعق يتكون من شريط نحاسى بالسطح , الموصلات النازلة، والمحطات الهوائية ، وصلات الاختبار( حسب الحاجة)، اللحامات، موصلات الربط الوقائية للأجزاء المعدنية ،المعدات الميكانيكية ووسائل التثبيت المختلفة والربط مع شبكة التاريض وجميع الأعمال ذات العلاقة حسب الموضح بالمخططات والموصف بالمواصفات الفنية</t>
  </si>
  <si>
    <t>264113-01</t>
  </si>
  <si>
    <t>لزوم شبكة نظام الحماية من الصواعق</t>
  </si>
  <si>
    <t>Total of Electrical Works for The Clinics Building = مجموع الأعمال الكهربائية لمبنى  المستوصف</t>
  </si>
  <si>
    <t>أعمال الإتصالات</t>
  </si>
  <si>
    <t>270000</t>
  </si>
  <si>
    <t>أعمال الاتصالات ـ القسم رقم 27 :
متطلبات عامة :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 سلالم الكابلات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t>
  </si>
  <si>
    <t xml:space="preserve">نظام الشبكات المتقاربة متعددة التطبيقات IP
اعداد و توريد وتركيب واختبار وتشغيل نظام الشبكات المتقاربة متعددة التطبيقات (IP) يشتمل على تاسيس الشبكة ووضع اشرطه العلامات وعمل الفتحات و السلايف و الأكمام ووضع الدعامات اللازمه و القواعد و المخارج والكابلات / الأسلاك والمواسير و حوامل / سلالم الكابلات و صناديق السحب / التوصيل والمقابس , التأريض , القطع الخاصة , patch cords ، الموصلات ,  بما في ذلك توصيل جميع الكابلات والاسلاك والعلب والوجه الخارجي , والاجهزة الرئيسية والفرعية ( النشطة و الغير نشطة) و البرمجة و التراخيص والبند يشمل أعمال الربط المطلوبة مع الانظمة الاخرى و وكل ما يلزم لاستكمال الاعمال حسب الموضح بالمخططات وحسب الموصف بالمواصفات وباعتماد المهندس </t>
  </si>
  <si>
    <t>المكونات النشطة</t>
  </si>
  <si>
    <t>277350-01</t>
  </si>
  <si>
    <t xml:space="preserve">وحدة تجميع وتحكم فرعية سعة 48 مخرج (POE Gig-E switch) </t>
  </si>
  <si>
    <t>277350-02</t>
  </si>
  <si>
    <t>نقطة دخول لاسلكية ، تثبت بالسقف</t>
  </si>
  <si>
    <t>المكونات الغير النشطة</t>
  </si>
  <si>
    <t>271500-01</t>
  </si>
  <si>
    <t xml:space="preserve">كابينة اتصالات فرعية - 42 وحدة - مقاس (800 × 800مم) ، مزودة بحامل 19 بوصة ، شاملا كافة الاكسسوارات الضرورية </t>
  </si>
  <si>
    <t>271500-02</t>
  </si>
  <si>
    <t xml:space="preserve">لوحة تجميع كابلات (Patch Panel) ذات 48 منفذ لكابلات CAT6A  شاملة على Patch cords ووحدة ادارة الكابلات وكافة الاكسسوارات الضرورية </t>
  </si>
  <si>
    <t>271500-03</t>
  </si>
  <si>
    <t xml:space="preserve">لوحة تجميع كابلات (Patch Panel) للالياف الضوئية شاملة على Patch cords و كافة الاكسسوارات الضرورية </t>
  </si>
  <si>
    <t>271500-04</t>
  </si>
  <si>
    <t>إطار التوزيع البصري - ODF - شاملا كافة الاكسسوارات الضرورية</t>
  </si>
  <si>
    <t>271500-05</t>
  </si>
  <si>
    <t xml:space="preserve">كابل ألياف بصرية أحادى النمط 24 - كور </t>
  </si>
  <si>
    <t xml:space="preserve"> م</t>
  </si>
  <si>
    <t>271500-06</t>
  </si>
  <si>
    <t>مخرج اتصالات (1 بيانات) ، من النوع (RJ45) ، بكابلات (CAT6A) ، مثبت بالحائط على ارتفاع 300مم فوق مستوى التشطيب</t>
  </si>
  <si>
    <t>271500-07</t>
  </si>
  <si>
    <t>مخرج اتصالات (1 بيانات) ، من النوع (RJ45) ، بكابلات (CAT6A) ، مثبت بالحائط على ارتفاع 1200مم فوق مستوى التشطيب</t>
  </si>
  <si>
    <t>271500-08</t>
  </si>
  <si>
    <t>مخرج اتصالات (1 بيانات) ، من النوع (RJ45) ، بكابلات (CAT6A) ، مثبت بالحائط على ارتفاع 1500مم فوق مستوى التشطيب لزوم شاشات المريض</t>
  </si>
  <si>
    <t>271500-09</t>
  </si>
  <si>
    <t>مخرج اتصالات (1 هاتف) ، من النوع (RJ45) ، بكابلات (CAT6A) ، مثبت بالحائط على ارتفاع 300مم فوق مستوى التشطيب لزوم وحدات الهاتف</t>
  </si>
  <si>
    <t>271500-10</t>
  </si>
  <si>
    <t>مخرج اتصالات (1 هاتف) ، من النوع (RJ45) ، بكابلات (CAT6A) ، مثبت بالحائط على ارتفاع 1200مم فوق مستوى التشطيب لزوم وحدات الهاتف</t>
  </si>
  <si>
    <t>271500-11</t>
  </si>
  <si>
    <t>مخرج اتصالات (1 بيانات) ، من النوع (RJ45) ، بكابلات (CAT6A) ، مثبت بالحائط ، لزوم نظام الانتركم</t>
  </si>
  <si>
    <t>271500-12</t>
  </si>
  <si>
    <t>مخرج اتصالات (1 بيانات) ، من النوع (RJ45) ، بكابلات (CAT6A) ، مثبت بالحائط ، على ارتفاع 1500مم فوق مستوى التشطيب لزوم نظام التليفزيون</t>
  </si>
  <si>
    <t>271500-13</t>
  </si>
  <si>
    <t>مخرج اتصالات (1 بيانات) ، من النوع (RJ45) ، بكابلات (CAT6A) ، مثبت فوق السقف المستعار ، لزوم نقطة الوصول اللاسلكية</t>
  </si>
  <si>
    <t>271500-14</t>
  </si>
  <si>
    <t>مخرج اتصالات (1 بيانات - 1 هاتف) ، من النوع (RJ45) ، بكابلات (CAT6A) ، مثبت بالحائط ، على ارتفاع 300مم فوق مستوى التشطيب</t>
  </si>
  <si>
    <t>271500-15</t>
  </si>
  <si>
    <t>مخرج اتصالات (2 بيانات) ، من النوع (RJ45) ، بكابلات (CAT6A) ، مثبت بالحائط ، على ارتفاع 300مم فوق مستوى التشطيب</t>
  </si>
  <si>
    <t>271500-16</t>
  </si>
  <si>
    <t>مخرج اتصالات (2 بيانات) ، من النوع (RJ45) ، بكابلات (CAT6A) ، مثبت بالحائط ، على ارتفاع 1600مم فوق مستوى التشطيب</t>
  </si>
  <si>
    <t>271500-17</t>
  </si>
  <si>
    <t>مخرج اتصالات (2 بيانات) ، من النوع (RJ45) ، بكابلات (CAT6A) ، مثبت بالحائط ، لزوم نظام التحكم بالابواب</t>
  </si>
  <si>
    <t>271500-18</t>
  </si>
  <si>
    <t>مخرج اتصالات (1 بيانات) ، من النوع (RJ45) ، بكابلات (CAT6A) ، مثبت بالحائط ، لزوم نظام التحكم بالابواب</t>
  </si>
  <si>
    <t>271500-19</t>
  </si>
  <si>
    <t>مخرج اتصالات (2 هاتف) ، من النوع (RJ45) ، بكابلات (CAT6A) ، مثبت بالحائط ، على ارتفاع 300مم فوق مستوى التشطيب</t>
  </si>
  <si>
    <t>271500-20</t>
  </si>
  <si>
    <t>مخرج اتصالات (2 هاتف) ، من النوع (RJ45) ، بكابلات (CAT6A) ، مثبت بالحائط ، على ارتفاع 1200مم فوق مستوى التشطيب</t>
  </si>
  <si>
    <t>271500-21</t>
  </si>
  <si>
    <t>مخرج اتصالات (1 بيانات) ، من النوع (RJ45) ، بكابلات (CAT6A) ، مثبت بالحائط ، على ارتفاع 1500مم فوق مستوى التشطيب لزوم نظام CCMS</t>
  </si>
  <si>
    <t>271500-22</t>
  </si>
  <si>
    <t>مخرج اتصالات (2 بيانات) ، من النوع (RJ45) ، بكابلات (CAT6A) ، مثبت بالحائط ، على ارتفاع 1200مم فوق مستوى التشطيب لزوم نظام BMS</t>
  </si>
  <si>
    <t>271500-23</t>
  </si>
  <si>
    <t>مخرج اتصالات (2 بيانات) ، من النوع (RJ45) ، بكابلات (CAT6A) ، مثبت بالأرضية</t>
  </si>
  <si>
    <t>271500-24</t>
  </si>
  <si>
    <t>مخرج اتصالات (2 هاتف) ، من النوع (RJ45) ، بكابلات (CAT6A) ، مثبت بالأرضية</t>
  </si>
  <si>
    <t>271500-25</t>
  </si>
  <si>
    <t xml:space="preserve">مخرج اتصالات (2 بيانات - 2 هاتف) ، من النوع (RJ45) ، بكابلات (CAT6A) ، مثبت بالأرضية </t>
  </si>
  <si>
    <t>271500-26</t>
  </si>
  <si>
    <t>مخرج اتصالات (2 بيانات) ، من النوع (RJ45) ، بكابلات (CAT6A) ، مثبت فوق السقف المستعار</t>
  </si>
  <si>
    <t>271500-27</t>
  </si>
  <si>
    <t xml:space="preserve">مخرج اتصالات (1 بيانات) ، من النوع (RJ45) ، بكابلات (CAT6A) ، و المخرج شامل لصندوق خلفى من الصلب مقاس 100 × 100 × 55 مم ، لزوم نظام CCTV </t>
  </si>
  <si>
    <t>271500-28</t>
  </si>
  <si>
    <t xml:space="preserve">مخرج اتصالات (1 بيانات) ، من النوع (RJ45) ، بكابلات (CAT6A) ، و المخرج شامل لصندوق خلفى من الصلب مقاس 100 × 100 × 55 مم ، لزوم نظام الانتركم </t>
  </si>
  <si>
    <t xml:space="preserve">نظام التليفونات (IP)
اعداد و توريد وتركيب واختبار وتشغيل نظام التليفونات (IP) يشتمل على وحدات الهاتف بأنواعها المختلفة و الأجهزة و البرمجة و التراخيص وكافة ما يلزم من اكسسوارات لاتمام الاعمال حسب الموضح بالمخططات وحسب الموصف بالمواصفات وباعتماد المهندس </t>
  </si>
  <si>
    <t>273000-01</t>
  </si>
  <si>
    <t>وحدة هاتف من النوع IP</t>
  </si>
  <si>
    <t>273000-02</t>
  </si>
  <si>
    <t>وحدة هاتف من النوع IP - تثبت بالحائط</t>
  </si>
  <si>
    <t>277860</t>
  </si>
  <si>
    <t xml:space="preserve">نظام التلفزيون (IPTV)
توريد وتركيب واختبار وتشغيل نظام التلفزيون (IPTV) شاملا عدة التثبيت و الاجهزة و البرمجة و التراخيص والتوصيل المطلوب بالانظمة الاخرى وكافة ما يلزم من اكسسوارات لاتمام الاعمال حسب المطلوب و كما هو موضح بالمخططات و المواصفات وباعتماد المهندس </t>
  </si>
  <si>
    <t>277860-01</t>
  </si>
  <si>
    <t>جهاز فك التشفير IPTV Set top box</t>
  </si>
  <si>
    <t>277860-02</t>
  </si>
  <si>
    <t>جهاز تحكم عن بعد متعدد الوظائف</t>
  </si>
  <si>
    <t>277860-03</t>
  </si>
  <si>
    <t>شاشة تلفزيون IPTV</t>
  </si>
  <si>
    <t>275123</t>
  </si>
  <si>
    <t xml:space="preserve">نظام الاتصال الداخلي (INTERCOM)
توريد وتركيب واختبار وتشغيل نظام الاتصال الداخلي (INTERCOM) والبند يشمل الاجهزة و البرمجة و التراخيص الكابلات والمواسير وصناديق التوصيل وكافة الاكسسورات الضرورية لاتمام الاعمال حسب المطلوب و كما هو موضح بالمخططات و المواصفات وباعتماد المهندس </t>
  </si>
  <si>
    <t>275123-01</t>
  </si>
  <si>
    <t xml:space="preserve">محطة رئيسية لنظام الانتركم من النوع IP </t>
  </si>
  <si>
    <t>275123-02</t>
  </si>
  <si>
    <t xml:space="preserve">محطة فرعية لنظام الانتركم من النوع IP - مثبتة بالحائط - مزودة بحماية ضد التخريب </t>
  </si>
  <si>
    <t>275123-03</t>
  </si>
  <si>
    <t xml:space="preserve">محطة فرعية لنظام الانتركم من النوع IP - مثبتة بالحائط - مقاومة للعوامل الجوية / مزودة بحماية ضد التخريب </t>
  </si>
  <si>
    <t>275116</t>
  </si>
  <si>
    <t xml:space="preserve">نظام الاذاعة الداخلية
توريد وتركيب واختبار وتسليم وتشغيل نظام الاذاعة الداخلية (EN-54 certified) والبند يشمل الأسلاك / الكابلات والمواسير وصناديق السحب و حوامل / سلالم الكابلات و مراقبة مقاومة نهاية الخط EOL والتوصيل والتثبيت وعمل الفتحات وتركيب الاكمام و جميع الاجهزة الرئيسية والمكبرات وسماعات الصوت و البرمجة و التراخيص وأعمال الربط المطلوبة مع الانظمة الاخرى وكل الاكسسوارات الضرورية لاتمام الاعمال حسب المطلوب و كما هو موضح بالمخططات و المواصفات وباعتماد المهندس </t>
  </si>
  <si>
    <t>275116-01</t>
  </si>
  <si>
    <t xml:space="preserve">حامل نظام الاذاعة الداخلية - 19 بوصة - 42 وحدة شاملا كافة الاكسسوارات الضرورية  </t>
  </si>
  <si>
    <t>275116-02</t>
  </si>
  <si>
    <t>وحدة مصفوفة مركزية للتحكم في الصوت</t>
  </si>
  <si>
    <t>275116-03</t>
  </si>
  <si>
    <t xml:space="preserve">وحدة تحكم فى الشبكة من النوع الرقمى </t>
  </si>
  <si>
    <t>275116-04</t>
  </si>
  <si>
    <t>جهاز التعادل الرسومى Graphic equalizer</t>
  </si>
  <si>
    <t>275116-05</t>
  </si>
  <si>
    <t>وحدة إزالة التشويش Feedback suppresser</t>
  </si>
  <si>
    <t>275116-06</t>
  </si>
  <si>
    <t>مشغل متعدد الأسطوانات</t>
  </si>
  <si>
    <t>275116-07</t>
  </si>
  <si>
    <t>مشغل MP3</t>
  </si>
  <si>
    <t>275116-08</t>
  </si>
  <si>
    <t>وحدة توليف AM/FM مع الهوائى شاملا كابل RG11 للتوصيل بالهوائى</t>
  </si>
  <si>
    <t>275116-09</t>
  </si>
  <si>
    <t>وحدة تسجيل رسائل انذار إخلاء المكان</t>
  </si>
  <si>
    <t>275116-10</t>
  </si>
  <si>
    <t xml:space="preserve">مكبرالصوت قدرة 150 وات </t>
  </si>
  <si>
    <t>275116-11</t>
  </si>
  <si>
    <t>مكبرالصوت قدرة 150 وات - احتياطي</t>
  </si>
  <si>
    <t>275116-12</t>
  </si>
  <si>
    <t xml:space="preserve">مكبرالصوت قدرة 60 وات </t>
  </si>
  <si>
    <t>275116-13</t>
  </si>
  <si>
    <t xml:space="preserve">مكبرالصوت قدرة 30 وات </t>
  </si>
  <si>
    <t>275116-14</t>
  </si>
  <si>
    <t>وحدة توزيع الكهرباء</t>
  </si>
  <si>
    <t>275116-15</t>
  </si>
  <si>
    <t xml:space="preserve">مصدر إمداد طاقة مزود ببطاريات احتياطية </t>
  </si>
  <si>
    <t>275116-16</t>
  </si>
  <si>
    <t>ميكروفون للنداء متعدد المناطق من النوع المكتبى</t>
  </si>
  <si>
    <r>
      <t>توريد وتركيب واختبار وتشغيل سماعات صوت شاملة كابلات السماعات (2×1.5مم</t>
    </r>
    <r>
      <rPr>
        <b/>
        <u/>
        <vertAlign val="superscript"/>
        <sz val="14"/>
        <rFont val="Calibri"/>
        <family val="2"/>
        <scheme val="minor"/>
      </rPr>
      <t>2</t>
    </r>
    <r>
      <rPr>
        <b/>
        <u/>
        <sz val="14"/>
        <rFont val="Calibri"/>
        <family val="2"/>
        <scheme val="minor"/>
      </rPr>
      <t>) من النوع shielded والمواسير وعلب السحب والتوصيل وجميع الملحقات الضرورية</t>
    </r>
  </si>
  <si>
    <t>سماعة صوت مثبتة بالسقف قدرة (1.5 / 3 / 6) وات مع قبة خلفية للعزل و الحماية من الحريق (fire dome) و مزودة بحماية ضد التخريب</t>
  </si>
  <si>
    <t>سماعة صوت مثبتة بالسقف قدرة (1.5 / 3 / 6) وات مع قبة خلفية للعزل و الحماية من الحريق (fire dome)</t>
  </si>
  <si>
    <t>274116</t>
  </si>
  <si>
    <t xml:space="preserve">نظام الصوتيات والمرئيات
توريد وتركيب واختبار وتسليم وتشغيل نظام الصوتيات و المرئيات شاملا جميع الاجهزة الرئيسية و الفرعية و حامل الاجهزة والشاشات ووحدات التحكم و لوحات التحكم والسماعات والميكروفونات ... إلخ بما فى ذلك الأسلاك / الكابلات والمواسير وصناديق السحب و حوامل الكابلات والتوصيل والتعليق والتثبيت وعمل الفتحات وتركيب الاكمام وأعمال الربط المطلوبة مع الانظمة الاخرى وكل الاكسسوارات الضرورية لاتمام الاعمال حسب المطلوب و كما هو موضح بالمخططات و المواصفات وباعتماد المهندس </t>
  </si>
  <si>
    <t>274116-01</t>
  </si>
  <si>
    <t>لزوم نظام الصوتيات والمرئيات بغرفة الاجتماعات - GF004</t>
  </si>
  <si>
    <t xml:space="preserve">  بند</t>
  </si>
  <si>
    <t>275200</t>
  </si>
  <si>
    <t xml:space="preserve">نظام استدعاء الممرضات
توريد وتركيب واختبار وتشغيل نظام استدعاء الممرضات والبند يشمل جميع المعدات مع كافة الاكسسوارات و البند يشمل المواسير والكابلات وصناديق السحب والصناديق الخلفية وأعمال الربط المطلوبة مع الانظمة الاخرى وكل الاكسسوارات الضرورية لاتمام الاعمال حسب المطلوب و كما هو موضح بالمخططات و المواصفات وباعتماد المهندس </t>
  </si>
  <si>
    <t>275200-01</t>
  </si>
  <si>
    <t>لوحة تحكم نظام استدعاء الممرضات</t>
  </si>
  <si>
    <t>275200-02</t>
  </si>
  <si>
    <t>محطة رئيسية</t>
  </si>
  <si>
    <t>275200-03</t>
  </si>
  <si>
    <t>محطة المريض / استدعاء الممرضات</t>
  </si>
  <si>
    <t>275200-04</t>
  </si>
  <si>
    <t>إعادة ظبط استدعاء الممرضات / المريض</t>
  </si>
  <si>
    <t>275200-05</t>
  </si>
  <si>
    <t>حبل سحب للمريض / استدعاء الممرضات</t>
  </si>
  <si>
    <t>275200-06</t>
  </si>
  <si>
    <t>محطة العاملين</t>
  </si>
  <si>
    <t>275200-07</t>
  </si>
  <si>
    <t>محطة مكالمة طوارئ</t>
  </si>
  <si>
    <t>275200-08</t>
  </si>
  <si>
    <t>وحدة اضاءة الممرات تثبت بالحائط</t>
  </si>
  <si>
    <t>275200-09</t>
  </si>
  <si>
    <t>كود باللون الازرق Code blue</t>
  </si>
  <si>
    <t>275200-10</t>
  </si>
  <si>
    <t>مزودات الطاقة</t>
  </si>
  <si>
    <t>Total of Communications Works for The Clinics Building = مجموع أعمال الإتصالات لمبنى  المستوصف</t>
  </si>
  <si>
    <t>أعمال السلامة و الأمن الإلكترونية</t>
  </si>
  <si>
    <t>280000</t>
  </si>
  <si>
    <t>أعمال السلامة و الأمن الإلكترونية ـ القسم رقم 28 :
متطلبات عامة :
أسعار البنود يجب ان تشمل ولا تقتصر على تكلفة جميع الاعمال المدنية, القواعد الخرسانية, عمل الفتحات, السلايف والاكمام, والاطارات, القواعد, التقطيب, المواد المانعة لانتشار الحريق, التثبيتات والدعامات, قواعد اللوحات والمعدات, عوازل الاهتزازات, الترقيم والتعليم, أدلة التشغيل والصيانة و شهادات الضمان و قطع الغيار للمعدات الكهربائية طبقا للمنصوص عليه في وثائق العقد, حوامل الكابلات من النوع المغلق والمخرم والسلمي مع كافة اكسسواراتها, تأريض كافة الانظمة وشبكة التيار الخفيف, التنسيق مع باقي الاقسام و التوصيل مع كل الانظمه وكذلك التوصيل بالتغذيات الرئيسية والشبكة التحتية و مقدم خدمة الاتصالات وكافة الاعمال الخارجية لكافة مراحل المشروع المختلفة على أن تشمل جميع الاكسسوارات وكل ما يلزم  كما هو موضح  بالمخططات والمواصفات الفنية.</t>
  </si>
  <si>
    <t>283111</t>
  </si>
  <si>
    <t xml:space="preserve">نظام الكشف والإنذار عن الحريق
توريد وتركيب وأختبار وتسليم ووضع في الخدمة منظومة أنذار ضد الحريق معنونه شامل الربط بأنظمة الامان وجميع الانظمة والاجهزه الكهروميكانيكية المطلوبة, على أن يشمل البند كذلك تأسيس الشبكة من مواسير وكابلات مقاومة للحريق (2 × 1.5 مم2 / 2 × 2.5 مم2) من النوع shielded والعلب والتثبيتات والترقيم والفتحات وتركيب الاكمام والتوصيل و البرمجة و التراخيص و لوحات و معدات انذار الحريق المطلوبة وأعمال الربط المطلوبة مع الانظمة الاخرى وكافة الاكسسوارات وكل ما يلزم لانهاء الاعمال حسب المطلوب و كما هو موضح بالمخططات و المواصفات وباعتماد المهندس  </t>
  </si>
  <si>
    <t>283111-01</t>
  </si>
  <si>
    <t>لوحة تحكم للإنذار ضد الحريق من النوع الذكى المعنون
 (5 حلقات + 1 حلقة احتياطية) شاملا البطارية و شاحن البطارية و وحدة الاتصال الالى ATD ، جهاز الحماية من زيادة التيار و أعمال الربط مع الأنظمة الأخرى</t>
  </si>
  <si>
    <t>توريد وتركيب واختبار وتشغيل معدات إنذار الحريق الاتية شاملة الكابلات والمواسير وجميع الاعمال اللازمة للتركيب والتشغيل : والبند  يشمل ولا يقتصر على:</t>
  </si>
  <si>
    <t>283111-02</t>
  </si>
  <si>
    <t>كاشف دخان بصرى معنون</t>
  </si>
  <si>
    <t>283111-03</t>
  </si>
  <si>
    <t>كاشف دخان بصرى معنون ، مزود بحماية ضد التخريب</t>
  </si>
  <si>
    <t>283111-04</t>
  </si>
  <si>
    <t>كاشف حرارة معنون</t>
  </si>
  <si>
    <t>283111-05</t>
  </si>
  <si>
    <t>كاشف دخان بصرى معنون ، يثبت  فوق السقف المستعار</t>
  </si>
  <si>
    <t>283111-06</t>
  </si>
  <si>
    <t>كاشف دخان معنون يركب علي مجاري الهواء جهة التغذية</t>
  </si>
  <si>
    <t>283111-07</t>
  </si>
  <si>
    <t>كاشف دخان معنون يركب علي مجاري الهواء جهة الراجع</t>
  </si>
  <si>
    <t>283111-08</t>
  </si>
  <si>
    <t>محطة نداء يدوية للإنذار ضد الحريق</t>
  </si>
  <si>
    <t>283111-09</t>
  </si>
  <si>
    <t>محطة نداء يدوية للإنذار ضد الحريق ، من النوع المقاوم للعوامل الجوية</t>
  </si>
  <si>
    <t>283111-10</t>
  </si>
  <si>
    <t>محطة نداء يدوية للإنذار ضد الحريق ، مزودة بحماية ضد التخريب</t>
  </si>
  <si>
    <t>283111-11</t>
  </si>
  <si>
    <t>وحدة انذار صوتية مزودة بوحدة اضاءة متقطعة ، مزودة بحماية ضد التخريب</t>
  </si>
  <si>
    <t>283111-12</t>
  </si>
  <si>
    <t>وحده تحكم معنونة</t>
  </si>
  <si>
    <t>283111-13</t>
  </si>
  <si>
    <t>وحده مراقبة معنونة</t>
  </si>
  <si>
    <t>283111-14</t>
  </si>
  <si>
    <t>مصباح إشارة عن بعد</t>
  </si>
  <si>
    <t>283111-15</t>
  </si>
  <si>
    <t>وحده عزل أعطال (FI)</t>
  </si>
  <si>
    <t>282300</t>
  </si>
  <si>
    <t>نظام الدائرة التلفزيونية المغلقة IP CCTV SYSTEM
توريد وتركيب وأختبار وتسليم ووضع في الخدمة نظام الدائره التليفزيونيه المغلقة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أجهزة CCTV المطلوبة و محطات العمل و كاميرات المراقبة (5 ميجا بيكسل) و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t>
  </si>
  <si>
    <t>282300-01</t>
  </si>
  <si>
    <t xml:space="preserve">كاميرا مراقبة مقببة ثابتة من النوع IP - تثبت بالسقف ، مزودة بحماية ضد التخريب </t>
  </si>
  <si>
    <t>282300-02</t>
  </si>
  <si>
    <t>كاميرا مراقبة (PTZ) من النوع IP - تثبت بالحائط (للاستعمال الخارجي) مع مغلف خارجي  للحماية من النوع المقاوم للعوامل الجوية ، تعمل بالأشعة تحت الحمراء</t>
  </si>
  <si>
    <t>282300-03</t>
  </si>
  <si>
    <t>كاميرا مراقبة ثابتة من النوع IP - تثبت بالحائط (للاستعمال الخارجي) ، تعمل بالأشعة تحت الحمراء</t>
  </si>
  <si>
    <t>282300-04</t>
  </si>
  <si>
    <t>محطة عمل للأنظمة المتكاملة مزودة بعدد 2 شاشة 23 بوصة LED شاملة ترخيص البرامج</t>
  </si>
  <si>
    <t>282300-05</t>
  </si>
  <si>
    <t>لوحة المفاتيح مع عصا التحكم</t>
  </si>
  <si>
    <t>282300-06</t>
  </si>
  <si>
    <t xml:space="preserve">شاشة 49 بوصة LED </t>
  </si>
  <si>
    <t>281300</t>
  </si>
  <si>
    <t>نظام التحكم في الأبواب
توريد وتركيب وأختبار وتسليم ووضع في الخدمة نظام التحكم في الأبواب من النوع (IP) شامل الربط بأنظمة الامان وجميع الانظمة والاجهزه الكهروميكانيكية المطلوبة على أن يشمل تاسيس الشبكة ووضع اشرطه العلامات والفتحات وتركيب الاكمام ووضع الدعامات اللازمه والكابلات والمواسير وصناديق التوصيل و البرمجة و التراخيص بما فى ذلك جميع الوحدات المطلوبة و لوحات التحكم و محطات العمل ... الخ و أعمال الربط المطلوبة مع الانظمة الاخرى وكافة الاكسسورات الضرورية وكل ما يلزم لانهاء الاعمال حسب المطلوب و كما هو موضح بالمخططات والمواصفات وباعتماد المهندس</t>
  </si>
  <si>
    <t>281300-01</t>
  </si>
  <si>
    <t>وحدة التحكم بالابواب (ACP) شاملا وحدة الإمداد بالطاقة و البطاريات و كافة الاكسسوارات الضرورية</t>
  </si>
  <si>
    <t>281300-02</t>
  </si>
  <si>
    <t>وحدة قارئ الكروت من النوع Proximity</t>
  </si>
  <si>
    <t>281300-03</t>
  </si>
  <si>
    <t>قفل باب من النوع الكهرومغناطيسي مزود ببيان حالة الباب</t>
  </si>
  <si>
    <t>281300-04</t>
  </si>
  <si>
    <t>زر طلب الخروج</t>
  </si>
  <si>
    <t>281300-05</t>
  </si>
  <si>
    <t>وحده إقفال كهربائية للأبواب</t>
  </si>
  <si>
    <t>281300-06</t>
  </si>
  <si>
    <t>وحدة كسر الزجاج في حالات الطوارئ</t>
  </si>
  <si>
    <t xml:space="preserve"> مجموع أعمال السلامة و الأمن الإلكترونية لمبنى  المستوصف</t>
  </si>
  <si>
    <t xml:space="preserve">مجموع أعمال مبنى  المستوصف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</si>
</sst>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21" x14ac:knownFonts="1">
    <font>
      <sz val="11"/>
      <color theme="1"/>
      <name val="Calibri"/>
      <family val="2"/>
      <scheme val="minor"/>
    </font>
    <font>
      <sz val="11"/>
      <color theme="1"/>
      <name val="Calibri"/>
      <family val="2"/>
      <scheme val="minor"/>
    </font>
    <font>
      <sz val="11"/>
      <color rgb="FFFF0000"/>
      <name val="Calibri"/>
      <family val="2"/>
      <scheme val="minor"/>
    </font>
    <font>
      <sz val="11"/>
      <name val="Calibri"/>
      <family val="2"/>
      <scheme val="minor"/>
    </font>
    <font>
      <b/>
      <sz val="18"/>
      <name val="Calibri"/>
      <family val="2"/>
      <scheme val="minor"/>
    </font>
    <font>
      <b/>
      <sz val="14"/>
      <name val="Arial (Arabic)"/>
      <charset val="178"/>
    </font>
    <font>
      <b/>
      <sz val="14"/>
      <color indexed="8"/>
      <name val="Calibri"/>
      <family val="2"/>
      <scheme val="minor"/>
    </font>
    <font>
      <sz val="14"/>
      <name val="Calibri"/>
      <family val="2"/>
      <scheme val="minor"/>
    </font>
    <font>
      <b/>
      <sz val="12"/>
      <name val="Arial (Arabic)"/>
      <charset val="178"/>
    </font>
    <font>
      <b/>
      <sz val="14"/>
      <name val="Calibri"/>
      <family val="2"/>
      <scheme val="minor"/>
    </font>
    <font>
      <b/>
      <u/>
      <sz val="14"/>
      <name val="Calibri"/>
      <family val="2"/>
      <scheme val="minor"/>
    </font>
    <font>
      <sz val="10"/>
      <color indexed="8"/>
      <name val="Arial"/>
      <family val="2"/>
    </font>
    <font>
      <sz val="14"/>
      <color theme="1"/>
      <name val="Calibri"/>
      <family val="2"/>
      <scheme val="minor"/>
    </font>
    <font>
      <sz val="14"/>
      <color theme="1"/>
      <name val="Calibri"/>
      <family val="2"/>
      <charset val="178"/>
      <scheme val="minor"/>
    </font>
    <font>
      <sz val="14"/>
      <name val="Calibri"/>
      <family val="2"/>
    </font>
    <font>
      <sz val="14"/>
      <name val="Calibri"/>
      <family val="2"/>
      <charset val="178"/>
      <scheme val="minor"/>
    </font>
    <font>
      <sz val="14"/>
      <color rgb="FFFFFFFF"/>
      <name val="Calibri"/>
      <family val="2"/>
      <scheme val="minor"/>
    </font>
    <font>
      <b/>
      <sz val="16"/>
      <name val="Calibri"/>
      <family val="2"/>
      <scheme val="minor"/>
    </font>
    <font>
      <b/>
      <sz val="16"/>
      <color rgb="FFFF0000"/>
      <name val="Calibri"/>
      <family val="2"/>
      <scheme val="minor"/>
    </font>
    <font>
      <u/>
      <sz val="14"/>
      <name val="Calibri"/>
      <family val="2"/>
      <scheme val="minor"/>
    </font>
    <font>
      <b/>
      <u/>
      <vertAlign val="superscript"/>
      <sz val="14"/>
      <name val="Calibri"/>
      <family val="2"/>
      <scheme val="minor"/>
    </font>
  </fonts>
  <fills count="18">
    <fill>
      <patternFill patternType="none"/>
    </fill>
    <fill>
      <patternFill patternType="gray125"/>
    </fill>
    <fill>
      <patternFill patternType="solid">
        <fgColor theme="4" tint="0.79998168889431442"/>
        <bgColor indexed="64"/>
      </patternFill>
    </fill>
    <fill>
      <patternFill patternType="solid">
        <fgColor theme="3" tint="0.79998168889431442"/>
        <bgColor indexed="0"/>
      </patternFill>
    </fill>
    <fill>
      <patternFill patternType="solid">
        <fgColor rgb="FF92D050"/>
        <bgColor indexed="0"/>
      </patternFill>
    </fill>
    <fill>
      <patternFill patternType="solid">
        <fgColor rgb="FFFFFF00"/>
        <bgColor indexed="64"/>
      </patternFill>
    </fill>
    <fill>
      <patternFill patternType="solid">
        <fgColor rgb="FF92D050"/>
        <bgColor indexed="64"/>
      </patternFill>
    </fill>
    <fill>
      <patternFill patternType="solid">
        <fgColor rgb="FF00B0F0"/>
        <bgColor indexed="0"/>
      </patternFill>
    </fill>
    <fill>
      <patternFill patternType="solid">
        <fgColor theme="0"/>
        <bgColor indexed="64"/>
      </patternFill>
    </fill>
    <fill>
      <patternFill patternType="solid">
        <fgColor theme="4" tint="0.79995117038483843"/>
        <bgColor indexed="64"/>
      </patternFill>
    </fill>
    <fill>
      <patternFill patternType="solid">
        <fgColor rgb="FF00B0F0"/>
        <bgColor indexed="64"/>
      </patternFill>
    </fill>
    <fill>
      <patternFill patternType="solid">
        <fgColor rgb="FFFFFF99"/>
        <bgColor indexed="0"/>
      </patternFill>
    </fill>
    <fill>
      <patternFill patternType="solid">
        <fgColor rgb="FFFFFF99"/>
        <bgColor indexed="64"/>
      </patternFill>
    </fill>
    <fill>
      <patternFill patternType="solid">
        <fgColor rgb="FFFFC000"/>
        <bgColor indexed="0"/>
      </patternFill>
    </fill>
    <fill>
      <patternFill patternType="solid">
        <fgColor rgb="FFFFC000"/>
        <bgColor indexed="64"/>
      </patternFill>
    </fill>
    <fill>
      <patternFill patternType="solid">
        <fgColor theme="9" tint="0.59999389629810485"/>
        <bgColor indexed="0"/>
      </patternFill>
    </fill>
    <fill>
      <patternFill patternType="solid">
        <fgColor theme="9" tint="0.59999389629810485"/>
        <bgColor indexed="64"/>
      </patternFill>
    </fill>
    <fill>
      <patternFill patternType="solid">
        <fgColor theme="4" tint="0.59999389629810485"/>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dotted">
        <color auto="1"/>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bottom style="dotted">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5">
    <xf numFmtId="0" fontId="0" fillId="0" borderId="0"/>
    <xf numFmtId="43" fontId="1" fillId="0" borderId="0" applyFont="0" applyFill="0" applyBorder="0" applyAlignment="0" applyProtection="0"/>
    <xf numFmtId="0" fontId="1" fillId="0" borderId="0"/>
    <xf numFmtId="0" fontId="11" fillId="0" borderId="0"/>
    <xf numFmtId="43" fontId="1" fillId="0" borderId="0" applyFont="0" applyFill="0" applyBorder="0" applyAlignment="0" applyProtection="0"/>
  </cellStyleXfs>
  <cellXfs count="196">
    <xf numFmtId="0" fontId="0" fillId="0" borderId="0" xfId="0"/>
    <xf numFmtId="49" fontId="3" fillId="0" borderId="0" xfId="0" applyNumberFormat="1" applyFont="1" applyAlignment="1">
      <alignment horizontal="center" vertical="center" wrapText="1"/>
    </xf>
    <xf numFmtId="0" fontId="3" fillId="0" borderId="0" xfId="0" applyFont="1" applyAlignment="1">
      <alignment horizontal="center" vertical="center" wrapText="1"/>
    </xf>
    <xf numFmtId="2" fontId="3" fillId="0" borderId="0" xfId="0" applyNumberFormat="1" applyFont="1" applyAlignment="1">
      <alignment horizontal="center" vertical="center" wrapText="1"/>
    </xf>
    <xf numFmtId="4" fontId="3" fillId="0" borderId="0" xfId="0" applyNumberFormat="1" applyFont="1" applyAlignment="1">
      <alignment horizontal="center" vertical="center" wrapText="1"/>
    </xf>
    <xf numFmtId="0" fontId="3" fillId="0" borderId="0" xfId="0" applyFont="1" applyAlignment="1">
      <alignment wrapText="1"/>
    </xf>
    <xf numFmtId="0" fontId="4" fillId="2" borderId="0" xfId="0" applyFont="1" applyFill="1" applyBorder="1" applyAlignment="1" applyProtection="1">
      <alignment horizontal="center" vertical="center" wrapText="1" readingOrder="2"/>
    </xf>
    <xf numFmtId="0" fontId="4" fillId="2" borderId="0" xfId="0" applyFont="1" applyFill="1" applyBorder="1" applyAlignment="1">
      <alignment horizontal="center" vertical="center" wrapText="1" readingOrder="2"/>
    </xf>
    <xf numFmtId="0" fontId="4" fillId="2" borderId="0" xfId="0" applyFont="1" applyFill="1" applyBorder="1" applyAlignment="1">
      <alignment horizontal="center" vertical="center" wrapText="1" readingOrder="2"/>
    </xf>
    <xf numFmtId="0" fontId="4" fillId="2" borderId="1" xfId="0" applyFont="1" applyFill="1" applyBorder="1" applyAlignment="1">
      <alignment horizontal="center" vertical="center" wrapText="1" readingOrder="2"/>
    </xf>
    <xf numFmtId="49" fontId="5" fillId="3" borderId="2" xfId="0" applyNumberFormat="1" applyFont="1" applyFill="1" applyBorder="1" applyAlignment="1" applyProtection="1">
      <alignment horizontal="center" vertical="center" wrapText="1"/>
    </xf>
    <xf numFmtId="0" fontId="5" fillId="3" borderId="2" xfId="0" applyFont="1" applyFill="1" applyBorder="1" applyAlignment="1" applyProtection="1">
      <alignment horizontal="center" vertical="center" wrapText="1"/>
    </xf>
    <xf numFmtId="0" fontId="6" fillId="3" borderId="2" xfId="0" applyFont="1" applyFill="1" applyBorder="1" applyAlignment="1" applyProtection="1">
      <alignment horizontal="center" vertical="center" wrapText="1"/>
    </xf>
    <xf numFmtId="2" fontId="5" fillId="3" borderId="2" xfId="0" applyNumberFormat="1" applyFont="1" applyFill="1" applyBorder="1" applyAlignment="1" applyProtection="1">
      <alignment horizontal="center" vertical="center" wrapText="1"/>
    </xf>
    <xf numFmtId="4" fontId="5" fillId="3" borderId="2" xfId="0" applyNumberFormat="1" applyFont="1" applyFill="1" applyBorder="1" applyAlignment="1" applyProtection="1">
      <alignment horizontal="center" vertical="center" wrapText="1"/>
    </xf>
    <xf numFmtId="49" fontId="5" fillId="3" borderId="2" xfId="0" applyNumberFormat="1" applyFont="1" applyFill="1" applyBorder="1" applyAlignment="1">
      <alignment horizontal="center" vertical="center" wrapText="1"/>
    </xf>
    <xf numFmtId="0" fontId="7" fillId="0" borderId="0" xfId="0" applyFont="1" applyAlignment="1">
      <alignment wrapText="1"/>
    </xf>
    <xf numFmtId="49" fontId="8" fillId="3" borderId="2" xfId="0" applyNumberFormat="1" applyFont="1" applyFill="1" applyBorder="1" applyAlignment="1" applyProtection="1">
      <alignment horizontal="center" vertical="center" wrapText="1"/>
    </xf>
    <xf numFmtId="0" fontId="8" fillId="3" borderId="2" xfId="0" applyFont="1" applyFill="1" applyBorder="1" applyAlignment="1" applyProtection="1">
      <alignment horizontal="center" vertical="center" wrapText="1"/>
    </xf>
    <xf numFmtId="0" fontId="9" fillId="3" borderId="3" xfId="0" applyFont="1" applyFill="1" applyBorder="1" applyAlignment="1" applyProtection="1">
      <alignment horizontal="center" vertical="center" wrapText="1"/>
    </xf>
    <xf numFmtId="2" fontId="8" fillId="3" borderId="2" xfId="0" applyNumberFormat="1" applyFont="1" applyFill="1" applyBorder="1" applyAlignment="1" applyProtection="1">
      <alignment horizontal="center" vertical="center" wrapText="1"/>
    </xf>
    <xf numFmtId="4" fontId="8" fillId="3" borderId="2" xfId="0" applyNumberFormat="1" applyFont="1" applyFill="1" applyBorder="1" applyAlignment="1" applyProtection="1">
      <alignment horizontal="center" vertical="center" wrapText="1"/>
    </xf>
    <xf numFmtId="49" fontId="8" fillId="3" borderId="2" xfId="0" applyNumberFormat="1" applyFont="1" applyFill="1" applyBorder="1" applyAlignment="1">
      <alignment horizontal="center" vertical="center" wrapText="1"/>
    </xf>
    <xf numFmtId="49" fontId="8" fillId="4" borderId="3" xfId="0" applyNumberFormat="1" applyFont="1" applyFill="1" applyBorder="1" applyAlignment="1" applyProtection="1">
      <alignment vertical="center" wrapText="1" readingOrder="2"/>
    </xf>
    <xf numFmtId="49" fontId="8" fillId="4" borderId="4" xfId="0" applyNumberFormat="1" applyFont="1" applyFill="1" applyBorder="1" applyAlignment="1" applyProtection="1">
      <alignment vertical="center" wrapText="1" readingOrder="2"/>
    </xf>
    <xf numFmtId="49" fontId="5" fillId="4" borderId="5" xfId="0" applyNumberFormat="1" applyFont="1" applyFill="1" applyBorder="1" applyAlignment="1" applyProtection="1">
      <alignment horizontal="center" vertical="center" wrapText="1" readingOrder="2"/>
    </xf>
    <xf numFmtId="49" fontId="8" fillId="4" borderId="6" xfId="0" applyNumberFormat="1" applyFont="1" applyFill="1" applyBorder="1" applyAlignment="1" applyProtection="1">
      <alignment vertical="center" wrapText="1" readingOrder="2"/>
    </xf>
    <xf numFmtId="0" fontId="3" fillId="0" borderId="0" xfId="0" applyFont="1"/>
    <xf numFmtId="49" fontId="7" fillId="0" borderId="5" xfId="0" applyNumberFormat="1" applyFont="1" applyBorder="1" applyAlignment="1" applyProtection="1">
      <alignment horizontal="center" vertical="center" wrapText="1"/>
    </xf>
    <xf numFmtId="49" fontId="7" fillId="2" borderId="7" xfId="0" applyNumberFormat="1" applyFont="1" applyFill="1" applyBorder="1" applyAlignment="1" applyProtection="1">
      <alignment horizontal="center" vertical="center" wrapText="1"/>
    </xf>
    <xf numFmtId="49" fontId="10" fillId="0" borderId="7" xfId="0" quotePrefix="1" applyNumberFormat="1" applyFont="1" applyBorder="1" applyAlignment="1" applyProtection="1">
      <alignment horizontal="right" vertical="top" wrapText="1" readingOrder="2"/>
    </xf>
    <xf numFmtId="4" fontId="7" fillId="2" borderId="7" xfId="0" applyNumberFormat="1" applyFont="1" applyFill="1" applyBorder="1" applyAlignment="1" applyProtection="1">
      <alignment horizontal="center" vertical="center" wrapText="1" readingOrder="2"/>
    </xf>
    <xf numFmtId="4" fontId="7" fillId="0" borderId="7" xfId="0" applyNumberFormat="1" applyFont="1" applyBorder="1" applyAlignment="1" applyProtection="1">
      <alignment horizontal="center" vertical="center" wrapText="1" readingOrder="2"/>
    </xf>
    <xf numFmtId="4" fontId="7" fillId="2" borderId="7" xfId="0" applyNumberFormat="1" applyFont="1" applyFill="1" applyBorder="1" applyAlignment="1" applyProtection="1">
      <alignment horizontal="center" vertical="center" wrapText="1" readingOrder="2"/>
      <protection locked="0"/>
    </xf>
    <xf numFmtId="4" fontId="7" fillId="0" borderId="7" xfId="0" applyNumberFormat="1" applyFont="1" applyBorder="1" applyAlignment="1" applyProtection="1">
      <alignment horizontal="center" vertical="center" wrapText="1" readingOrder="2"/>
      <protection locked="0"/>
    </xf>
    <xf numFmtId="49" fontId="7" fillId="0" borderId="5" xfId="0" applyNumberFormat="1" applyFont="1" applyBorder="1" applyAlignment="1" applyProtection="1">
      <alignment horizontal="center" vertical="center" wrapText="1"/>
      <protection locked="0"/>
    </xf>
    <xf numFmtId="49" fontId="7" fillId="0" borderId="8" xfId="0" applyNumberFormat="1" applyFont="1" applyBorder="1" applyAlignment="1" applyProtection="1">
      <alignment horizontal="center" vertical="center" wrapText="1"/>
    </xf>
    <xf numFmtId="49" fontId="7" fillId="2" borderId="8" xfId="0" applyNumberFormat="1" applyFont="1" applyFill="1" applyBorder="1" applyAlignment="1" applyProtection="1">
      <alignment horizontal="center" vertical="center" wrapText="1"/>
    </xf>
    <xf numFmtId="49" fontId="7" fillId="0" borderId="8" xfId="0" applyNumberFormat="1" applyFont="1" applyBorder="1" applyAlignment="1" applyProtection="1">
      <alignment horizontal="right" vertical="center" wrapText="1" readingOrder="2"/>
    </xf>
    <xf numFmtId="4" fontId="7" fillId="2" borderId="8" xfId="0" applyNumberFormat="1" applyFont="1" applyFill="1" applyBorder="1" applyAlignment="1" applyProtection="1">
      <alignment horizontal="center" vertical="center" wrapText="1" readingOrder="2"/>
    </xf>
    <xf numFmtId="4" fontId="7" fillId="0" borderId="8" xfId="0" applyNumberFormat="1" applyFont="1" applyBorder="1" applyAlignment="1" applyProtection="1">
      <alignment horizontal="center" vertical="center" wrapText="1" readingOrder="2"/>
    </xf>
    <xf numFmtId="4" fontId="7" fillId="2" borderId="8" xfId="0" applyNumberFormat="1" applyFont="1" applyFill="1" applyBorder="1" applyAlignment="1" applyProtection="1">
      <alignment horizontal="center" vertical="center" wrapText="1" readingOrder="2"/>
      <protection locked="0"/>
    </xf>
    <xf numFmtId="4" fontId="7" fillId="0" borderId="8" xfId="0" applyNumberFormat="1" applyFont="1" applyBorder="1" applyAlignment="1" applyProtection="1">
      <alignment horizontal="center" vertical="center" wrapText="1" readingOrder="2"/>
      <protection locked="0"/>
    </xf>
    <xf numFmtId="49" fontId="7" fillId="0" borderId="8" xfId="0" applyNumberFormat="1" applyFont="1" applyBorder="1" applyAlignment="1" applyProtection="1">
      <alignment horizontal="center" vertical="center" wrapText="1"/>
      <protection locked="0"/>
    </xf>
    <xf numFmtId="49" fontId="10" fillId="0" borderId="8" xfId="0" quotePrefix="1" applyNumberFormat="1" applyFont="1" applyBorder="1" applyAlignment="1" applyProtection="1">
      <alignment horizontal="right" vertical="top" wrapText="1" readingOrder="2"/>
    </xf>
    <xf numFmtId="0" fontId="7" fillId="0" borderId="8" xfId="0" applyFont="1" applyBorder="1" applyAlignment="1" applyProtection="1">
      <alignment horizontal="center" vertical="center" wrapText="1" readingOrder="2"/>
    </xf>
    <xf numFmtId="0" fontId="7" fillId="0" borderId="8" xfId="0" applyFont="1" applyBorder="1" applyAlignment="1" applyProtection="1">
      <alignment horizontal="center" vertical="center" wrapText="1" readingOrder="2"/>
      <protection locked="0"/>
    </xf>
    <xf numFmtId="49" fontId="7" fillId="0" borderId="8" xfId="2" applyNumberFormat="1" applyFont="1" applyBorder="1" applyAlignment="1" applyProtection="1">
      <alignment horizontal="center" vertical="center" wrapText="1"/>
    </xf>
    <xf numFmtId="49" fontId="7" fillId="0" borderId="8" xfId="2" applyNumberFormat="1" applyFont="1" applyBorder="1" applyAlignment="1" applyProtection="1">
      <alignment horizontal="center" vertical="center" wrapText="1"/>
      <protection locked="0"/>
    </xf>
    <xf numFmtId="0" fontId="3" fillId="5" borderId="0" xfId="0" applyFont="1" applyFill="1"/>
    <xf numFmtId="49" fontId="9" fillId="0" borderId="8" xfId="0" quotePrefix="1" applyNumberFormat="1" applyFont="1" applyBorder="1" applyAlignment="1" applyProtection="1">
      <alignment horizontal="right" vertical="top" wrapText="1" readingOrder="2"/>
    </xf>
    <xf numFmtId="49" fontId="7" fillId="0" borderId="8" xfId="0" quotePrefix="1" applyNumberFormat="1" applyFont="1" applyBorder="1" applyAlignment="1" applyProtection="1">
      <alignment horizontal="right" vertical="top" wrapText="1" readingOrder="2"/>
    </xf>
    <xf numFmtId="4" fontId="7" fillId="2" borderId="8" xfId="3" applyNumberFormat="1" applyFont="1" applyFill="1" applyBorder="1" applyAlignment="1" applyProtection="1">
      <alignment horizontal="center" vertical="center" wrapText="1" readingOrder="2"/>
      <protection locked="0"/>
    </xf>
    <xf numFmtId="49" fontId="7" fillId="0" borderId="8" xfId="0" applyNumberFormat="1" applyFont="1" applyFill="1" applyBorder="1" applyAlignment="1" applyProtection="1">
      <alignment horizontal="right" vertical="center" wrapText="1" readingOrder="2"/>
    </xf>
    <xf numFmtId="0" fontId="7" fillId="0" borderId="8" xfId="3" applyFont="1" applyBorder="1" applyAlignment="1" applyProtection="1">
      <alignment horizontal="center" vertical="center" wrapText="1" readingOrder="2"/>
    </xf>
    <xf numFmtId="0" fontId="7" fillId="0" borderId="8" xfId="3" applyFont="1" applyBorder="1" applyAlignment="1" applyProtection="1">
      <alignment horizontal="center" vertical="center" wrapText="1" readingOrder="2"/>
      <protection locked="0"/>
    </xf>
    <xf numFmtId="4" fontId="12" fillId="2" borderId="8" xfId="3" applyNumberFormat="1" applyFont="1" applyFill="1" applyBorder="1" applyAlignment="1" applyProtection="1">
      <alignment horizontal="center" vertical="center" wrapText="1" readingOrder="2"/>
      <protection locked="0"/>
    </xf>
    <xf numFmtId="4" fontId="13" fillId="0" borderId="8" xfId="3" applyNumberFormat="1" applyFont="1" applyBorder="1" applyAlignment="1" applyProtection="1">
      <alignment horizontal="center" vertical="center" wrapText="1" readingOrder="2"/>
      <protection locked="0"/>
    </xf>
    <xf numFmtId="4" fontId="7" fillId="0" borderId="8" xfId="3" applyNumberFormat="1" applyFont="1" applyBorder="1" applyAlignment="1" applyProtection="1">
      <alignment horizontal="center" vertical="center" wrapText="1" readingOrder="2"/>
      <protection locked="0"/>
    </xf>
    <xf numFmtId="0" fontId="2" fillId="5" borderId="0" xfId="0" applyFont="1" applyFill="1"/>
    <xf numFmtId="4" fontId="15" fillId="0" borderId="8" xfId="0" applyNumberFormat="1" applyFont="1" applyBorder="1" applyAlignment="1" applyProtection="1">
      <alignment horizontal="center" vertical="center" wrapText="1" readingOrder="2"/>
      <protection locked="0"/>
    </xf>
    <xf numFmtId="4" fontId="16" fillId="0" borderId="8" xfId="0" applyNumberFormat="1" applyFont="1" applyBorder="1" applyAlignment="1" applyProtection="1">
      <alignment horizontal="center" vertical="center" wrapText="1" readingOrder="2"/>
    </xf>
    <xf numFmtId="4" fontId="7" fillId="0" borderId="8" xfId="0" applyNumberFormat="1" applyFont="1" applyFill="1" applyBorder="1" applyAlignment="1" applyProtection="1">
      <alignment horizontal="center" vertical="center" wrapText="1" readingOrder="2"/>
    </xf>
    <xf numFmtId="49" fontId="7" fillId="0" borderId="9" xfId="0" applyNumberFormat="1" applyFont="1" applyBorder="1" applyAlignment="1" applyProtection="1">
      <alignment horizontal="center" vertical="center" wrapText="1"/>
    </xf>
    <xf numFmtId="49" fontId="7" fillId="0" borderId="9" xfId="0" applyNumberFormat="1" applyFont="1" applyBorder="1" applyAlignment="1" applyProtection="1">
      <alignment horizontal="right" vertical="center" wrapText="1" readingOrder="2"/>
    </xf>
    <xf numFmtId="4" fontId="7" fillId="2" borderId="10" xfId="0" applyNumberFormat="1" applyFont="1" applyFill="1" applyBorder="1" applyAlignment="1" applyProtection="1">
      <alignment horizontal="center" vertical="center" wrapText="1" readingOrder="2"/>
    </xf>
    <xf numFmtId="4" fontId="7" fillId="0" borderId="9" xfId="0" applyNumberFormat="1" applyFont="1" applyBorder="1" applyAlignment="1" applyProtection="1">
      <alignment horizontal="center" vertical="center" wrapText="1" readingOrder="2"/>
    </xf>
    <xf numFmtId="4" fontId="7" fillId="0" borderId="9" xfId="0" applyNumberFormat="1" applyFont="1" applyBorder="1" applyAlignment="1" applyProtection="1">
      <alignment horizontal="center" vertical="center" wrapText="1" readingOrder="2"/>
      <protection locked="0"/>
    </xf>
    <xf numFmtId="4" fontId="7" fillId="2" borderId="9" xfId="0" applyNumberFormat="1" applyFont="1" applyFill="1" applyBorder="1" applyAlignment="1" applyProtection="1">
      <alignment horizontal="center" vertical="center" wrapText="1" readingOrder="2"/>
    </xf>
    <xf numFmtId="0" fontId="17" fillId="6" borderId="2" xfId="0" applyFont="1" applyFill="1" applyBorder="1" applyAlignment="1" applyProtection="1">
      <alignment horizontal="center" vertical="center"/>
    </xf>
    <xf numFmtId="4" fontId="18" fillId="6" borderId="2" xfId="0" applyNumberFormat="1" applyFont="1" applyFill="1" applyBorder="1" applyAlignment="1" applyProtection="1">
      <alignment horizontal="center" vertical="center" readingOrder="2"/>
    </xf>
    <xf numFmtId="164" fontId="18" fillId="6" borderId="2" xfId="0" applyNumberFormat="1" applyFont="1" applyFill="1" applyBorder="1" applyAlignment="1" applyProtection="1">
      <alignment horizontal="center" vertical="center" readingOrder="2"/>
    </xf>
    <xf numFmtId="164" fontId="18" fillId="6" borderId="2" xfId="0" applyNumberFormat="1" applyFont="1" applyFill="1" applyBorder="1" applyAlignment="1" applyProtection="1">
      <alignment horizontal="center" vertical="center" readingOrder="2"/>
      <protection locked="0"/>
    </xf>
    <xf numFmtId="49" fontId="8" fillId="7" borderId="11" xfId="0" applyNumberFormat="1" applyFont="1" applyFill="1" applyBorder="1" applyAlignment="1" applyProtection="1">
      <alignment vertical="center" wrapText="1" readingOrder="2"/>
    </xf>
    <xf numFmtId="49" fontId="8" fillId="7" borderId="12" xfId="0" applyNumberFormat="1" applyFont="1" applyFill="1" applyBorder="1" applyAlignment="1" applyProtection="1">
      <alignment vertical="center" wrapText="1" readingOrder="2"/>
    </xf>
    <xf numFmtId="49" fontId="5" fillId="7" borderId="5" xfId="0" applyNumberFormat="1" applyFont="1" applyFill="1" applyBorder="1" applyAlignment="1" applyProtection="1">
      <alignment horizontal="center" vertical="center" wrapText="1" readingOrder="2"/>
    </xf>
    <xf numFmtId="49" fontId="8" fillId="7" borderId="13" xfId="0" applyNumberFormat="1" applyFont="1" applyFill="1" applyBorder="1" applyAlignment="1" applyProtection="1">
      <alignment vertical="center" wrapText="1" readingOrder="2"/>
    </xf>
    <xf numFmtId="49" fontId="8" fillId="7" borderId="11" xfId="0" applyNumberFormat="1" applyFont="1" applyFill="1" applyBorder="1" applyAlignment="1" applyProtection="1">
      <alignment vertical="center" wrapText="1" readingOrder="2"/>
      <protection locked="0"/>
    </xf>
    <xf numFmtId="49" fontId="7" fillId="0" borderId="7" xfId="0" applyNumberFormat="1" applyFont="1" applyBorder="1" applyAlignment="1" applyProtection="1">
      <alignment horizontal="center" vertical="center" wrapText="1"/>
    </xf>
    <xf numFmtId="49" fontId="7" fillId="0" borderId="7" xfId="0" applyNumberFormat="1" applyFont="1" applyBorder="1" applyAlignment="1" applyProtection="1">
      <alignment horizontal="center" vertical="center" wrapText="1"/>
      <protection locked="0"/>
    </xf>
    <xf numFmtId="49" fontId="7" fillId="8" borderId="8" xfId="0" applyNumberFormat="1" applyFont="1" applyFill="1" applyBorder="1" applyAlignment="1" applyProtection="1">
      <alignment horizontal="center" vertical="center" wrapText="1"/>
    </xf>
    <xf numFmtId="4" fontId="7" fillId="9" borderId="8" xfId="0" applyNumberFormat="1" applyFont="1" applyFill="1" applyBorder="1" applyAlignment="1" applyProtection="1">
      <alignment horizontal="center" vertical="center" wrapText="1" readingOrder="2"/>
    </xf>
    <xf numFmtId="49" fontId="7" fillId="8" borderId="8" xfId="0" applyNumberFormat="1" applyFont="1" applyFill="1" applyBorder="1" applyAlignment="1" applyProtection="1">
      <alignment horizontal="center" vertical="center" wrapText="1"/>
      <protection locked="0"/>
    </xf>
    <xf numFmtId="49" fontId="7" fillId="8" borderId="8" xfId="0" applyNumberFormat="1" applyFont="1" applyFill="1" applyBorder="1" applyAlignment="1" applyProtection="1">
      <alignment horizontal="right" vertical="center" wrapText="1" readingOrder="2"/>
    </xf>
    <xf numFmtId="49" fontId="7" fillId="0" borderId="8" xfId="0" applyNumberFormat="1" applyFont="1" applyBorder="1" applyAlignment="1" applyProtection="1">
      <alignment horizontal="right" vertical="top" wrapText="1" readingOrder="2"/>
    </xf>
    <xf numFmtId="4" fontId="7" fillId="8" borderId="8" xfId="0" applyNumberFormat="1" applyFont="1" applyFill="1" applyBorder="1" applyAlignment="1" applyProtection="1">
      <alignment horizontal="center" vertical="center" wrapText="1" readingOrder="2"/>
    </xf>
    <xf numFmtId="49" fontId="7" fillId="8" borderId="8" xfId="0" applyNumberFormat="1" applyFont="1" applyFill="1" applyBorder="1" applyAlignment="1" applyProtection="1">
      <alignment horizontal="right" vertical="top" wrapText="1" readingOrder="2"/>
    </xf>
    <xf numFmtId="4" fontId="7" fillId="8" borderId="8" xfId="0" applyNumberFormat="1" applyFont="1" applyFill="1" applyBorder="1" applyAlignment="1" applyProtection="1">
      <alignment horizontal="center" vertical="center" wrapText="1" readingOrder="2"/>
      <protection locked="0"/>
    </xf>
    <xf numFmtId="49" fontId="10" fillId="8" borderId="8" xfId="0" quotePrefix="1" applyNumberFormat="1" applyFont="1" applyFill="1" applyBorder="1" applyAlignment="1" applyProtection="1">
      <alignment horizontal="right" vertical="top" wrapText="1" readingOrder="2"/>
    </xf>
    <xf numFmtId="0" fontId="7" fillId="8" borderId="8" xfId="0" applyFont="1" applyFill="1" applyBorder="1" applyAlignment="1" applyProtection="1">
      <alignment horizontal="center" vertical="center" wrapText="1"/>
    </xf>
    <xf numFmtId="0" fontId="7" fillId="8" borderId="8" xfId="0" applyFont="1" applyFill="1" applyBorder="1" applyAlignment="1" applyProtection="1">
      <alignment horizontal="center" vertical="center" wrapText="1" readingOrder="2"/>
    </xf>
    <xf numFmtId="0" fontId="7" fillId="8" borderId="8" xfId="0" applyFont="1" applyFill="1" applyBorder="1" applyAlignment="1" applyProtection="1">
      <alignment horizontal="center" vertical="center" wrapText="1" readingOrder="2"/>
      <protection locked="0"/>
    </xf>
    <xf numFmtId="4" fontId="7" fillId="9" borderId="8" xfId="0" applyNumberFormat="1" applyFont="1" applyFill="1" applyBorder="1" applyAlignment="1" applyProtection="1">
      <alignment horizontal="center" vertical="center" wrapText="1"/>
    </xf>
    <xf numFmtId="0" fontId="2" fillId="0" borderId="0" xfId="0" applyFont="1"/>
    <xf numFmtId="0" fontId="7" fillId="0" borderId="8" xfId="0" applyFont="1" applyBorder="1" applyAlignment="1" applyProtection="1">
      <alignment horizontal="center" vertical="center" wrapText="1"/>
    </xf>
    <xf numFmtId="0" fontId="7" fillId="0" borderId="8" xfId="0" applyFont="1" applyBorder="1" applyAlignment="1" applyProtection="1">
      <alignment horizontal="center" vertical="center" wrapText="1"/>
      <protection locked="0"/>
    </xf>
    <xf numFmtId="0" fontId="7" fillId="0" borderId="8" xfId="0" applyFont="1" applyBorder="1" applyAlignment="1" applyProtection="1">
      <alignment horizontal="right" vertical="top" wrapText="1" readingOrder="2"/>
    </xf>
    <xf numFmtId="0" fontId="7" fillId="8" borderId="8" xfId="0" applyFont="1" applyFill="1" applyBorder="1" applyAlignment="1" applyProtection="1">
      <alignment horizontal="right" vertical="top" wrapText="1" readingOrder="2"/>
    </xf>
    <xf numFmtId="49" fontId="7" fillId="0" borderId="8" xfId="0" quotePrefix="1" applyNumberFormat="1" applyFont="1" applyBorder="1" applyAlignment="1" applyProtection="1">
      <alignment horizontal="right" vertical="center" wrapText="1" readingOrder="2"/>
    </xf>
    <xf numFmtId="0" fontId="10" fillId="0" borderId="8" xfId="0" quotePrefix="1" applyFont="1" applyBorder="1" applyAlignment="1" applyProtection="1">
      <alignment horizontal="right" vertical="top" wrapText="1" readingOrder="2"/>
    </xf>
    <xf numFmtId="4" fontId="7" fillId="2" borderId="8" xfId="4" applyNumberFormat="1" applyFont="1" applyFill="1" applyBorder="1" applyAlignment="1" applyProtection="1">
      <alignment horizontal="center" vertical="center" wrapText="1" readingOrder="2"/>
    </xf>
    <xf numFmtId="0" fontId="7" fillId="0" borderId="8" xfId="0" applyFont="1" applyBorder="1" applyAlignment="1" applyProtection="1">
      <alignment horizontal="right" vertical="center" wrapText="1" readingOrder="2"/>
    </xf>
    <xf numFmtId="0" fontId="17" fillId="10" borderId="3" xfId="0" applyFont="1" applyFill="1" applyBorder="1" applyAlignment="1" applyProtection="1">
      <alignment horizontal="center" vertical="center"/>
    </xf>
    <xf numFmtId="0" fontId="17" fillId="10" borderId="6" xfId="0" applyFont="1" applyFill="1" applyBorder="1" applyAlignment="1" applyProtection="1">
      <alignment horizontal="center" vertical="center"/>
    </xf>
    <xf numFmtId="0" fontId="17" fillId="10" borderId="4" xfId="0" applyFont="1" applyFill="1" applyBorder="1" applyAlignment="1" applyProtection="1">
      <alignment horizontal="center" vertical="center"/>
    </xf>
    <xf numFmtId="4" fontId="18" fillId="10" borderId="2" xfId="0" applyNumberFormat="1" applyFont="1" applyFill="1" applyBorder="1" applyAlignment="1" applyProtection="1">
      <alignment horizontal="center" vertical="center" readingOrder="2"/>
    </xf>
    <xf numFmtId="164" fontId="18" fillId="10" borderId="2" xfId="0" applyNumberFormat="1" applyFont="1" applyFill="1" applyBorder="1" applyAlignment="1" applyProtection="1">
      <alignment horizontal="center" vertical="center" readingOrder="2"/>
    </xf>
    <xf numFmtId="164" fontId="18" fillId="10" borderId="2" xfId="0" applyNumberFormat="1" applyFont="1" applyFill="1" applyBorder="1" applyAlignment="1" applyProtection="1">
      <alignment horizontal="center" vertical="center" readingOrder="2"/>
      <protection locked="0"/>
    </xf>
    <xf numFmtId="49" fontId="8" fillId="11" borderId="3" xfId="0" applyNumberFormat="1" applyFont="1" applyFill="1" applyBorder="1" applyAlignment="1" applyProtection="1">
      <alignment vertical="center" wrapText="1" readingOrder="2"/>
    </xf>
    <xf numFmtId="49" fontId="8" fillId="11" borderId="6" xfId="0" applyNumberFormat="1" applyFont="1" applyFill="1" applyBorder="1" applyAlignment="1" applyProtection="1">
      <alignment vertical="center" wrapText="1" readingOrder="2"/>
    </xf>
    <xf numFmtId="49" fontId="5" fillId="11" borderId="2" xfId="0" applyNumberFormat="1" applyFont="1" applyFill="1" applyBorder="1" applyAlignment="1" applyProtection="1">
      <alignment horizontal="center" vertical="center" wrapText="1" readingOrder="2"/>
    </xf>
    <xf numFmtId="49" fontId="8" fillId="11" borderId="4" xfId="0" applyNumberFormat="1" applyFont="1" applyFill="1" applyBorder="1" applyAlignment="1" applyProtection="1">
      <alignment vertical="center" wrapText="1" readingOrder="2"/>
    </xf>
    <xf numFmtId="49" fontId="8" fillId="11" borderId="3" xfId="0" applyNumberFormat="1" applyFont="1" applyFill="1" applyBorder="1" applyAlignment="1" applyProtection="1">
      <alignment vertical="center" wrapText="1" readingOrder="2"/>
      <protection locked="0"/>
    </xf>
    <xf numFmtId="49" fontId="7" fillId="2" borderId="5" xfId="0" applyNumberFormat="1" applyFont="1" applyFill="1" applyBorder="1" applyAlignment="1" applyProtection="1">
      <alignment horizontal="center" vertical="center" wrapText="1"/>
    </xf>
    <xf numFmtId="49" fontId="10" fillId="8" borderId="5" xfId="0" quotePrefix="1" applyNumberFormat="1" applyFont="1" applyFill="1" applyBorder="1" applyAlignment="1" applyProtection="1">
      <alignment horizontal="right" vertical="top" wrapText="1" readingOrder="2"/>
    </xf>
    <xf numFmtId="4" fontId="7" fillId="2" borderId="5" xfId="0" applyNumberFormat="1" applyFont="1" applyFill="1" applyBorder="1" applyAlignment="1" applyProtection="1">
      <alignment horizontal="center" vertical="center" wrapText="1" readingOrder="2"/>
    </xf>
    <xf numFmtId="4" fontId="7" fillId="0" borderId="5" xfId="0" applyNumberFormat="1" applyFont="1" applyBorder="1" applyAlignment="1" applyProtection="1">
      <alignment horizontal="center" vertical="center" wrapText="1" readingOrder="2"/>
    </xf>
    <xf numFmtId="4" fontId="7" fillId="2" borderId="5" xfId="0" applyNumberFormat="1" applyFont="1" applyFill="1" applyBorder="1" applyAlignment="1" applyProtection="1">
      <alignment horizontal="center" vertical="center" wrapText="1" readingOrder="2"/>
      <protection locked="0"/>
    </xf>
    <xf numFmtId="4" fontId="7" fillId="0" borderId="5" xfId="0" applyNumberFormat="1" applyFont="1" applyBorder="1" applyAlignment="1" applyProtection="1">
      <alignment horizontal="center" vertical="center" wrapText="1" readingOrder="2"/>
      <protection locked="0"/>
    </xf>
    <xf numFmtId="49" fontId="10" fillId="8" borderId="8" xfId="0" quotePrefix="1" applyNumberFormat="1" applyFont="1" applyFill="1" applyBorder="1" applyAlignment="1" applyProtection="1">
      <alignment horizontal="right" vertical="top" wrapText="1" readingOrder="1"/>
    </xf>
    <xf numFmtId="49" fontId="12" fillId="0" borderId="8" xfId="0" applyNumberFormat="1" applyFont="1" applyBorder="1" applyAlignment="1" applyProtection="1">
      <alignment horizontal="center" vertical="center" wrapText="1"/>
    </xf>
    <xf numFmtId="49" fontId="12" fillId="0" borderId="8" xfId="0" applyNumberFormat="1" applyFont="1" applyBorder="1" applyAlignment="1" applyProtection="1">
      <alignment horizontal="right" vertical="center" wrapText="1" readingOrder="2"/>
    </xf>
    <xf numFmtId="4" fontId="12" fillId="2" borderId="8" xfId="0" applyNumberFormat="1" applyFont="1" applyFill="1" applyBorder="1" applyAlignment="1" applyProtection="1">
      <alignment horizontal="center" vertical="center" wrapText="1" readingOrder="2"/>
    </xf>
    <xf numFmtId="4" fontId="12" fillId="0" borderId="8" xfId="0" applyNumberFormat="1" applyFont="1" applyBorder="1" applyAlignment="1" applyProtection="1">
      <alignment horizontal="center" vertical="center" wrapText="1" readingOrder="2"/>
    </xf>
    <xf numFmtId="4" fontId="12" fillId="2" borderId="8" xfId="0" applyNumberFormat="1" applyFont="1" applyFill="1" applyBorder="1" applyAlignment="1" applyProtection="1">
      <alignment horizontal="center" vertical="center" wrapText="1" readingOrder="2"/>
      <protection locked="0"/>
    </xf>
    <xf numFmtId="4" fontId="13" fillId="0" borderId="8" xfId="0" applyNumberFormat="1" applyFont="1" applyBorder="1" applyAlignment="1" applyProtection="1">
      <alignment horizontal="center" vertical="center" wrapText="1" readingOrder="2"/>
      <protection locked="0"/>
    </xf>
    <xf numFmtId="0" fontId="13" fillId="0" borderId="8" xfId="0" applyFont="1" applyBorder="1" applyAlignment="1" applyProtection="1">
      <alignment horizontal="center" vertical="center" wrapText="1" readingOrder="2"/>
    </xf>
    <xf numFmtId="0" fontId="13" fillId="0" borderId="8" xfId="0" applyFont="1" applyBorder="1" applyAlignment="1" applyProtection="1">
      <alignment horizontal="center" vertical="center" wrapText="1" readingOrder="2"/>
      <protection locked="0"/>
    </xf>
    <xf numFmtId="0" fontId="7" fillId="8" borderId="8" xfId="3" applyFont="1" applyFill="1" applyBorder="1" applyAlignment="1" applyProtection="1">
      <alignment horizontal="center" vertical="center" wrapText="1" readingOrder="2"/>
    </xf>
    <xf numFmtId="0" fontId="7" fillId="8" borderId="8" xfId="3" applyFont="1" applyFill="1" applyBorder="1" applyAlignment="1" applyProtection="1">
      <alignment horizontal="center" vertical="center" wrapText="1" readingOrder="2"/>
      <protection locked="0"/>
    </xf>
    <xf numFmtId="49" fontId="7" fillId="0" borderId="8" xfId="0" applyNumberFormat="1" applyFont="1" applyBorder="1" applyAlignment="1" applyProtection="1">
      <alignment horizontal="center" vertical="center" wrapText="1" readingOrder="1"/>
    </xf>
    <xf numFmtId="4" fontId="7" fillId="0" borderId="8" xfId="3" applyNumberFormat="1" applyFont="1" applyBorder="1" applyAlignment="1" applyProtection="1">
      <alignment horizontal="center" vertical="center" wrapText="1" readingOrder="2"/>
    </xf>
    <xf numFmtId="4" fontId="7" fillId="8" borderId="8" xfId="3" applyNumberFormat="1" applyFont="1" applyFill="1" applyBorder="1" applyAlignment="1" applyProtection="1">
      <alignment horizontal="center" vertical="center" wrapText="1" readingOrder="2"/>
      <protection locked="0"/>
    </xf>
    <xf numFmtId="49" fontId="7" fillId="0" borderId="14" xfId="0" applyNumberFormat="1" applyFont="1" applyBorder="1" applyAlignment="1" applyProtection="1">
      <alignment horizontal="center" vertical="center" wrapText="1"/>
    </xf>
    <xf numFmtId="49" fontId="7" fillId="2" borderId="10" xfId="0" applyNumberFormat="1" applyFont="1" applyFill="1" applyBorder="1" applyAlignment="1" applyProtection="1">
      <alignment horizontal="center" vertical="center" wrapText="1"/>
    </xf>
    <xf numFmtId="49" fontId="7" fillId="8" borderId="14" xfId="0" applyNumberFormat="1" applyFont="1" applyFill="1" applyBorder="1" applyAlignment="1" applyProtection="1">
      <alignment horizontal="right" vertical="center" wrapText="1" readingOrder="2"/>
    </xf>
    <xf numFmtId="4" fontId="7" fillId="9" borderId="10" xfId="0" applyNumberFormat="1" applyFont="1" applyFill="1" applyBorder="1" applyAlignment="1" applyProtection="1">
      <alignment horizontal="center" vertical="center" wrapText="1" readingOrder="2"/>
    </xf>
    <xf numFmtId="4" fontId="7" fillId="0" borderId="14" xfId="0" applyNumberFormat="1" applyFont="1" applyBorder="1" applyAlignment="1" applyProtection="1">
      <alignment horizontal="center" vertical="center" wrapText="1" readingOrder="2"/>
    </xf>
    <xf numFmtId="4" fontId="7" fillId="2" borderId="14" xfId="0" applyNumberFormat="1" applyFont="1" applyFill="1" applyBorder="1" applyAlignment="1" applyProtection="1">
      <alignment horizontal="center" vertical="center" wrapText="1" readingOrder="2"/>
      <protection locked="0"/>
    </xf>
    <xf numFmtId="4" fontId="7" fillId="0" borderId="14" xfId="0" applyNumberFormat="1" applyFont="1" applyBorder="1" applyAlignment="1" applyProtection="1">
      <alignment horizontal="center" vertical="center" wrapText="1" readingOrder="2"/>
      <protection locked="0"/>
    </xf>
    <xf numFmtId="4" fontId="7" fillId="2" borderId="14" xfId="0" applyNumberFormat="1" applyFont="1" applyFill="1" applyBorder="1" applyAlignment="1" applyProtection="1">
      <alignment horizontal="center" vertical="center" wrapText="1" readingOrder="2"/>
    </xf>
    <xf numFmtId="0" fontId="7" fillId="0" borderId="14" xfId="0" applyFont="1" applyBorder="1" applyAlignment="1" applyProtection="1">
      <alignment horizontal="center" vertical="center" wrapText="1" readingOrder="2"/>
    </xf>
    <xf numFmtId="0" fontId="7" fillId="0" borderId="14" xfId="0" applyFont="1" applyBorder="1" applyAlignment="1" applyProtection="1">
      <alignment horizontal="center" vertical="center" wrapText="1" readingOrder="2"/>
      <protection locked="0"/>
    </xf>
    <xf numFmtId="0" fontId="17" fillId="12" borderId="3" xfId="0" applyFont="1" applyFill="1" applyBorder="1" applyAlignment="1" applyProtection="1">
      <alignment horizontal="center" vertical="center"/>
    </xf>
    <xf numFmtId="0" fontId="17" fillId="12" borderId="6" xfId="0" applyFont="1" applyFill="1" applyBorder="1" applyAlignment="1" applyProtection="1">
      <alignment horizontal="center" vertical="center"/>
    </xf>
    <xf numFmtId="0" fontId="17" fillId="12" borderId="4" xfId="0" applyFont="1" applyFill="1" applyBorder="1" applyAlignment="1" applyProtection="1">
      <alignment horizontal="center" vertical="center"/>
    </xf>
    <xf numFmtId="4" fontId="18" fillId="12" borderId="2" xfId="0" applyNumberFormat="1" applyFont="1" applyFill="1" applyBorder="1" applyAlignment="1" applyProtection="1">
      <alignment horizontal="center" vertical="center" readingOrder="2"/>
    </xf>
    <xf numFmtId="0" fontId="18" fillId="12" borderId="2" xfId="0" applyFont="1" applyFill="1" applyBorder="1" applyAlignment="1" applyProtection="1">
      <alignment horizontal="center" vertical="center" readingOrder="2"/>
    </xf>
    <xf numFmtId="0" fontId="18" fillId="12" borderId="2" xfId="0" applyFont="1" applyFill="1" applyBorder="1" applyAlignment="1" applyProtection="1">
      <alignment horizontal="center" vertical="center" readingOrder="2"/>
      <protection locked="0"/>
    </xf>
    <xf numFmtId="49" fontId="8" fillId="13" borderId="3" xfId="0" applyNumberFormat="1" applyFont="1" applyFill="1" applyBorder="1" applyAlignment="1" applyProtection="1">
      <alignment vertical="center" wrapText="1" readingOrder="2"/>
    </xf>
    <xf numFmtId="49" fontId="8" fillId="13" borderId="6" xfId="0" applyNumberFormat="1" applyFont="1" applyFill="1" applyBorder="1" applyAlignment="1" applyProtection="1">
      <alignment vertical="center" wrapText="1" readingOrder="2"/>
    </xf>
    <xf numFmtId="49" fontId="5" fillId="13" borderId="2" xfId="0" applyNumberFormat="1" applyFont="1" applyFill="1" applyBorder="1" applyAlignment="1" applyProtection="1">
      <alignment horizontal="center" vertical="center" wrapText="1" readingOrder="2"/>
    </xf>
    <xf numFmtId="49" fontId="8" fillId="13" borderId="4" xfId="0" applyNumberFormat="1" applyFont="1" applyFill="1" applyBorder="1" applyAlignment="1" applyProtection="1">
      <alignment vertical="center" wrapText="1" readingOrder="2"/>
    </xf>
    <xf numFmtId="0" fontId="8" fillId="13" borderId="6" xfId="0" applyFont="1" applyFill="1" applyBorder="1" applyAlignment="1" applyProtection="1">
      <alignment vertical="center" wrapText="1" readingOrder="2"/>
    </xf>
    <xf numFmtId="0" fontId="8" fillId="13" borderId="6" xfId="0" applyFont="1" applyFill="1" applyBorder="1" applyAlignment="1" applyProtection="1">
      <alignment vertical="center" wrapText="1" readingOrder="2"/>
      <protection locked="0"/>
    </xf>
    <xf numFmtId="0" fontId="7" fillId="0" borderId="5" xfId="0" applyFont="1" applyBorder="1" applyAlignment="1" applyProtection="1">
      <alignment horizontal="center" vertical="center" wrapText="1" readingOrder="2"/>
    </xf>
    <xf numFmtId="0" fontId="7" fillId="0" borderId="5" xfId="0" applyFont="1" applyBorder="1" applyAlignment="1" applyProtection="1">
      <alignment horizontal="center" vertical="center" wrapText="1" readingOrder="2"/>
      <protection locked="0"/>
    </xf>
    <xf numFmtId="2" fontId="7" fillId="8" borderId="8" xfId="0" applyNumberFormat="1" applyFont="1" applyFill="1" applyBorder="1" applyAlignment="1" applyProtection="1">
      <alignment horizontal="right" vertical="center" wrapText="1" readingOrder="2"/>
    </xf>
    <xf numFmtId="2" fontId="7" fillId="8" borderId="8" xfId="0" applyNumberFormat="1" applyFont="1" applyFill="1" applyBorder="1" applyAlignment="1" applyProtection="1">
      <alignment horizontal="right" vertical="top" wrapText="1" readingOrder="2"/>
    </xf>
    <xf numFmtId="49" fontId="12" fillId="8" borderId="8" xfId="0" applyNumberFormat="1" applyFont="1" applyFill="1" applyBorder="1" applyAlignment="1" applyProtection="1">
      <alignment horizontal="right" vertical="center" wrapText="1" readingOrder="2"/>
    </xf>
    <xf numFmtId="49" fontId="7" fillId="8" borderId="9" xfId="0" applyNumberFormat="1" applyFont="1" applyFill="1" applyBorder="1" applyAlignment="1" applyProtection="1">
      <alignment horizontal="right" vertical="center" wrapText="1" readingOrder="2"/>
    </xf>
    <xf numFmtId="4" fontId="7" fillId="2" borderId="9" xfId="0" applyNumberFormat="1" applyFont="1" applyFill="1" applyBorder="1" applyAlignment="1" applyProtection="1">
      <alignment horizontal="center" vertical="center" wrapText="1" readingOrder="2"/>
      <protection locked="0"/>
    </xf>
    <xf numFmtId="0" fontId="17" fillId="14" borderId="3" xfId="0" applyFont="1" applyFill="1" applyBorder="1" applyAlignment="1" applyProtection="1">
      <alignment horizontal="center" vertical="center"/>
    </xf>
    <xf numFmtId="0" fontId="17" fillId="14" borderId="6" xfId="0" applyFont="1" applyFill="1" applyBorder="1" applyAlignment="1" applyProtection="1">
      <alignment horizontal="center" vertical="center"/>
    </xf>
    <xf numFmtId="0" fontId="17" fillId="14" borderId="4" xfId="0" applyFont="1" applyFill="1" applyBorder="1" applyAlignment="1" applyProtection="1">
      <alignment horizontal="center" vertical="center"/>
    </xf>
    <xf numFmtId="4" fontId="18" fillId="14" borderId="2" xfId="0" applyNumberFormat="1" applyFont="1" applyFill="1" applyBorder="1" applyAlignment="1" applyProtection="1">
      <alignment horizontal="center" vertical="center" readingOrder="2"/>
    </xf>
    <xf numFmtId="0" fontId="18" fillId="14" borderId="2" xfId="0" applyFont="1" applyFill="1" applyBorder="1" applyAlignment="1" applyProtection="1">
      <alignment horizontal="center" vertical="center" readingOrder="2"/>
    </xf>
    <xf numFmtId="0" fontId="18" fillId="14" borderId="2" xfId="0" applyFont="1" applyFill="1" applyBorder="1" applyAlignment="1" applyProtection="1">
      <alignment horizontal="center" vertical="center" readingOrder="2"/>
      <protection locked="0"/>
    </xf>
    <xf numFmtId="49" fontId="8" fillId="15" borderId="3" xfId="0" applyNumberFormat="1" applyFont="1" applyFill="1" applyBorder="1" applyAlignment="1" applyProtection="1">
      <alignment vertical="center" wrapText="1" readingOrder="2"/>
    </xf>
    <xf numFmtId="49" fontId="8" fillId="15" borderId="6" xfId="0" applyNumberFormat="1" applyFont="1" applyFill="1" applyBorder="1" applyAlignment="1" applyProtection="1">
      <alignment vertical="center" wrapText="1" readingOrder="2"/>
    </xf>
    <xf numFmtId="49" fontId="5" fillId="15" borderId="2" xfId="0" applyNumberFormat="1" applyFont="1" applyFill="1" applyBorder="1" applyAlignment="1" applyProtection="1">
      <alignment horizontal="center" vertical="center" wrapText="1" readingOrder="2"/>
    </xf>
    <xf numFmtId="49" fontId="8" fillId="15" borderId="4" xfId="0" applyNumberFormat="1" applyFont="1" applyFill="1" applyBorder="1" applyAlignment="1" applyProtection="1">
      <alignment vertical="center" wrapText="1" readingOrder="2"/>
    </xf>
    <xf numFmtId="0" fontId="8" fillId="15" borderId="6" xfId="0" applyFont="1" applyFill="1" applyBorder="1" applyAlignment="1" applyProtection="1">
      <alignment vertical="center" wrapText="1" readingOrder="2"/>
    </xf>
    <xf numFmtId="0" fontId="8" fillId="15" borderId="6" xfId="0" applyFont="1" applyFill="1" applyBorder="1" applyAlignment="1" applyProtection="1">
      <alignment vertical="center" wrapText="1" readingOrder="2"/>
      <protection locked="0"/>
    </xf>
    <xf numFmtId="49" fontId="10" fillId="0" borderId="5" xfId="0" quotePrefix="1" applyNumberFormat="1" applyFont="1" applyBorder="1" applyAlignment="1" applyProtection="1">
      <alignment horizontal="right" vertical="top" wrapText="1" readingOrder="2"/>
    </xf>
    <xf numFmtId="2" fontId="12" fillId="8" borderId="8" xfId="0" applyNumberFormat="1" applyFont="1" applyFill="1" applyBorder="1" applyAlignment="1" applyProtection="1">
      <alignment horizontal="right" vertical="top" wrapText="1" readingOrder="2"/>
    </xf>
    <xf numFmtId="43" fontId="3" fillId="0" borderId="0" xfId="1" applyFont="1"/>
    <xf numFmtId="49" fontId="7" fillId="2" borderId="9" xfId="0" applyNumberFormat="1" applyFont="1" applyFill="1" applyBorder="1" applyAlignment="1" applyProtection="1">
      <alignment horizontal="center" vertical="center" wrapText="1"/>
    </xf>
    <xf numFmtId="0" fontId="7" fillId="8" borderId="9" xfId="0" applyFont="1" applyFill="1" applyBorder="1" applyAlignment="1" applyProtection="1">
      <alignment horizontal="right" vertical="top" wrapText="1" readingOrder="2"/>
    </xf>
    <xf numFmtId="4" fontId="7" fillId="9" borderId="9" xfId="0" applyNumberFormat="1" applyFont="1" applyFill="1" applyBorder="1" applyAlignment="1" applyProtection="1">
      <alignment horizontal="center" vertical="center" wrapText="1" readingOrder="2"/>
    </xf>
    <xf numFmtId="0" fontId="7" fillId="0" borderId="9" xfId="0" applyFont="1" applyBorder="1" applyAlignment="1" applyProtection="1">
      <alignment horizontal="center" vertical="center" wrapText="1" readingOrder="2"/>
    </xf>
    <xf numFmtId="0" fontId="7" fillId="0" borderId="9" xfId="0" applyFont="1" applyBorder="1" applyAlignment="1" applyProtection="1">
      <alignment horizontal="center" vertical="center" wrapText="1" readingOrder="2"/>
      <protection locked="0"/>
    </xf>
    <xf numFmtId="0" fontId="17" fillId="16" borderId="3" xfId="0" applyFont="1" applyFill="1" applyBorder="1" applyAlignment="1" applyProtection="1">
      <alignment horizontal="center" vertical="center"/>
    </xf>
    <xf numFmtId="0" fontId="17" fillId="16" borderId="6" xfId="0" applyFont="1" applyFill="1" applyBorder="1" applyAlignment="1" applyProtection="1">
      <alignment horizontal="center" vertical="center"/>
    </xf>
    <xf numFmtId="0" fontId="17" fillId="16" borderId="4" xfId="0" applyFont="1" applyFill="1" applyBorder="1" applyAlignment="1" applyProtection="1">
      <alignment horizontal="center" vertical="center"/>
    </xf>
    <xf numFmtId="4" fontId="18" fillId="16" borderId="2" xfId="0" applyNumberFormat="1" applyFont="1" applyFill="1" applyBorder="1" applyAlignment="1" applyProtection="1">
      <alignment horizontal="center" vertical="center" readingOrder="2"/>
    </xf>
    <xf numFmtId="164" fontId="18" fillId="16" borderId="2" xfId="0" applyNumberFormat="1" applyFont="1" applyFill="1" applyBorder="1" applyAlignment="1" applyProtection="1">
      <alignment horizontal="center" vertical="center" readingOrder="2"/>
    </xf>
    <xf numFmtId="164" fontId="18" fillId="16" borderId="2" xfId="0" applyNumberFormat="1" applyFont="1" applyFill="1" applyBorder="1" applyAlignment="1" applyProtection="1">
      <alignment horizontal="center" vertical="center" readingOrder="2"/>
      <protection locked="0"/>
    </xf>
    <xf numFmtId="0" fontId="17" fillId="17" borderId="3" xfId="0" applyFont="1" applyFill="1" applyBorder="1" applyAlignment="1" applyProtection="1">
      <alignment horizontal="center" vertical="center"/>
    </xf>
    <xf numFmtId="0" fontId="17" fillId="17" borderId="6" xfId="0" applyFont="1" applyFill="1" applyBorder="1" applyAlignment="1" applyProtection="1">
      <alignment horizontal="center" vertical="center"/>
    </xf>
    <xf numFmtId="0" fontId="17" fillId="17" borderId="4" xfId="0" applyFont="1" applyFill="1" applyBorder="1" applyAlignment="1" applyProtection="1">
      <alignment horizontal="center" vertical="center"/>
    </xf>
    <xf numFmtId="4" fontId="18" fillId="17" borderId="2" xfId="0" applyNumberFormat="1" applyFont="1" applyFill="1" applyBorder="1" applyAlignment="1" applyProtection="1">
      <alignment horizontal="center" vertical="center" readingOrder="2"/>
    </xf>
    <xf numFmtId="164" fontId="18" fillId="17" borderId="2" xfId="0" applyNumberFormat="1" applyFont="1" applyFill="1" applyBorder="1" applyAlignment="1" applyProtection="1">
      <alignment horizontal="center" vertical="center" readingOrder="2"/>
    </xf>
    <xf numFmtId="164" fontId="18" fillId="17" borderId="2" xfId="0" applyNumberFormat="1" applyFont="1" applyFill="1" applyBorder="1" applyAlignment="1" applyProtection="1">
      <alignment horizontal="center" vertical="center" readingOrder="2"/>
      <protection locked="0"/>
    </xf>
    <xf numFmtId="0" fontId="3" fillId="0" borderId="0" xfId="0" applyFont="1" applyAlignment="1">
      <alignment horizontal="center" vertical="center"/>
    </xf>
    <xf numFmtId="0" fontId="3" fillId="0" borderId="0" xfId="0" applyFont="1" applyAlignment="1">
      <alignment vertical="center"/>
    </xf>
  </cellXfs>
  <cellStyles count="5">
    <cellStyle name="Comma" xfId="1" builtinId="3"/>
    <cellStyle name="Comma 5" xfId="4"/>
    <cellStyle name="Normal" xfId="0" builtinId="0"/>
    <cellStyle name="Normal 115" xfId="2"/>
    <cellStyle name="Normal_Sheet1 3" xfId="3"/>
  </cellStyles>
  <dxfs count="5">
    <dxf>
      <fill>
        <patternFill>
          <bgColor theme="2" tint="-0.89996032593768116"/>
        </patternFill>
      </fill>
    </dxf>
    <dxf>
      <fill>
        <patternFill>
          <bgColor theme="2" tint="-0.89996032593768116"/>
        </patternFill>
      </fill>
    </dxf>
    <dxf>
      <fill>
        <patternFill>
          <bgColor theme="2" tint="-0.89996032593768116"/>
        </patternFill>
      </fill>
    </dxf>
    <dxf>
      <fill>
        <patternFill>
          <bgColor theme="2" tint="-0.89996032593768116"/>
        </patternFill>
      </fill>
    </dxf>
    <dxf>
      <fill>
        <patternFill>
          <bgColor theme="2" tint="-0.899960325937681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B0F0"/>
  </sheetPr>
  <dimension ref="A1:M1029"/>
  <sheetViews>
    <sheetView rightToLeft="1" tabSelected="1" view="pageBreakPreview" topLeftCell="A358" zoomScale="55" zoomScaleNormal="10" zoomScaleSheetLayoutView="55" zoomScalePageLayoutView="70" workbookViewId="0">
      <selection activeCell="C359" sqref="C359:D398"/>
    </sheetView>
  </sheetViews>
  <sheetFormatPr defaultColWidth="9.140625" defaultRowHeight="15" x14ac:dyDescent="0.25"/>
  <cols>
    <col min="1" max="1" width="4.85546875" style="27" customWidth="1"/>
    <col min="2" max="2" width="11.140625" style="194" hidden="1" customWidth="1"/>
    <col min="3" max="3" width="15.85546875" style="27" customWidth="1"/>
    <col min="4" max="4" width="50.7109375" style="195" customWidth="1"/>
    <col min="5" max="5" width="10.5703125" style="27" bestFit="1" customWidth="1"/>
    <col min="6" max="6" width="12.85546875" style="27" customWidth="1"/>
    <col min="7" max="7" width="18" style="27" customWidth="1"/>
    <col min="8" max="8" width="27" style="27" customWidth="1"/>
    <col min="9" max="9" width="21.28515625" style="194" customWidth="1"/>
    <col min="10" max="10" width="16.85546875" style="194" bestFit="1" customWidth="1"/>
    <col min="11" max="11" width="10.28515625" style="194" customWidth="1"/>
    <col min="12" max="12" width="16.85546875" style="194" bestFit="1" customWidth="1"/>
    <col min="13" max="16384" width="9.140625" style="27"/>
  </cols>
  <sheetData>
    <row r="1" spans="2:12" s="5" customFormat="1" x14ac:dyDescent="0.25">
      <c r="B1" s="1"/>
      <c r="C1" s="1"/>
      <c r="D1" s="2"/>
      <c r="E1" s="2"/>
      <c r="F1" s="3"/>
      <c r="G1" s="4"/>
      <c r="H1" s="1"/>
      <c r="I1" s="4"/>
      <c r="J1" s="1"/>
      <c r="K1" s="4"/>
      <c r="L1" s="1"/>
    </row>
    <row r="2" spans="2:12" s="2" customFormat="1" ht="23.25" customHeight="1" x14ac:dyDescent="0.25">
      <c r="B2" s="6" t="s">
        <v>0</v>
      </c>
      <c r="C2" s="6"/>
      <c r="D2" s="6"/>
      <c r="E2" s="6"/>
      <c r="F2" s="6"/>
      <c r="G2" s="6"/>
      <c r="H2" s="6"/>
      <c r="I2" s="6"/>
      <c r="J2" s="6"/>
      <c r="K2" s="6"/>
      <c r="L2" s="6"/>
    </row>
    <row r="3" spans="2:12" s="2" customFormat="1" ht="23.25" customHeight="1" x14ac:dyDescent="0.25">
      <c r="B3" s="7" t="s">
        <v>1</v>
      </c>
      <c r="C3" s="7"/>
      <c r="D3" s="7"/>
      <c r="E3" s="7"/>
      <c r="F3" s="7"/>
      <c r="G3" s="7"/>
      <c r="H3" s="7"/>
      <c r="I3" s="7"/>
      <c r="J3" s="7"/>
      <c r="K3" s="7"/>
      <c r="L3" s="8"/>
    </row>
    <row r="4" spans="2:12" s="2" customFormat="1" ht="23.25" customHeight="1" x14ac:dyDescent="0.25">
      <c r="B4" s="9" t="s">
        <v>2</v>
      </c>
      <c r="C4" s="9"/>
      <c r="D4" s="9"/>
      <c r="E4" s="9"/>
      <c r="F4" s="9"/>
      <c r="G4" s="9"/>
      <c r="H4" s="9"/>
      <c r="I4" s="9"/>
      <c r="J4" s="9"/>
      <c r="K4" s="9"/>
      <c r="L4" s="8"/>
    </row>
    <row r="5" spans="2:12" s="16" customFormat="1" ht="36" customHeight="1" x14ac:dyDescent="0.3">
      <c r="B5" s="10" t="s">
        <v>3</v>
      </c>
      <c r="C5" s="11" t="s">
        <v>3</v>
      </c>
      <c r="D5" s="12" t="s">
        <v>4</v>
      </c>
      <c r="E5" s="11" t="s">
        <v>5</v>
      </c>
      <c r="F5" s="13" t="s">
        <v>6</v>
      </c>
      <c r="G5" s="14" t="s">
        <v>7</v>
      </c>
      <c r="H5" s="10" t="s">
        <v>8</v>
      </c>
      <c r="I5" s="14" t="s">
        <v>9</v>
      </c>
      <c r="J5" s="10" t="s">
        <v>10</v>
      </c>
      <c r="K5" s="14" t="s">
        <v>11</v>
      </c>
      <c r="L5" s="15" t="s">
        <v>12</v>
      </c>
    </row>
    <row r="6" spans="2:12" s="16" customFormat="1" ht="52.5" customHeight="1" x14ac:dyDescent="0.3">
      <c r="B6" s="17" t="s">
        <v>13</v>
      </c>
      <c r="C6" s="18" t="s">
        <v>14</v>
      </c>
      <c r="D6" s="19" t="s">
        <v>15</v>
      </c>
      <c r="E6" s="18" t="s">
        <v>16</v>
      </c>
      <c r="F6" s="20" t="s">
        <v>17</v>
      </c>
      <c r="G6" s="21" t="s">
        <v>18</v>
      </c>
      <c r="H6" s="17" t="s">
        <v>19</v>
      </c>
      <c r="I6" s="21" t="s">
        <v>20</v>
      </c>
      <c r="J6" s="17" t="s">
        <v>21</v>
      </c>
      <c r="K6" s="21" t="s">
        <v>22</v>
      </c>
      <c r="L6" s="22" t="s">
        <v>23</v>
      </c>
    </row>
    <row r="7" spans="2:12" ht="36" customHeight="1" x14ac:dyDescent="0.25">
      <c r="B7" s="23"/>
      <c r="C7" s="24"/>
      <c r="D7" s="25" t="s">
        <v>24</v>
      </c>
      <c r="E7" s="23"/>
      <c r="F7" s="26"/>
      <c r="G7" s="26"/>
      <c r="H7" s="26"/>
      <c r="I7" s="26"/>
      <c r="J7" s="23"/>
      <c r="K7" s="24"/>
      <c r="L7" s="23"/>
    </row>
    <row r="8" spans="2:12" ht="206.25" x14ac:dyDescent="0.25">
      <c r="B8" s="28" t="s">
        <v>25</v>
      </c>
      <c r="C8" s="29"/>
      <c r="D8" s="30" t="s">
        <v>26</v>
      </c>
      <c r="E8" s="31"/>
      <c r="F8" s="32"/>
      <c r="G8" s="33"/>
      <c r="H8" s="34"/>
      <c r="I8" s="31"/>
      <c r="J8" s="28"/>
      <c r="K8" s="31"/>
      <c r="L8" s="35"/>
    </row>
    <row r="9" spans="2:12" ht="18.75" x14ac:dyDescent="0.25">
      <c r="B9" s="36" t="s">
        <v>25</v>
      </c>
      <c r="C9" s="37" t="s">
        <v>27</v>
      </c>
      <c r="D9" s="38" t="s">
        <v>28</v>
      </c>
      <c r="E9" s="39" t="s">
        <v>29</v>
      </c>
      <c r="F9" s="40">
        <v>770</v>
      </c>
      <c r="G9" s="41"/>
      <c r="H9" s="42"/>
      <c r="I9" s="39">
        <f>F9*G9</f>
        <v>0</v>
      </c>
      <c r="J9" s="36">
        <v>2004</v>
      </c>
      <c r="K9" s="39" t="s">
        <v>30</v>
      </c>
      <c r="L9" s="43"/>
    </row>
    <row r="10" spans="2:12" ht="37.5" x14ac:dyDescent="0.25">
      <c r="B10" s="36" t="s">
        <v>25</v>
      </c>
      <c r="C10" s="37" t="s">
        <v>31</v>
      </c>
      <c r="D10" s="38" t="s">
        <v>32</v>
      </c>
      <c r="E10" s="39" t="s">
        <v>29</v>
      </c>
      <c r="F10" s="40">
        <v>2805</v>
      </c>
      <c r="G10" s="41"/>
      <c r="H10" s="42"/>
      <c r="I10" s="39">
        <f>F10*G10</f>
        <v>0</v>
      </c>
      <c r="J10" s="36">
        <v>2004</v>
      </c>
      <c r="K10" s="39" t="s">
        <v>30</v>
      </c>
      <c r="L10" s="43"/>
    </row>
    <row r="11" spans="2:12" ht="168.75" x14ac:dyDescent="0.25">
      <c r="B11" s="36" t="s">
        <v>25</v>
      </c>
      <c r="C11" s="37"/>
      <c r="D11" s="44" t="s">
        <v>33</v>
      </c>
      <c r="E11" s="39"/>
      <c r="F11" s="40"/>
      <c r="G11" s="41"/>
      <c r="H11" s="42"/>
      <c r="I11" s="39"/>
      <c r="J11" s="36"/>
      <c r="K11" s="39"/>
      <c r="L11" s="43"/>
    </row>
    <row r="12" spans="2:12" ht="18.75" x14ac:dyDescent="0.25">
      <c r="B12" s="36" t="s">
        <v>25</v>
      </c>
      <c r="C12" s="37" t="s">
        <v>34</v>
      </c>
      <c r="D12" s="38" t="s">
        <v>35</v>
      </c>
      <c r="E12" s="39" t="s">
        <v>36</v>
      </c>
      <c r="F12" s="40">
        <v>224</v>
      </c>
      <c r="G12" s="41"/>
      <c r="H12" s="42"/>
      <c r="I12" s="39">
        <f>F12*G12</f>
        <v>0</v>
      </c>
      <c r="J12" s="45">
        <v>2004</v>
      </c>
      <c r="K12" s="39" t="s">
        <v>30</v>
      </c>
      <c r="L12" s="46"/>
    </row>
    <row r="13" spans="2:12" ht="18.75" x14ac:dyDescent="0.25">
      <c r="B13" s="36" t="s">
        <v>25</v>
      </c>
      <c r="C13" s="37" t="s">
        <v>37</v>
      </c>
      <c r="D13" s="38" t="s">
        <v>38</v>
      </c>
      <c r="E13" s="39" t="s">
        <v>36</v>
      </c>
      <c r="F13" s="40">
        <v>35</v>
      </c>
      <c r="G13" s="41"/>
      <c r="H13" s="42"/>
      <c r="I13" s="39">
        <f>G13*F13</f>
        <v>0</v>
      </c>
      <c r="J13" s="45">
        <v>2004</v>
      </c>
      <c r="K13" s="39" t="s">
        <v>30</v>
      </c>
      <c r="L13" s="46"/>
    </row>
    <row r="14" spans="2:12" ht="18.75" x14ac:dyDescent="0.25">
      <c r="B14" s="36" t="s">
        <v>25</v>
      </c>
      <c r="C14" s="37" t="s">
        <v>39</v>
      </c>
      <c r="D14" s="38" t="s">
        <v>40</v>
      </c>
      <c r="E14" s="39" t="s">
        <v>36</v>
      </c>
      <c r="F14" s="40">
        <v>27</v>
      </c>
      <c r="G14" s="41"/>
      <c r="H14" s="42"/>
      <c r="I14" s="39">
        <f>G14*F14</f>
        <v>0</v>
      </c>
      <c r="J14" s="47" t="s">
        <v>41</v>
      </c>
      <c r="K14" s="39" t="s">
        <v>30</v>
      </c>
      <c r="L14" s="48"/>
    </row>
    <row r="15" spans="2:12" ht="18.75" x14ac:dyDescent="0.25">
      <c r="B15" s="36" t="s">
        <v>25</v>
      </c>
      <c r="C15" s="37" t="s">
        <v>42</v>
      </c>
      <c r="D15" s="38" t="s">
        <v>43</v>
      </c>
      <c r="E15" s="39" t="s">
        <v>36</v>
      </c>
      <c r="F15" s="40">
        <v>183</v>
      </c>
      <c r="G15" s="41"/>
      <c r="H15" s="42"/>
      <c r="I15" s="39">
        <f>G15*F15</f>
        <v>0</v>
      </c>
      <c r="J15" s="47" t="s">
        <v>41</v>
      </c>
      <c r="K15" s="39" t="s">
        <v>30</v>
      </c>
      <c r="L15" s="48"/>
    </row>
    <row r="16" spans="2:12" ht="18.75" x14ac:dyDescent="0.25">
      <c r="B16" s="36" t="s">
        <v>25</v>
      </c>
      <c r="C16" s="37" t="s">
        <v>44</v>
      </c>
      <c r="D16" s="38" t="s">
        <v>45</v>
      </c>
      <c r="E16" s="39" t="s">
        <v>36</v>
      </c>
      <c r="F16" s="40">
        <v>17</v>
      </c>
      <c r="G16" s="41"/>
      <c r="H16" s="42"/>
      <c r="I16" s="39">
        <f>G16*F16</f>
        <v>0</v>
      </c>
      <c r="J16" s="47" t="s">
        <v>41</v>
      </c>
      <c r="K16" s="39" t="s">
        <v>30</v>
      </c>
      <c r="L16" s="48"/>
    </row>
    <row r="17" spans="2:12" ht="168.75" x14ac:dyDescent="0.25">
      <c r="B17" s="36" t="s">
        <v>25</v>
      </c>
      <c r="C17" s="37"/>
      <c r="D17" s="44" t="s">
        <v>46</v>
      </c>
      <c r="E17" s="39"/>
      <c r="F17" s="40"/>
      <c r="G17" s="41"/>
      <c r="H17" s="42"/>
      <c r="I17" s="39"/>
      <c r="J17" s="36"/>
      <c r="K17" s="39"/>
      <c r="L17" s="43"/>
    </row>
    <row r="18" spans="2:12" ht="37.5" x14ac:dyDescent="0.25">
      <c r="B18" s="36" t="s">
        <v>25</v>
      </c>
      <c r="C18" s="37" t="s">
        <v>47</v>
      </c>
      <c r="D18" s="38" t="s">
        <v>48</v>
      </c>
      <c r="E18" s="39" t="s">
        <v>36</v>
      </c>
      <c r="F18" s="40">
        <v>431</v>
      </c>
      <c r="G18" s="41"/>
      <c r="H18" s="42"/>
      <c r="I18" s="39">
        <f>F18*G18</f>
        <v>0</v>
      </c>
      <c r="J18" s="45">
        <v>2002</v>
      </c>
      <c r="K18" s="39" t="s">
        <v>30</v>
      </c>
      <c r="L18" s="46"/>
    </row>
    <row r="19" spans="2:12" ht="150" x14ac:dyDescent="0.25">
      <c r="B19" s="36" t="s">
        <v>25</v>
      </c>
      <c r="C19" s="37"/>
      <c r="D19" s="44" t="s">
        <v>49</v>
      </c>
      <c r="E19" s="39"/>
      <c r="F19" s="40"/>
      <c r="G19" s="41"/>
      <c r="H19" s="42"/>
      <c r="I19" s="39"/>
      <c r="J19" s="36"/>
      <c r="K19" s="39"/>
      <c r="L19" s="43"/>
    </row>
    <row r="20" spans="2:12" ht="18.75" x14ac:dyDescent="0.25">
      <c r="B20" s="36" t="s">
        <v>25</v>
      </c>
      <c r="C20" s="37" t="s">
        <v>50</v>
      </c>
      <c r="D20" s="38" t="s">
        <v>51</v>
      </c>
      <c r="E20" s="39" t="s">
        <v>36</v>
      </c>
      <c r="F20" s="40">
        <v>45</v>
      </c>
      <c r="G20" s="41"/>
      <c r="H20" s="42"/>
      <c r="I20" s="39">
        <f>F20*G20</f>
        <v>0</v>
      </c>
      <c r="J20" s="45">
        <v>2002</v>
      </c>
      <c r="K20" s="39" t="s">
        <v>30</v>
      </c>
      <c r="L20" s="46"/>
    </row>
    <row r="21" spans="2:12" ht="18.75" x14ac:dyDescent="0.25">
      <c r="B21" s="36" t="s">
        <v>25</v>
      </c>
      <c r="C21" s="37" t="s">
        <v>52</v>
      </c>
      <c r="D21" s="38" t="s">
        <v>53</v>
      </c>
      <c r="E21" s="39" t="s">
        <v>36</v>
      </c>
      <c r="F21" s="40">
        <v>236</v>
      </c>
      <c r="G21" s="41"/>
      <c r="H21" s="42"/>
      <c r="I21" s="39">
        <f>G21*F21</f>
        <v>0</v>
      </c>
      <c r="J21" s="45">
        <v>2002</v>
      </c>
      <c r="K21" s="39" t="s">
        <v>30</v>
      </c>
      <c r="L21" s="46"/>
    </row>
    <row r="22" spans="2:12" ht="18.75" x14ac:dyDescent="0.25">
      <c r="B22" s="36" t="s">
        <v>25</v>
      </c>
      <c r="C22" s="37" t="s">
        <v>54</v>
      </c>
      <c r="D22" s="38" t="s">
        <v>55</v>
      </c>
      <c r="E22" s="39" t="s">
        <v>36</v>
      </c>
      <c r="F22" s="40">
        <v>386</v>
      </c>
      <c r="G22" s="41"/>
      <c r="H22" s="42"/>
      <c r="I22" s="39">
        <f>G22*F22</f>
        <v>0</v>
      </c>
      <c r="J22" s="45">
        <v>2002</v>
      </c>
      <c r="K22" s="39" t="s">
        <v>30</v>
      </c>
      <c r="L22" s="46"/>
    </row>
    <row r="23" spans="2:12" s="49" customFormat="1" ht="93.75" x14ac:dyDescent="0.25">
      <c r="B23" s="36" t="s">
        <v>25</v>
      </c>
      <c r="C23" s="37"/>
      <c r="D23" s="44" t="s">
        <v>56</v>
      </c>
      <c r="E23" s="39"/>
      <c r="F23" s="40" t="s">
        <v>57</v>
      </c>
      <c r="G23" s="41"/>
      <c r="H23" s="42"/>
      <c r="I23" s="39"/>
      <c r="J23" s="36"/>
      <c r="K23" s="39"/>
      <c r="L23" s="43"/>
    </row>
    <row r="24" spans="2:12" s="49" customFormat="1" ht="18.75" x14ac:dyDescent="0.25">
      <c r="B24" s="36" t="s">
        <v>25</v>
      </c>
      <c r="C24" s="37" t="s">
        <v>58</v>
      </c>
      <c r="D24" s="38" t="s">
        <v>59</v>
      </c>
      <c r="E24" s="39" t="s">
        <v>60</v>
      </c>
      <c r="F24" s="40">
        <v>1696</v>
      </c>
      <c r="G24" s="41"/>
      <c r="H24" s="42"/>
      <c r="I24" s="39">
        <f>F24*G24</f>
        <v>0</v>
      </c>
      <c r="J24" s="45">
        <v>2002</v>
      </c>
      <c r="K24" s="39" t="s">
        <v>30</v>
      </c>
      <c r="L24" s="46"/>
    </row>
    <row r="25" spans="2:12" ht="131.25" x14ac:dyDescent="0.25">
      <c r="B25" s="36" t="s">
        <v>25</v>
      </c>
      <c r="C25" s="37"/>
      <c r="D25" s="50" t="s">
        <v>61</v>
      </c>
      <c r="E25" s="39"/>
      <c r="F25" s="40"/>
      <c r="G25" s="41"/>
      <c r="H25" s="42"/>
      <c r="I25" s="39"/>
      <c r="J25" s="36"/>
      <c r="K25" s="39"/>
      <c r="L25" s="43"/>
    </row>
    <row r="26" spans="2:12" ht="37.5" x14ac:dyDescent="0.25">
      <c r="B26" s="36" t="s">
        <v>25</v>
      </c>
      <c r="C26" s="37" t="s">
        <v>62</v>
      </c>
      <c r="D26" s="38" t="s">
        <v>63</v>
      </c>
      <c r="E26" s="39" t="s">
        <v>29</v>
      </c>
      <c r="F26" s="40">
        <v>161</v>
      </c>
      <c r="G26" s="41"/>
      <c r="H26" s="42"/>
      <c r="I26" s="39">
        <f>F26*G26</f>
        <v>0</v>
      </c>
      <c r="J26" s="45">
        <v>2002</v>
      </c>
      <c r="K26" s="39" t="s">
        <v>30</v>
      </c>
      <c r="L26" s="46"/>
    </row>
    <row r="27" spans="2:12" ht="18.75" x14ac:dyDescent="0.25">
      <c r="B27" s="36" t="s">
        <v>25</v>
      </c>
      <c r="C27" s="37" t="s">
        <v>64</v>
      </c>
      <c r="D27" s="38" t="s">
        <v>65</v>
      </c>
      <c r="E27" s="39" t="s">
        <v>29</v>
      </c>
      <c r="F27" s="40">
        <v>88</v>
      </c>
      <c r="G27" s="41"/>
      <c r="H27" s="42"/>
      <c r="I27" s="39">
        <f>F27*G27</f>
        <v>0</v>
      </c>
      <c r="J27" s="45">
        <v>2002</v>
      </c>
      <c r="K27" s="39" t="s">
        <v>30</v>
      </c>
      <c r="L27" s="46"/>
    </row>
    <row r="28" spans="2:12" ht="206.25" x14ac:dyDescent="0.25">
      <c r="B28" s="36" t="s">
        <v>66</v>
      </c>
      <c r="C28" s="37"/>
      <c r="D28" s="51" t="s">
        <v>67</v>
      </c>
      <c r="E28" s="39"/>
      <c r="F28" s="40"/>
      <c r="G28" s="41"/>
      <c r="H28" s="42"/>
      <c r="I28" s="39"/>
      <c r="J28" s="36"/>
      <c r="K28" s="39"/>
      <c r="L28" s="43"/>
    </row>
    <row r="29" spans="2:12" ht="18.75" x14ac:dyDescent="0.25">
      <c r="B29" s="36" t="s">
        <v>66</v>
      </c>
      <c r="C29" s="37" t="s">
        <v>68</v>
      </c>
      <c r="D29" s="38" t="s">
        <v>69</v>
      </c>
      <c r="E29" s="39" t="s">
        <v>29</v>
      </c>
      <c r="F29" s="40">
        <v>276</v>
      </c>
      <c r="G29" s="52"/>
      <c r="H29" s="42"/>
      <c r="I29" s="39">
        <f>F29*G29</f>
        <v>0</v>
      </c>
      <c r="J29" s="45">
        <v>2007</v>
      </c>
      <c r="K29" s="39" t="s">
        <v>30</v>
      </c>
      <c r="L29" s="46"/>
    </row>
    <row r="30" spans="2:12" ht="18.75" x14ac:dyDescent="0.25">
      <c r="B30" s="36" t="s">
        <v>66</v>
      </c>
      <c r="C30" s="37" t="s">
        <v>70</v>
      </c>
      <c r="D30" s="38" t="s">
        <v>71</v>
      </c>
      <c r="E30" s="39" t="s">
        <v>29</v>
      </c>
      <c r="F30" s="40">
        <v>207</v>
      </c>
      <c r="G30" s="52"/>
      <c r="H30" s="42"/>
      <c r="I30" s="39">
        <f>G30*F30</f>
        <v>0</v>
      </c>
      <c r="J30" s="45">
        <v>2007</v>
      </c>
      <c r="K30" s="39" t="s">
        <v>30</v>
      </c>
      <c r="L30" s="46"/>
    </row>
    <row r="31" spans="2:12" ht="18.75" x14ac:dyDescent="0.25">
      <c r="B31" s="36" t="s">
        <v>66</v>
      </c>
      <c r="C31" s="37" t="s">
        <v>72</v>
      </c>
      <c r="D31" s="38" t="s">
        <v>73</v>
      </c>
      <c r="E31" s="39" t="s">
        <v>29</v>
      </c>
      <c r="F31" s="40">
        <v>3061</v>
      </c>
      <c r="G31" s="52"/>
      <c r="H31" s="42"/>
      <c r="I31" s="39">
        <f>G31*F31</f>
        <v>0</v>
      </c>
      <c r="J31" s="45">
        <v>2007</v>
      </c>
      <c r="K31" s="39" t="s">
        <v>30</v>
      </c>
      <c r="L31" s="46"/>
    </row>
    <row r="32" spans="2:12" ht="18.75" x14ac:dyDescent="0.25">
      <c r="B32" s="36" t="s">
        <v>66</v>
      </c>
      <c r="C32" s="37" t="s">
        <v>74</v>
      </c>
      <c r="D32" s="38" t="s">
        <v>75</v>
      </c>
      <c r="E32" s="39" t="s">
        <v>29</v>
      </c>
      <c r="F32" s="40">
        <v>6</v>
      </c>
      <c r="G32" s="41"/>
      <c r="H32" s="42"/>
      <c r="I32" s="39">
        <f>G32*F32</f>
        <v>0</v>
      </c>
      <c r="J32" s="45">
        <v>2007</v>
      </c>
      <c r="K32" s="39" t="s">
        <v>30</v>
      </c>
      <c r="L32" s="46"/>
    </row>
    <row r="33" spans="2:12" ht="18.75" x14ac:dyDescent="0.25">
      <c r="B33" s="36" t="s">
        <v>66</v>
      </c>
      <c r="C33" s="37"/>
      <c r="D33" s="44" t="s">
        <v>76</v>
      </c>
      <c r="E33" s="39"/>
      <c r="F33" s="40"/>
      <c r="G33" s="41"/>
      <c r="H33" s="42"/>
      <c r="I33" s="39"/>
      <c r="J33" s="36"/>
      <c r="K33" s="39"/>
      <c r="L33" s="43"/>
    </row>
    <row r="34" spans="2:12" ht="18.75" x14ac:dyDescent="0.25">
      <c r="B34" s="36" t="s">
        <v>66</v>
      </c>
      <c r="C34" s="37" t="s">
        <v>77</v>
      </c>
      <c r="D34" s="38" t="s">
        <v>78</v>
      </c>
      <c r="E34" s="39" t="s">
        <v>29</v>
      </c>
      <c r="F34" s="40">
        <v>305</v>
      </c>
      <c r="G34" s="41"/>
      <c r="H34" s="42"/>
      <c r="I34" s="39">
        <f>G34*F34</f>
        <v>0</v>
      </c>
      <c r="J34" s="45">
        <v>2007</v>
      </c>
      <c r="K34" s="39" t="s">
        <v>30</v>
      </c>
      <c r="L34" s="46"/>
    </row>
    <row r="35" spans="2:12" ht="18.75" x14ac:dyDescent="0.25">
      <c r="B35" s="36" t="s">
        <v>66</v>
      </c>
      <c r="C35" s="37" t="s">
        <v>79</v>
      </c>
      <c r="D35" s="38" t="s">
        <v>71</v>
      </c>
      <c r="E35" s="39" t="s">
        <v>29</v>
      </c>
      <c r="F35" s="40">
        <v>34</v>
      </c>
      <c r="G35" s="41"/>
      <c r="H35" s="42"/>
      <c r="I35" s="39">
        <f>G35*F35</f>
        <v>0</v>
      </c>
      <c r="J35" s="45">
        <v>2007</v>
      </c>
      <c r="K35" s="39" t="s">
        <v>30</v>
      </c>
      <c r="L35" s="46"/>
    </row>
    <row r="36" spans="2:12" ht="18.75" x14ac:dyDescent="0.25">
      <c r="B36" s="36" t="s">
        <v>66</v>
      </c>
      <c r="C36" s="37" t="s">
        <v>80</v>
      </c>
      <c r="D36" s="38" t="s">
        <v>81</v>
      </c>
      <c r="E36" s="39" t="s">
        <v>29</v>
      </c>
      <c r="F36" s="40">
        <v>1391</v>
      </c>
      <c r="G36" s="52"/>
      <c r="H36" s="42"/>
      <c r="I36" s="39">
        <f>G36*F36</f>
        <v>0</v>
      </c>
      <c r="J36" s="45">
        <v>2007</v>
      </c>
      <c r="K36" s="39" t="s">
        <v>30</v>
      </c>
      <c r="L36" s="46"/>
    </row>
    <row r="37" spans="2:12" ht="206.25" x14ac:dyDescent="0.25">
      <c r="B37" s="36" t="s">
        <v>66</v>
      </c>
      <c r="C37" s="37"/>
      <c r="D37" s="50" t="s">
        <v>82</v>
      </c>
      <c r="E37" s="39"/>
      <c r="F37" s="40"/>
      <c r="G37" s="41"/>
      <c r="H37" s="42"/>
      <c r="I37" s="39"/>
      <c r="J37" s="36"/>
      <c r="K37" s="39"/>
      <c r="L37" s="43"/>
    </row>
    <row r="38" spans="2:12" ht="37.5" x14ac:dyDescent="0.25">
      <c r="B38" s="36" t="s">
        <v>66</v>
      </c>
      <c r="C38" s="37" t="s">
        <v>83</v>
      </c>
      <c r="D38" s="38" t="s">
        <v>84</v>
      </c>
      <c r="E38" s="39" t="s">
        <v>29</v>
      </c>
      <c r="F38" s="40">
        <v>108</v>
      </c>
      <c r="G38" s="41"/>
      <c r="H38" s="42"/>
      <c r="I38" s="39">
        <f>G38*F38</f>
        <v>0</v>
      </c>
      <c r="J38" s="45">
        <v>2007</v>
      </c>
      <c r="K38" s="39" t="s">
        <v>30</v>
      </c>
      <c r="L38" s="46"/>
    </row>
    <row r="39" spans="2:12" ht="37.5" x14ac:dyDescent="0.25">
      <c r="B39" s="36" t="s">
        <v>66</v>
      </c>
      <c r="C39" s="37" t="s">
        <v>85</v>
      </c>
      <c r="D39" s="38" t="s">
        <v>86</v>
      </c>
      <c r="E39" s="39" t="s">
        <v>29</v>
      </c>
      <c r="F39" s="40">
        <v>31</v>
      </c>
      <c r="G39" s="41"/>
      <c r="H39" s="42"/>
      <c r="I39" s="39">
        <f>G39*F39</f>
        <v>0</v>
      </c>
      <c r="J39" s="45">
        <v>2007</v>
      </c>
      <c r="K39" s="39" t="s">
        <v>30</v>
      </c>
      <c r="L39" s="46"/>
    </row>
    <row r="40" spans="2:12" ht="18.75" x14ac:dyDescent="0.25">
      <c r="B40" s="36"/>
      <c r="C40" s="37"/>
      <c r="D40" s="44" t="s">
        <v>87</v>
      </c>
      <c r="E40" s="39"/>
      <c r="F40" s="40"/>
      <c r="G40" s="41"/>
      <c r="H40" s="42"/>
      <c r="I40" s="39"/>
      <c r="J40" s="36"/>
      <c r="K40" s="39"/>
      <c r="L40" s="43"/>
    </row>
    <row r="41" spans="2:12" ht="37.5" x14ac:dyDescent="0.25">
      <c r="B41" s="36" t="s">
        <v>66</v>
      </c>
      <c r="C41" s="37" t="s">
        <v>88</v>
      </c>
      <c r="D41" s="38" t="s">
        <v>89</v>
      </c>
      <c r="E41" s="39" t="s">
        <v>29</v>
      </c>
      <c r="F41" s="40">
        <v>929</v>
      </c>
      <c r="G41" s="41"/>
      <c r="H41" s="42"/>
      <c r="I41" s="39">
        <f>G41*F41</f>
        <v>0</v>
      </c>
      <c r="J41" s="45">
        <v>2007</v>
      </c>
      <c r="K41" s="39" t="s">
        <v>30</v>
      </c>
      <c r="L41" s="46"/>
    </row>
    <row r="42" spans="2:12" ht="187.5" x14ac:dyDescent="0.25">
      <c r="B42" s="36" t="s">
        <v>90</v>
      </c>
      <c r="C42" s="37"/>
      <c r="D42" s="51" t="s">
        <v>91</v>
      </c>
      <c r="E42" s="39"/>
      <c r="F42" s="40"/>
      <c r="G42" s="41"/>
      <c r="H42" s="42"/>
      <c r="I42" s="39"/>
      <c r="J42" s="36"/>
      <c r="K42" s="39"/>
      <c r="L42" s="43"/>
    </row>
    <row r="43" spans="2:12" ht="18.75" x14ac:dyDescent="0.25">
      <c r="B43" s="36" t="s">
        <v>90</v>
      </c>
      <c r="C43" s="37" t="s">
        <v>92</v>
      </c>
      <c r="D43" s="38" t="s">
        <v>93</v>
      </c>
      <c r="E43" s="39" t="s">
        <v>60</v>
      </c>
      <c r="F43" s="40">
        <v>307</v>
      </c>
      <c r="G43" s="41"/>
      <c r="H43" s="42"/>
      <c r="I43" s="39">
        <f>G43*F43</f>
        <v>0</v>
      </c>
      <c r="J43" s="47" t="s">
        <v>94</v>
      </c>
      <c r="K43" s="39" t="s">
        <v>30</v>
      </c>
      <c r="L43" s="48"/>
    </row>
    <row r="44" spans="2:12" ht="168.75" x14ac:dyDescent="0.25">
      <c r="B44" s="36" t="s">
        <v>95</v>
      </c>
      <c r="C44" s="37"/>
      <c r="D44" s="51" t="s">
        <v>96</v>
      </c>
      <c r="E44" s="39"/>
      <c r="F44" s="40"/>
      <c r="G44" s="41"/>
      <c r="H44" s="42"/>
      <c r="I44" s="39"/>
      <c r="J44" s="36"/>
      <c r="K44" s="39"/>
      <c r="L44" s="43"/>
    </row>
    <row r="45" spans="2:12" ht="18.75" x14ac:dyDescent="0.25">
      <c r="B45" s="36" t="s">
        <v>95</v>
      </c>
      <c r="C45" s="37" t="s">
        <v>97</v>
      </c>
      <c r="D45" s="38" t="s">
        <v>98</v>
      </c>
      <c r="E45" s="39" t="s">
        <v>29</v>
      </c>
      <c r="F45" s="40">
        <v>135</v>
      </c>
      <c r="G45" s="41"/>
      <c r="H45" s="42"/>
      <c r="I45" s="39">
        <f>G45*F45</f>
        <v>0</v>
      </c>
      <c r="J45" s="45">
        <v>2011</v>
      </c>
      <c r="K45" s="39" t="s">
        <v>30</v>
      </c>
      <c r="L45" s="46"/>
    </row>
    <row r="46" spans="2:12" ht="112.5" x14ac:dyDescent="0.25">
      <c r="B46" s="36" t="s">
        <v>95</v>
      </c>
      <c r="C46" s="37"/>
      <c r="D46" s="44" t="s">
        <v>99</v>
      </c>
      <c r="E46" s="39"/>
      <c r="F46" s="40"/>
      <c r="G46" s="41"/>
      <c r="H46" s="42"/>
      <c r="I46" s="39"/>
      <c r="J46" s="36"/>
      <c r="K46" s="39"/>
      <c r="L46" s="43"/>
    </row>
    <row r="47" spans="2:12" ht="18.75" x14ac:dyDescent="0.25">
      <c r="B47" s="36" t="s">
        <v>95</v>
      </c>
      <c r="C47" s="37" t="s">
        <v>100</v>
      </c>
      <c r="D47" s="38" t="s">
        <v>101</v>
      </c>
      <c r="E47" s="39" t="s">
        <v>102</v>
      </c>
      <c r="F47" s="40">
        <v>5</v>
      </c>
      <c r="G47" s="41"/>
      <c r="H47" s="42"/>
      <c r="I47" s="39">
        <f>G47*F47</f>
        <v>0</v>
      </c>
      <c r="J47" s="45">
        <v>2011</v>
      </c>
      <c r="K47" s="39" t="s">
        <v>30</v>
      </c>
      <c r="L47" s="46"/>
    </row>
    <row r="48" spans="2:12" ht="168.75" x14ac:dyDescent="0.25">
      <c r="B48" s="36" t="s">
        <v>103</v>
      </c>
      <c r="C48" s="37"/>
      <c r="D48" s="50" t="s">
        <v>104</v>
      </c>
      <c r="E48" s="39"/>
      <c r="F48" s="40"/>
      <c r="G48" s="41"/>
      <c r="H48" s="42"/>
      <c r="I48" s="39"/>
      <c r="J48" s="36"/>
      <c r="K48" s="39"/>
      <c r="L48" s="43"/>
    </row>
    <row r="49" spans="2:12" ht="18.75" x14ac:dyDescent="0.25">
      <c r="B49" s="36" t="s">
        <v>103</v>
      </c>
      <c r="C49" s="37" t="s">
        <v>105</v>
      </c>
      <c r="D49" s="53" t="s">
        <v>106</v>
      </c>
      <c r="E49" s="39" t="s">
        <v>60</v>
      </c>
      <c r="F49" s="40">
        <v>8</v>
      </c>
      <c r="G49" s="41"/>
      <c r="H49" s="42"/>
      <c r="I49" s="39">
        <f>F49*G49</f>
        <v>0</v>
      </c>
      <c r="J49" s="36" t="s">
        <v>107</v>
      </c>
      <c r="K49" s="39" t="s">
        <v>108</v>
      </c>
      <c r="L49" s="43"/>
    </row>
    <row r="50" spans="2:12" ht="93.75" x14ac:dyDescent="0.25">
      <c r="B50" s="36" t="s">
        <v>103</v>
      </c>
      <c r="C50" s="37"/>
      <c r="D50" s="44" t="s">
        <v>109</v>
      </c>
      <c r="E50" s="39"/>
      <c r="F50" s="40"/>
      <c r="G50" s="41"/>
      <c r="H50" s="42"/>
      <c r="I50" s="39"/>
      <c r="J50" s="36"/>
      <c r="K50" s="39"/>
      <c r="L50" s="43"/>
    </row>
    <row r="51" spans="2:12" ht="18.75" x14ac:dyDescent="0.25">
      <c r="B51" s="36" t="s">
        <v>103</v>
      </c>
      <c r="C51" s="37" t="s">
        <v>110</v>
      </c>
      <c r="D51" s="53" t="s">
        <v>111</v>
      </c>
      <c r="E51" s="39" t="s">
        <v>60</v>
      </c>
      <c r="F51" s="40">
        <v>5</v>
      </c>
      <c r="G51" s="41"/>
      <c r="H51" s="42"/>
      <c r="I51" s="39">
        <f>F51*G51</f>
        <v>0</v>
      </c>
      <c r="J51" s="36" t="s">
        <v>107</v>
      </c>
      <c r="K51" s="39" t="s">
        <v>108</v>
      </c>
      <c r="L51" s="43"/>
    </row>
    <row r="52" spans="2:12" ht="56.25" x14ac:dyDescent="0.25">
      <c r="B52" s="36" t="s">
        <v>112</v>
      </c>
      <c r="C52" s="37"/>
      <c r="D52" s="50" t="s">
        <v>113</v>
      </c>
      <c r="E52" s="39"/>
      <c r="F52" s="40"/>
      <c r="G52" s="41"/>
      <c r="H52" s="42"/>
      <c r="I52" s="39"/>
      <c r="J52" s="36"/>
      <c r="K52" s="39"/>
      <c r="L52" s="43"/>
    </row>
    <row r="53" spans="2:12" ht="75" x14ac:dyDescent="0.25">
      <c r="B53" s="36" t="s">
        <v>112</v>
      </c>
      <c r="C53" s="37" t="s">
        <v>114</v>
      </c>
      <c r="D53" s="38" t="s">
        <v>115</v>
      </c>
      <c r="E53" s="39" t="s">
        <v>29</v>
      </c>
      <c r="F53" s="40">
        <v>2750</v>
      </c>
      <c r="G53" s="41"/>
      <c r="H53" s="42"/>
      <c r="I53" s="39">
        <f>F53*G53</f>
        <v>0</v>
      </c>
      <c r="J53" s="54">
        <v>2019</v>
      </c>
      <c r="K53" s="39" t="s">
        <v>30</v>
      </c>
      <c r="L53" s="55"/>
    </row>
    <row r="54" spans="2:12" ht="75" x14ac:dyDescent="0.25">
      <c r="B54" s="36" t="s">
        <v>112</v>
      </c>
      <c r="C54" s="37"/>
      <c r="D54" s="44" t="s">
        <v>116</v>
      </c>
      <c r="E54" s="39"/>
      <c r="F54" s="40"/>
      <c r="G54" s="41"/>
      <c r="H54" s="42"/>
      <c r="I54" s="39"/>
      <c r="J54" s="36"/>
      <c r="K54" s="39"/>
      <c r="L54" s="43"/>
    </row>
    <row r="55" spans="2:12" ht="18.75" x14ac:dyDescent="0.25">
      <c r="B55" s="36" t="s">
        <v>112</v>
      </c>
      <c r="C55" s="37" t="s">
        <v>117</v>
      </c>
      <c r="D55" s="38" t="s">
        <v>118</v>
      </c>
      <c r="E55" s="39" t="s">
        <v>29</v>
      </c>
      <c r="F55" s="40">
        <v>3356</v>
      </c>
      <c r="G55" s="41"/>
      <c r="H55" s="42"/>
      <c r="I55" s="39">
        <f>F55*G55</f>
        <v>0</v>
      </c>
      <c r="J55" s="45">
        <v>2021</v>
      </c>
      <c r="K55" s="39" t="s">
        <v>30</v>
      </c>
      <c r="L55" s="46"/>
    </row>
    <row r="56" spans="2:12" ht="225" x14ac:dyDescent="0.25">
      <c r="B56" s="36" t="s">
        <v>119</v>
      </c>
      <c r="C56" s="37"/>
      <c r="D56" s="44" t="s">
        <v>120</v>
      </c>
      <c r="E56" s="39"/>
      <c r="F56" s="40"/>
      <c r="G56" s="41"/>
      <c r="H56" s="42"/>
      <c r="I56" s="39"/>
      <c r="J56" s="36"/>
      <c r="K56" s="39"/>
      <c r="L56" s="43"/>
    </row>
    <row r="57" spans="2:12" ht="18.75" x14ac:dyDescent="0.25">
      <c r="B57" s="36" t="s">
        <v>119</v>
      </c>
      <c r="C57" s="37" t="s">
        <v>121</v>
      </c>
      <c r="D57" s="38" t="s">
        <v>122</v>
      </c>
      <c r="E57" s="39" t="s">
        <v>29</v>
      </c>
      <c r="F57" s="40">
        <v>2485</v>
      </c>
      <c r="G57" s="56"/>
      <c r="H57" s="57"/>
      <c r="I57" s="39">
        <f>F57*G57</f>
        <v>0</v>
      </c>
      <c r="J57" s="45">
        <v>2017</v>
      </c>
      <c r="K57" s="39" t="s">
        <v>30</v>
      </c>
      <c r="L57" s="46"/>
    </row>
    <row r="58" spans="2:12" ht="112.5" x14ac:dyDescent="0.25">
      <c r="B58" s="36" t="s">
        <v>119</v>
      </c>
      <c r="C58" s="37"/>
      <c r="D58" s="44" t="s">
        <v>123</v>
      </c>
      <c r="E58" s="39"/>
      <c r="F58" s="40"/>
      <c r="G58" s="56"/>
      <c r="H58" s="57"/>
      <c r="I58" s="39"/>
      <c r="J58" s="45"/>
      <c r="K58" s="39"/>
      <c r="L58" s="46"/>
    </row>
    <row r="59" spans="2:12" ht="18.75" x14ac:dyDescent="0.25">
      <c r="B59" s="36" t="s">
        <v>119</v>
      </c>
      <c r="C59" s="37" t="s">
        <v>124</v>
      </c>
      <c r="D59" s="38" t="s">
        <v>125</v>
      </c>
      <c r="E59" s="39" t="s">
        <v>60</v>
      </c>
      <c r="F59" s="40">
        <v>1696</v>
      </c>
      <c r="G59" s="56"/>
      <c r="H59" s="57"/>
      <c r="I59" s="39">
        <f>F59*G59</f>
        <v>0</v>
      </c>
      <c r="J59" s="45">
        <v>2017</v>
      </c>
      <c r="K59" s="39" t="s">
        <v>30</v>
      </c>
      <c r="L59" s="46"/>
    </row>
    <row r="60" spans="2:12" ht="112.5" x14ac:dyDescent="0.25">
      <c r="B60" s="36" t="s">
        <v>126</v>
      </c>
      <c r="C60" s="37"/>
      <c r="D60" s="44" t="s">
        <v>127</v>
      </c>
      <c r="E60" s="39"/>
      <c r="F60" s="40"/>
      <c r="G60" s="41"/>
      <c r="H60" s="42"/>
      <c r="I60" s="39"/>
      <c r="J60" s="45"/>
      <c r="K60" s="39"/>
      <c r="L60" s="46"/>
    </row>
    <row r="61" spans="2:12" ht="18.75" x14ac:dyDescent="0.25">
      <c r="B61" s="36" t="s">
        <v>126</v>
      </c>
      <c r="C61" s="37" t="s">
        <v>128</v>
      </c>
      <c r="D61" s="38" t="s">
        <v>129</v>
      </c>
      <c r="E61" s="39" t="s">
        <v>29</v>
      </c>
      <c r="F61" s="40">
        <v>253</v>
      </c>
      <c r="G61" s="41"/>
      <c r="H61" s="42"/>
      <c r="I61" s="39">
        <f>F61*G61</f>
        <v>0</v>
      </c>
      <c r="J61" s="45">
        <v>2017</v>
      </c>
      <c r="K61" s="39" t="s">
        <v>30</v>
      </c>
      <c r="L61" s="46"/>
    </row>
    <row r="62" spans="2:12" ht="187.5" x14ac:dyDescent="0.25">
      <c r="B62" s="36" t="s">
        <v>130</v>
      </c>
      <c r="C62" s="37"/>
      <c r="D62" s="44" t="s">
        <v>131</v>
      </c>
      <c r="E62" s="39"/>
      <c r="F62" s="40"/>
      <c r="G62" s="41"/>
      <c r="H62" s="42"/>
      <c r="I62" s="39"/>
      <c r="J62" s="45"/>
      <c r="K62" s="39"/>
      <c r="L62" s="46"/>
    </row>
    <row r="63" spans="2:12" ht="18.75" x14ac:dyDescent="0.25">
      <c r="B63" s="36" t="s">
        <v>130</v>
      </c>
      <c r="C63" s="37" t="s">
        <v>132</v>
      </c>
      <c r="D63" s="38" t="s">
        <v>133</v>
      </c>
      <c r="E63" s="39" t="s">
        <v>102</v>
      </c>
      <c r="F63" s="40">
        <v>3</v>
      </c>
      <c r="G63" s="41"/>
      <c r="H63" s="42"/>
      <c r="I63" s="39">
        <f t="shared" ref="I63:I120" si="0">F63*G63</f>
        <v>0</v>
      </c>
      <c r="J63" s="45">
        <v>2031</v>
      </c>
      <c r="K63" s="39" t="s">
        <v>30</v>
      </c>
      <c r="L63" s="46"/>
    </row>
    <row r="64" spans="2:12" ht="18.75" x14ac:dyDescent="0.25">
      <c r="B64" s="36" t="s">
        <v>130</v>
      </c>
      <c r="C64" s="37" t="s">
        <v>134</v>
      </c>
      <c r="D64" s="38" t="s">
        <v>135</v>
      </c>
      <c r="E64" s="39" t="s">
        <v>102</v>
      </c>
      <c r="F64" s="40">
        <v>2</v>
      </c>
      <c r="G64" s="41"/>
      <c r="H64" s="42"/>
      <c r="I64" s="39">
        <f t="shared" si="0"/>
        <v>0</v>
      </c>
      <c r="J64" s="45">
        <v>2031</v>
      </c>
      <c r="K64" s="39" t="s">
        <v>30</v>
      </c>
      <c r="L64" s="46"/>
    </row>
    <row r="65" spans="2:12" ht="18.75" x14ac:dyDescent="0.25">
      <c r="B65" s="36" t="s">
        <v>130</v>
      </c>
      <c r="C65" s="37" t="s">
        <v>136</v>
      </c>
      <c r="D65" s="38" t="s">
        <v>137</v>
      </c>
      <c r="E65" s="39" t="s">
        <v>102</v>
      </c>
      <c r="F65" s="40">
        <v>1</v>
      </c>
      <c r="G65" s="41"/>
      <c r="H65" s="42"/>
      <c r="I65" s="39">
        <f t="shared" si="0"/>
        <v>0</v>
      </c>
      <c r="J65" s="45">
        <v>2031</v>
      </c>
      <c r="K65" s="39" t="s">
        <v>30</v>
      </c>
      <c r="L65" s="46"/>
    </row>
    <row r="66" spans="2:12" ht="18.75" x14ac:dyDescent="0.25">
      <c r="B66" s="36" t="s">
        <v>130</v>
      </c>
      <c r="C66" s="37" t="s">
        <v>138</v>
      </c>
      <c r="D66" s="38" t="s">
        <v>139</v>
      </c>
      <c r="E66" s="39" t="s">
        <v>102</v>
      </c>
      <c r="F66" s="40">
        <v>2</v>
      </c>
      <c r="G66" s="41"/>
      <c r="H66" s="42"/>
      <c r="I66" s="39">
        <f t="shared" si="0"/>
        <v>0</v>
      </c>
      <c r="J66" s="45">
        <v>2031</v>
      </c>
      <c r="K66" s="39" t="s">
        <v>30</v>
      </c>
      <c r="L66" s="46"/>
    </row>
    <row r="67" spans="2:12" ht="18.75" x14ac:dyDescent="0.25">
      <c r="B67" s="36" t="s">
        <v>130</v>
      </c>
      <c r="C67" s="37" t="s">
        <v>140</v>
      </c>
      <c r="D67" s="38" t="s">
        <v>141</v>
      </c>
      <c r="E67" s="39" t="s">
        <v>102</v>
      </c>
      <c r="F67" s="40">
        <v>1</v>
      </c>
      <c r="G67" s="41"/>
      <c r="H67" s="42"/>
      <c r="I67" s="39">
        <f t="shared" si="0"/>
        <v>0</v>
      </c>
      <c r="J67" s="45">
        <v>2031</v>
      </c>
      <c r="K67" s="39" t="s">
        <v>30</v>
      </c>
      <c r="L67" s="46"/>
    </row>
    <row r="68" spans="2:12" ht="18.75" x14ac:dyDescent="0.25">
      <c r="B68" s="36" t="s">
        <v>130</v>
      </c>
      <c r="C68" s="37" t="s">
        <v>142</v>
      </c>
      <c r="D68" s="38" t="s">
        <v>143</v>
      </c>
      <c r="E68" s="39" t="s">
        <v>102</v>
      </c>
      <c r="F68" s="40">
        <v>1</v>
      </c>
      <c r="G68" s="41"/>
      <c r="H68" s="42"/>
      <c r="I68" s="39">
        <f t="shared" si="0"/>
        <v>0</v>
      </c>
      <c r="J68" s="45">
        <v>2031</v>
      </c>
      <c r="K68" s="39" t="s">
        <v>30</v>
      </c>
      <c r="L68" s="46"/>
    </row>
    <row r="69" spans="2:12" ht="18.75" x14ac:dyDescent="0.25">
      <c r="B69" s="36" t="s">
        <v>130</v>
      </c>
      <c r="C69" s="37" t="s">
        <v>144</v>
      </c>
      <c r="D69" s="38" t="s">
        <v>145</v>
      </c>
      <c r="E69" s="39" t="s">
        <v>102</v>
      </c>
      <c r="F69" s="40">
        <v>4</v>
      </c>
      <c r="G69" s="41"/>
      <c r="H69" s="42"/>
      <c r="I69" s="39">
        <f t="shared" si="0"/>
        <v>0</v>
      </c>
      <c r="J69" s="45">
        <v>2031</v>
      </c>
      <c r="K69" s="39" t="s">
        <v>30</v>
      </c>
      <c r="L69" s="46"/>
    </row>
    <row r="70" spans="2:12" ht="18.75" x14ac:dyDescent="0.25">
      <c r="B70" s="36" t="s">
        <v>130</v>
      </c>
      <c r="C70" s="37" t="s">
        <v>146</v>
      </c>
      <c r="D70" s="38" t="s">
        <v>147</v>
      </c>
      <c r="E70" s="39" t="s">
        <v>102</v>
      </c>
      <c r="F70" s="40">
        <v>1</v>
      </c>
      <c r="G70" s="41"/>
      <c r="H70" s="42"/>
      <c r="I70" s="39">
        <f t="shared" si="0"/>
        <v>0</v>
      </c>
      <c r="J70" s="45">
        <v>2031</v>
      </c>
      <c r="K70" s="39" t="s">
        <v>30</v>
      </c>
      <c r="L70" s="46"/>
    </row>
    <row r="71" spans="2:12" ht="18.75" x14ac:dyDescent="0.25">
      <c r="B71" s="36" t="s">
        <v>130</v>
      </c>
      <c r="C71" s="37" t="s">
        <v>148</v>
      </c>
      <c r="D71" s="38" t="s">
        <v>149</v>
      </c>
      <c r="E71" s="39" t="s">
        <v>102</v>
      </c>
      <c r="F71" s="40">
        <v>1</v>
      </c>
      <c r="G71" s="41"/>
      <c r="H71" s="42"/>
      <c r="I71" s="39">
        <f t="shared" si="0"/>
        <v>0</v>
      </c>
      <c r="J71" s="45">
        <v>2031</v>
      </c>
      <c r="K71" s="39" t="s">
        <v>30</v>
      </c>
      <c r="L71" s="46"/>
    </row>
    <row r="72" spans="2:12" ht="18.75" x14ac:dyDescent="0.25">
      <c r="B72" s="36" t="s">
        <v>130</v>
      </c>
      <c r="C72" s="37" t="s">
        <v>150</v>
      </c>
      <c r="D72" s="38" t="s">
        <v>151</v>
      </c>
      <c r="E72" s="39" t="s">
        <v>102</v>
      </c>
      <c r="F72" s="40">
        <v>1</v>
      </c>
      <c r="G72" s="41"/>
      <c r="H72" s="42"/>
      <c r="I72" s="39">
        <f t="shared" si="0"/>
        <v>0</v>
      </c>
      <c r="J72" s="45">
        <v>2031</v>
      </c>
      <c r="K72" s="39" t="s">
        <v>30</v>
      </c>
      <c r="L72" s="46"/>
    </row>
    <row r="73" spans="2:12" ht="18.75" x14ac:dyDescent="0.25">
      <c r="B73" s="36" t="s">
        <v>130</v>
      </c>
      <c r="C73" s="37" t="s">
        <v>152</v>
      </c>
      <c r="D73" s="38" t="s">
        <v>153</v>
      </c>
      <c r="E73" s="39" t="s">
        <v>102</v>
      </c>
      <c r="F73" s="40">
        <v>1</v>
      </c>
      <c r="G73" s="41"/>
      <c r="H73" s="42"/>
      <c r="I73" s="39">
        <f t="shared" si="0"/>
        <v>0</v>
      </c>
      <c r="J73" s="45">
        <v>2031</v>
      </c>
      <c r="K73" s="39" t="s">
        <v>30</v>
      </c>
      <c r="L73" s="46"/>
    </row>
    <row r="74" spans="2:12" ht="18.75" x14ac:dyDescent="0.25">
      <c r="B74" s="36" t="s">
        <v>130</v>
      </c>
      <c r="C74" s="37" t="s">
        <v>154</v>
      </c>
      <c r="D74" s="38" t="s">
        <v>155</v>
      </c>
      <c r="E74" s="39" t="s">
        <v>102</v>
      </c>
      <c r="F74" s="40">
        <v>2</v>
      </c>
      <c r="G74" s="41"/>
      <c r="H74" s="42"/>
      <c r="I74" s="39">
        <f t="shared" si="0"/>
        <v>0</v>
      </c>
      <c r="J74" s="45">
        <v>2031</v>
      </c>
      <c r="K74" s="39" t="s">
        <v>30</v>
      </c>
      <c r="L74" s="46"/>
    </row>
    <row r="75" spans="2:12" ht="18.75" x14ac:dyDescent="0.25">
      <c r="B75" s="36" t="s">
        <v>130</v>
      </c>
      <c r="C75" s="37" t="s">
        <v>156</v>
      </c>
      <c r="D75" s="38" t="s">
        <v>157</v>
      </c>
      <c r="E75" s="39" t="s">
        <v>102</v>
      </c>
      <c r="F75" s="40">
        <v>3</v>
      </c>
      <c r="G75" s="41"/>
      <c r="H75" s="42"/>
      <c r="I75" s="39">
        <f t="shared" si="0"/>
        <v>0</v>
      </c>
      <c r="J75" s="45">
        <v>2031</v>
      </c>
      <c r="K75" s="39" t="s">
        <v>30</v>
      </c>
      <c r="L75" s="46"/>
    </row>
    <row r="76" spans="2:12" ht="18.75" x14ac:dyDescent="0.25">
      <c r="B76" s="36" t="s">
        <v>130</v>
      </c>
      <c r="C76" s="37" t="s">
        <v>158</v>
      </c>
      <c r="D76" s="38" t="s">
        <v>159</v>
      </c>
      <c r="E76" s="39" t="s">
        <v>102</v>
      </c>
      <c r="F76" s="40">
        <v>12</v>
      </c>
      <c r="G76" s="41"/>
      <c r="H76" s="42"/>
      <c r="I76" s="39">
        <f t="shared" si="0"/>
        <v>0</v>
      </c>
      <c r="J76" s="45">
        <v>2031</v>
      </c>
      <c r="K76" s="39" t="s">
        <v>30</v>
      </c>
      <c r="L76" s="46"/>
    </row>
    <row r="77" spans="2:12" ht="18.75" x14ac:dyDescent="0.25">
      <c r="B77" s="36" t="s">
        <v>130</v>
      </c>
      <c r="C77" s="37" t="s">
        <v>160</v>
      </c>
      <c r="D77" s="38" t="s">
        <v>161</v>
      </c>
      <c r="E77" s="39" t="s">
        <v>102</v>
      </c>
      <c r="F77" s="40">
        <v>11</v>
      </c>
      <c r="G77" s="41"/>
      <c r="H77" s="42"/>
      <c r="I77" s="39">
        <f t="shared" si="0"/>
        <v>0</v>
      </c>
      <c r="J77" s="45">
        <v>2031</v>
      </c>
      <c r="K77" s="39" t="s">
        <v>30</v>
      </c>
      <c r="L77" s="46"/>
    </row>
    <row r="78" spans="2:12" ht="18.75" x14ac:dyDescent="0.25">
      <c r="B78" s="36" t="s">
        <v>130</v>
      </c>
      <c r="C78" s="37" t="s">
        <v>162</v>
      </c>
      <c r="D78" s="38" t="s">
        <v>163</v>
      </c>
      <c r="E78" s="39" t="s">
        <v>102</v>
      </c>
      <c r="F78" s="40">
        <v>8</v>
      </c>
      <c r="G78" s="41"/>
      <c r="H78" s="42"/>
      <c r="I78" s="39">
        <f t="shared" si="0"/>
        <v>0</v>
      </c>
      <c r="J78" s="45">
        <v>2031</v>
      </c>
      <c r="K78" s="39" t="s">
        <v>30</v>
      </c>
      <c r="L78" s="46"/>
    </row>
    <row r="79" spans="2:12" ht="18.75" x14ac:dyDescent="0.25">
      <c r="B79" s="36" t="s">
        <v>130</v>
      </c>
      <c r="C79" s="37" t="s">
        <v>164</v>
      </c>
      <c r="D79" s="38" t="s">
        <v>165</v>
      </c>
      <c r="E79" s="39" t="s">
        <v>102</v>
      </c>
      <c r="F79" s="40">
        <v>19</v>
      </c>
      <c r="G79" s="41"/>
      <c r="H79" s="42"/>
      <c r="I79" s="39">
        <f t="shared" si="0"/>
        <v>0</v>
      </c>
      <c r="J79" s="45">
        <v>2031</v>
      </c>
      <c r="K79" s="39" t="s">
        <v>30</v>
      </c>
      <c r="L79" s="46"/>
    </row>
    <row r="80" spans="2:12" ht="18.75" x14ac:dyDescent="0.25">
      <c r="B80" s="36" t="s">
        <v>130</v>
      </c>
      <c r="C80" s="37" t="s">
        <v>166</v>
      </c>
      <c r="D80" s="38" t="s">
        <v>167</v>
      </c>
      <c r="E80" s="39" t="s">
        <v>102</v>
      </c>
      <c r="F80" s="40">
        <v>4</v>
      </c>
      <c r="G80" s="41"/>
      <c r="H80" s="42"/>
      <c r="I80" s="39">
        <f t="shared" si="0"/>
        <v>0</v>
      </c>
      <c r="J80" s="45">
        <v>2031</v>
      </c>
      <c r="K80" s="39" t="s">
        <v>30</v>
      </c>
      <c r="L80" s="46"/>
    </row>
    <row r="81" spans="2:12" ht="18.75" x14ac:dyDescent="0.25">
      <c r="B81" s="36" t="s">
        <v>130</v>
      </c>
      <c r="C81" s="37" t="s">
        <v>168</v>
      </c>
      <c r="D81" s="38" t="s">
        <v>169</v>
      </c>
      <c r="E81" s="39" t="s">
        <v>102</v>
      </c>
      <c r="F81" s="40">
        <v>2</v>
      </c>
      <c r="G81" s="41"/>
      <c r="H81" s="42"/>
      <c r="I81" s="39">
        <f t="shared" si="0"/>
        <v>0</v>
      </c>
      <c r="J81" s="45">
        <v>2031</v>
      </c>
      <c r="K81" s="39" t="s">
        <v>30</v>
      </c>
      <c r="L81" s="46"/>
    </row>
    <row r="82" spans="2:12" ht="18.75" x14ac:dyDescent="0.25">
      <c r="B82" s="36" t="s">
        <v>130</v>
      </c>
      <c r="C82" s="37" t="s">
        <v>170</v>
      </c>
      <c r="D82" s="38" t="s">
        <v>171</v>
      </c>
      <c r="E82" s="39" t="s">
        <v>102</v>
      </c>
      <c r="F82" s="40">
        <v>3</v>
      </c>
      <c r="G82" s="41"/>
      <c r="H82" s="42"/>
      <c r="I82" s="39">
        <f t="shared" si="0"/>
        <v>0</v>
      </c>
      <c r="J82" s="45">
        <v>2031</v>
      </c>
      <c r="K82" s="39" t="s">
        <v>30</v>
      </c>
      <c r="L82" s="46"/>
    </row>
    <row r="83" spans="2:12" ht="18.75" x14ac:dyDescent="0.25">
      <c r="B83" s="36" t="s">
        <v>130</v>
      </c>
      <c r="C83" s="37" t="s">
        <v>172</v>
      </c>
      <c r="D83" s="38" t="s">
        <v>173</v>
      </c>
      <c r="E83" s="39" t="s">
        <v>102</v>
      </c>
      <c r="F83" s="40">
        <v>1</v>
      </c>
      <c r="G83" s="41"/>
      <c r="H83" s="42"/>
      <c r="I83" s="39">
        <f t="shared" si="0"/>
        <v>0</v>
      </c>
      <c r="J83" s="45">
        <v>2031</v>
      </c>
      <c r="K83" s="39" t="s">
        <v>30</v>
      </c>
      <c r="L83" s="46"/>
    </row>
    <row r="84" spans="2:12" ht="18.75" x14ac:dyDescent="0.25">
      <c r="B84" s="36" t="s">
        <v>130</v>
      </c>
      <c r="C84" s="37" t="s">
        <v>174</v>
      </c>
      <c r="D84" s="38" t="s">
        <v>175</v>
      </c>
      <c r="E84" s="39" t="s">
        <v>102</v>
      </c>
      <c r="F84" s="40">
        <v>1</v>
      </c>
      <c r="G84" s="41"/>
      <c r="H84" s="42"/>
      <c r="I84" s="39">
        <f t="shared" si="0"/>
        <v>0</v>
      </c>
      <c r="J84" s="45">
        <v>2031</v>
      </c>
      <c r="K84" s="39" t="s">
        <v>30</v>
      </c>
      <c r="L84" s="46"/>
    </row>
    <row r="85" spans="2:12" ht="18.75" x14ac:dyDescent="0.25">
      <c r="B85" s="36" t="s">
        <v>130</v>
      </c>
      <c r="C85" s="37" t="s">
        <v>176</v>
      </c>
      <c r="D85" s="38" t="s">
        <v>177</v>
      </c>
      <c r="E85" s="39" t="s">
        <v>102</v>
      </c>
      <c r="F85" s="40">
        <v>1</v>
      </c>
      <c r="G85" s="41"/>
      <c r="H85" s="42"/>
      <c r="I85" s="39">
        <f t="shared" si="0"/>
        <v>0</v>
      </c>
      <c r="J85" s="45">
        <v>2031</v>
      </c>
      <c r="K85" s="39" t="s">
        <v>30</v>
      </c>
      <c r="L85" s="46"/>
    </row>
    <row r="86" spans="2:12" ht="18.75" x14ac:dyDescent="0.25">
      <c r="B86" s="36" t="s">
        <v>130</v>
      </c>
      <c r="C86" s="37" t="s">
        <v>178</v>
      </c>
      <c r="D86" s="38" t="s">
        <v>179</v>
      </c>
      <c r="E86" s="39" t="s">
        <v>102</v>
      </c>
      <c r="F86" s="40">
        <v>1</v>
      </c>
      <c r="G86" s="41"/>
      <c r="H86" s="42"/>
      <c r="I86" s="39">
        <f t="shared" si="0"/>
        <v>0</v>
      </c>
      <c r="J86" s="45">
        <v>2031</v>
      </c>
      <c r="K86" s="39" t="s">
        <v>30</v>
      </c>
      <c r="L86" s="46"/>
    </row>
    <row r="87" spans="2:12" ht="18.75" x14ac:dyDescent="0.25">
      <c r="B87" s="36" t="s">
        <v>130</v>
      </c>
      <c r="C87" s="37" t="s">
        <v>180</v>
      </c>
      <c r="D87" s="38" t="s">
        <v>181</v>
      </c>
      <c r="E87" s="39" t="s">
        <v>102</v>
      </c>
      <c r="F87" s="40">
        <v>4</v>
      </c>
      <c r="G87" s="41"/>
      <c r="H87" s="42"/>
      <c r="I87" s="39">
        <f t="shared" si="0"/>
        <v>0</v>
      </c>
      <c r="J87" s="45">
        <v>2031</v>
      </c>
      <c r="K87" s="39" t="s">
        <v>30</v>
      </c>
      <c r="L87" s="46"/>
    </row>
    <row r="88" spans="2:12" ht="18.75" x14ac:dyDescent="0.25">
      <c r="B88" s="36" t="s">
        <v>130</v>
      </c>
      <c r="C88" s="37" t="s">
        <v>182</v>
      </c>
      <c r="D88" s="38" t="s">
        <v>183</v>
      </c>
      <c r="E88" s="39" t="s">
        <v>102</v>
      </c>
      <c r="F88" s="40">
        <v>1</v>
      </c>
      <c r="G88" s="41"/>
      <c r="H88" s="42"/>
      <c r="I88" s="39">
        <f t="shared" si="0"/>
        <v>0</v>
      </c>
      <c r="J88" s="45">
        <v>2031</v>
      </c>
      <c r="K88" s="39" t="s">
        <v>30</v>
      </c>
      <c r="L88" s="46"/>
    </row>
    <row r="89" spans="2:12" ht="18.75" x14ac:dyDescent="0.25">
      <c r="B89" s="36" t="s">
        <v>130</v>
      </c>
      <c r="C89" s="37" t="s">
        <v>184</v>
      </c>
      <c r="D89" s="38" t="s">
        <v>185</v>
      </c>
      <c r="E89" s="39" t="s">
        <v>102</v>
      </c>
      <c r="F89" s="40">
        <v>5</v>
      </c>
      <c r="G89" s="41"/>
      <c r="H89" s="42"/>
      <c r="I89" s="39">
        <f t="shared" si="0"/>
        <v>0</v>
      </c>
      <c r="J89" s="45">
        <v>2031</v>
      </c>
      <c r="K89" s="39" t="s">
        <v>30</v>
      </c>
      <c r="L89" s="46"/>
    </row>
    <row r="90" spans="2:12" ht="18.75" x14ac:dyDescent="0.25">
      <c r="B90" s="36" t="s">
        <v>130</v>
      </c>
      <c r="C90" s="37" t="s">
        <v>186</v>
      </c>
      <c r="D90" s="38" t="s">
        <v>187</v>
      </c>
      <c r="E90" s="39" t="s">
        <v>102</v>
      </c>
      <c r="F90" s="40">
        <v>2</v>
      </c>
      <c r="G90" s="41"/>
      <c r="H90" s="42"/>
      <c r="I90" s="39">
        <f t="shared" si="0"/>
        <v>0</v>
      </c>
      <c r="J90" s="45">
        <v>2031</v>
      </c>
      <c r="K90" s="39" t="s">
        <v>30</v>
      </c>
      <c r="L90" s="46"/>
    </row>
    <row r="91" spans="2:12" ht="18.75" x14ac:dyDescent="0.25">
      <c r="B91" s="36" t="s">
        <v>130</v>
      </c>
      <c r="C91" s="37" t="s">
        <v>188</v>
      </c>
      <c r="D91" s="38" t="s">
        <v>189</v>
      </c>
      <c r="E91" s="39" t="s">
        <v>102</v>
      </c>
      <c r="F91" s="40">
        <v>2</v>
      </c>
      <c r="G91" s="41"/>
      <c r="H91" s="42"/>
      <c r="I91" s="39">
        <f t="shared" si="0"/>
        <v>0</v>
      </c>
      <c r="J91" s="45">
        <v>2031</v>
      </c>
      <c r="K91" s="39" t="s">
        <v>30</v>
      </c>
      <c r="L91" s="46"/>
    </row>
    <row r="92" spans="2:12" ht="18.75" x14ac:dyDescent="0.25">
      <c r="B92" s="36" t="s">
        <v>130</v>
      </c>
      <c r="C92" s="37" t="s">
        <v>190</v>
      </c>
      <c r="D92" s="38" t="s">
        <v>191</v>
      </c>
      <c r="E92" s="39" t="s">
        <v>102</v>
      </c>
      <c r="F92" s="40">
        <v>1</v>
      </c>
      <c r="G92" s="41"/>
      <c r="H92" s="42"/>
      <c r="I92" s="39">
        <f t="shared" si="0"/>
        <v>0</v>
      </c>
      <c r="J92" s="45">
        <v>2031</v>
      </c>
      <c r="K92" s="39" t="s">
        <v>30</v>
      </c>
      <c r="L92" s="46"/>
    </row>
    <row r="93" spans="2:12" ht="18.75" x14ac:dyDescent="0.25">
      <c r="B93" s="36" t="s">
        <v>130</v>
      </c>
      <c r="C93" s="37" t="s">
        <v>192</v>
      </c>
      <c r="D93" s="38" t="s">
        <v>193</v>
      </c>
      <c r="E93" s="39" t="s">
        <v>102</v>
      </c>
      <c r="F93" s="40">
        <v>4</v>
      </c>
      <c r="G93" s="41"/>
      <c r="H93" s="42"/>
      <c r="I93" s="39">
        <f t="shared" si="0"/>
        <v>0</v>
      </c>
      <c r="J93" s="45">
        <v>2031</v>
      </c>
      <c r="K93" s="39" t="s">
        <v>30</v>
      </c>
      <c r="L93" s="46"/>
    </row>
    <row r="94" spans="2:12" ht="18.75" x14ac:dyDescent="0.25">
      <c r="B94" s="36" t="s">
        <v>130</v>
      </c>
      <c r="C94" s="37" t="s">
        <v>194</v>
      </c>
      <c r="D94" s="38" t="s">
        <v>195</v>
      </c>
      <c r="E94" s="39" t="s">
        <v>102</v>
      </c>
      <c r="F94" s="40">
        <v>5</v>
      </c>
      <c r="G94" s="41"/>
      <c r="H94" s="42"/>
      <c r="I94" s="39">
        <f t="shared" si="0"/>
        <v>0</v>
      </c>
      <c r="J94" s="45">
        <v>2031</v>
      </c>
      <c r="K94" s="39" t="s">
        <v>30</v>
      </c>
      <c r="L94" s="46"/>
    </row>
    <row r="95" spans="2:12" ht="18.75" x14ac:dyDescent="0.25">
      <c r="B95" s="36" t="s">
        <v>130</v>
      </c>
      <c r="C95" s="37" t="s">
        <v>196</v>
      </c>
      <c r="D95" s="38" t="s">
        <v>197</v>
      </c>
      <c r="E95" s="39" t="s">
        <v>102</v>
      </c>
      <c r="F95" s="40">
        <v>3</v>
      </c>
      <c r="G95" s="41"/>
      <c r="H95" s="42"/>
      <c r="I95" s="39">
        <f t="shared" si="0"/>
        <v>0</v>
      </c>
      <c r="J95" s="45">
        <v>2031</v>
      </c>
      <c r="K95" s="39" t="s">
        <v>30</v>
      </c>
      <c r="L95" s="46"/>
    </row>
    <row r="96" spans="2:12" ht="18.75" x14ac:dyDescent="0.25">
      <c r="B96" s="36" t="s">
        <v>130</v>
      </c>
      <c r="C96" s="37" t="s">
        <v>198</v>
      </c>
      <c r="D96" s="38" t="s">
        <v>199</v>
      </c>
      <c r="E96" s="39" t="s">
        <v>102</v>
      </c>
      <c r="F96" s="40">
        <v>3</v>
      </c>
      <c r="G96" s="41"/>
      <c r="H96" s="42"/>
      <c r="I96" s="39">
        <f t="shared" si="0"/>
        <v>0</v>
      </c>
      <c r="J96" s="45">
        <v>2031</v>
      </c>
      <c r="K96" s="39" t="s">
        <v>30</v>
      </c>
      <c r="L96" s="46"/>
    </row>
    <row r="97" spans="2:12" ht="18.75" x14ac:dyDescent="0.25">
      <c r="B97" s="36" t="s">
        <v>130</v>
      </c>
      <c r="C97" s="37" t="s">
        <v>200</v>
      </c>
      <c r="D97" s="38" t="s">
        <v>201</v>
      </c>
      <c r="E97" s="39" t="s">
        <v>102</v>
      </c>
      <c r="F97" s="40">
        <v>4</v>
      </c>
      <c r="G97" s="41"/>
      <c r="H97" s="42"/>
      <c r="I97" s="39">
        <f t="shared" si="0"/>
        <v>0</v>
      </c>
      <c r="J97" s="45">
        <v>2031</v>
      </c>
      <c r="K97" s="39" t="s">
        <v>30</v>
      </c>
      <c r="L97" s="46"/>
    </row>
    <row r="98" spans="2:12" ht="18.75" x14ac:dyDescent="0.25">
      <c r="B98" s="36" t="s">
        <v>130</v>
      </c>
      <c r="C98" s="37" t="s">
        <v>202</v>
      </c>
      <c r="D98" s="38" t="s">
        <v>203</v>
      </c>
      <c r="E98" s="39" t="s">
        <v>102</v>
      </c>
      <c r="F98" s="40">
        <v>2</v>
      </c>
      <c r="G98" s="41"/>
      <c r="H98" s="42"/>
      <c r="I98" s="39">
        <f t="shared" si="0"/>
        <v>0</v>
      </c>
      <c r="J98" s="45">
        <v>2031</v>
      </c>
      <c r="K98" s="39" t="s">
        <v>30</v>
      </c>
      <c r="L98" s="46"/>
    </row>
    <row r="99" spans="2:12" ht="18.75" x14ac:dyDescent="0.25">
      <c r="B99" s="36" t="s">
        <v>130</v>
      </c>
      <c r="C99" s="37" t="s">
        <v>204</v>
      </c>
      <c r="D99" s="38" t="s">
        <v>205</v>
      </c>
      <c r="E99" s="39" t="s">
        <v>102</v>
      </c>
      <c r="F99" s="40">
        <v>1</v>
      </c>
      <c r="G99" s="41"/>
      <c r="H99" s="42"/>
      <c r="I99" s="39">
        <f t="shared" si="0"/>
        <v>0</v>
      </c>
      <c r="J99" s="45">
        <v>2031</v>
      </c>
      <c r="K99" s="39" t="s">
        <v>30</v>
      </c>
      <c r="L99" s="46"/>
    </row>
    <row r="100" spans="2:12" ht="18.75" x14ac:dyDescent="0.25">
      <c r="B100" s="36" t="s">
        <v>130</v>
      </c>
      <c r="C100" s="37" t="s">
        <v>206</v>
      </c>
      <c r="D100" s="38" t="s">
        <v>207</v>
      </c>
      <c r="E100" s="39" t="s">
        <v>102</v>
      </c>
      <c r="F100" s="40">
        <v>2</v>
      </c>
      <c r="G100" s="41"/>
      <c r="H100" s="42"/>
      <c r="I100" s="39">
        <f t="shared" si="0"/>
        <v>0</v>
      </c>
      <c r="J100" s="45">
        <v>2031</v>
      </c>
      <c r="K100" s="39" t="s">
        <v>30</v>
      </c>
      <c r="L100" s="46"/>
    </row>
    <row r="101" spans="2:12" ht="18.75" x14ac:dyDescent="0.25">
      <c r="B101" s="36" t="s">
        <v>130</v>
      </c>
      <c r="C101" s="37" t="s">
        <v>208</v>
      </c>
      <c r="D101" s="38" t="s">
        <v>209</v>
      </c>
      <c r="E101" s="39" t="s">
        <v>102</v>
      </c>
      <c r="F101" s="40">
        <v>2</v>
      </c>
      <c r="G101" s="41"/>
      <c r="H101" s="42"/>
      <c r="I101" s="39">
        <f t="shared" si="0"/>
        <v>0</v>
      </c>
      <c r="J101" s="45">
        <v>2031</v>
      </c>
      <c r="K101" s="39" t="s">
        <v>30</v>
      </c>
      <c r="L101" s="46"/>
    </row>
    <row r="102" spans="2:12" ht="18.75" x14ac:dyDescent="0.25">
      <c r="B102" s="36" t="s">
        <v>130</v>
      </c>
      <c r="C102" s="37" t="s">
        <v>210</v>
      </c>
      <c r="D102" s="38" t="s">
        <v>211</v>
      </c>
      <c r="E102" s="39" t="s">
        <v>102</v>
      </c>
      <c r="F102" s="40">
        <v>1</v>
      </c>
      <c r="G102" s="41"/>
      <c r="H102" s="42"/>
      <c r="I102" s="39">
        <f t="shared" si="0"/>
        <v>0</v>
      </c>
      <c r="J102" s="45">
        <v>2031</v>
      </c>
      <c r="K102" s="39" t="s">
        <v>30</v>
      </c>
      <c r="L102" s="46"/>
    </row>
    <row r="103" spans="2:12" ht="18.75" x14ac:dyDescent="0.25">
      <c r="B103" s="36" t="s">
        <v>130</v>
      </c>
      <c r="C103" s="37" t="s">
        <v>212</v>
      </c>
      <c r="D103" s="38" t="s">
        <v>213</v>
      </c>
      <c r="E103" s="39" t="s">
        <v>102</v>
      </c>
      <c r="F103" s="40">
        <v>2</v>
      </c>
      <c r="G103" s="41"/>
      <c r="H103" s="42"/>
      <c r="I103" s="39">
        <f t="shared" si="0"/>
        <v>0</v>
      </c>
      <c r="J103" s="45">
        <v>2031</v>
      </c>
      <c r="K103" s="39" t="s">
        <v>30</v>
      </c>
      <c r="L103" s="46"/>
    </row>
    <row r="104" spans="2:12" ht="18.75" x14ac:dyDescent="0.25">
      <c r="B104" s="36" t="s">
        <v>130</v>
      </c>
      <c r="C104" s="37" t="s">
        <v>214</v>
      </c>
      <c r="D104" s="38" t="s">
        <v>215</v>
      </c>
      <c r="E104" s="39" t="s">
        <v>102</v>
      </c>
      <c r="F104" s="40">
        <v>1</v>
      </c>
      <c r="G104" s="41"/>
      <c r="H104" s="42"/>
      <c r="I104" s="39">
        <f t="shared" si="0"/>
        <v>0</v>
      </c>
      <c r="J104" s="45">
        <v>2031</v>
      </c>
      <c r="K104" s="39" t="s">
        <v>30</v>
      </c>
      <c r="L104" s="46"/>
    </row>
    <row r="105" spans="2:12" ht="18.75" x14ac:dyDescent="0.25">
      <c r="B105" s="36" t="s">
        <v>130</v>
      </c>
      <c r="C105" s="37" t="s">
        <v>216</v>
      </c>
      <c r="D105" s="38" t="s">
        <v>217</v>
      </c>
      <c r="E105" s="39" t="s">
        <v>102</v>
      </c>
      <c r="F105" s="40">
        <v>1</v>
      </c>
      <c r="G105" s="41"/>
      <c r="H105" s="42"/>
      <c r="I105" s="39">
        <f t="shared" si="0"/>
        <v>0</v>
      </c>
      <c r="J105" s="45">
        <v>2031</v>
      </c>
      <c r="K105" s="39" t="s">
        <v>30</v>
      </c>
      <c r="L105" s="46"/>
    </row>
    <row r="106" spans="2:12" ht="18.75" x14ac:dyDescent="0.25">
      <c r="B106" s="36" t="s">
        <v>130</v>
      </c>
      <c r="C106" s="37" t="s">
        <v>218</v>
      </c>
      <c r="D106" s="38" t="s">
        <v>219</v>
      </c>
      <c r="E106" s="39" t="s">
        <v>102</v>
      </c>
      <c r="F106" s="40">
        <v>1</v>
      </c>
      <c r="G106" s="41"/>
      <c r="H106" s="42"/>
      <c r="I106" s="39">
        <f t="shared" si="0"/>
        <v>0</v>
      </c>
      <c r="J106" s="45">
        <v>2031</v>
      </c>
      <c r="K106" s="39" t="s">
        <v>30</v>
      </c>
      <c r="L106" s="46"/>
    </row>
    <row r="107" spans="2:12" ht="18.75" x14ac:dyDescent="0.25">
      <c r="B107" s="36" t="s">
        <v>130</v>
      </c>
      <c r="C107" s="37" t="s">
        <v>220</v>
      </c>
      <c r="D107" s="38" t="s">
        <v>221</v>
      </c>
      <c r="E107" s="39" t="s">
        <v>102</v>
      </c>
      <c r="F107" s="40">
        <v>1</v>
      </c>
      <c r="G107" s="41"/>
      <c r="H107" s="42"/>
      <c r="I107" s="39">
        <f t="shared" si="0"/>
        <v>0</v>
      </c>
      <c r="J107" s="45">
        <v>2031</v>
      </c>
      <c r="K107" s="39" t="s">
        <v>30</v>
      </c>
      <c r="L107" s="46"/>
    </row>
    <row r="108" spans="2:12" ht="18.75" x14ac:dyDescent="0.25">
      <c r="B108" s="36" t="s">
        <v>130</v>
      </c>
      <c r="C108" s="37" t="s">
        <v>222</v>
      </c>
      <c r="D108" s="38" t="s">
        <v>223</v>
      </c>
      <c r="E108" s="39" t="s">
        <v>102</v>
      </c>
      <c r="F108" s="40">
        <v>1</v>
      </c>
      <c r="G108" s="41"/>
      <c r="H108" s="42"/>
      <c r="I108" s="39">
        <f t="shared" si="0"/>
        <v>0</v>
      </c>
      <c r="J108" s="45">
        <v>2031</v>
      </c>
      <c r="K108" s="39" t="s">
        <v>30</v>
      </c>
      <c r="L108" s="46"/>
    </row>
    <row r="109" spans="2:12" ht="18.75" x14ac:dyDescent="0.25">
      <c r="B109" s="36" t="s">
        <v>130</v>
      </c>
      <c r="C109" s="37" t="s">
        <v>224</v>
      </c>
      <c r="D109" s="38" t="s">
        <v>225</v>
      </c>
      <c r="E109" s="39" t="s">
        <v>102</v>
      </c>
      <c r="F109" s="40">
        <v>1</v>
      </c>
      <c r="G109" s="41"/>
      <c r="H109" s="42"/>
      <c r="I109" s="39">
        <f t="shared" si="0"/>
        <v>0</v>
      </c>
      <c r="J109" s="45">
        <v>2031</v>
      </c>
      <c r="K109" s="39" t="s">
        <v>30</v>
      </c>
      <c r="L109" s="46"/>
    </row>
    <row r="110" spans="2:12" ht="18.75" x14ac:dyDescent="0.25">
      <c r="B110" s="36" t="s">
        <v>130</v>
      </c>
      <c r="C110" s="37" t="s">
        <v>226</v>
      </c>
      <c r="D110" s="38" t="s">
        <v>227</v>
      </c>
      <c r="E110" s="39" t="s">
        <v>102</v>
      </c>
      <c r="F110" s="40">
        <v>1</v>
      </c>
      <c r="G110" s="41"/>
      <c r="H110" s="42"/>
      <c r="I110" s="39">
        <f t="shared" si="0"/>
        <v>0</v>
      </c>
      <c r="J110" s="45">
        <v>2031</v>
      </c>
      <c r="K110" s="39" t="s">
        <v>30</v>
      </c>
      <c r="L110" s="46"/>
    </row>
    <row r="111" spans="2:12" ht="18.75" x14ac:dyDescent="0.25">
      <c r="B111" s="36" t="s">
        <v>130</v>
      </c>
      <c r="C111" s="37" t="s">
        <v>228</v>
      </c>
      <c r="D111" s="38" t="s">
        <v>229</v>
      </c>
      <c r="E111" s="39" t="s">
        <v>102</v>
      </c>
      <c r="F111" s="40">
        <v>1</v>
      </c>
      <c r="G111" s="41"/>
      <c r="H111" s="42"/>
      <c r="I111" s="39">
        <f t="shared" si="0"/>
        <v>0</v>
      </c>
      <c r="J111" s="45">
        <v>2031</v>
      </c>
      <c r="K111" s="39" t="s">
        <v>30</v>
      </c>
      <c r="L111" s="46"/>
    </row>
    <row r="112" spans="2:12" ht="18.75" x14ac:dyDescent="0.25">
      <c r="B112" s="36" t="s">
        <v>130</v>
      </c>
      <c r="C112" s="37" t="s">
        <v>230</v>
      </c>
      <c r="D112" s="38" t="s">
        <v>231</v>
      </c>
      <c r="E112" s="39" t="s">
        <v>102</v>
      </c>
      <c r="F112" s="40">
        <v>4</v>
      </c>
      <c r="G112" s="41"/>
      <c r="H112" s="42"/>
      <c r="I112" s="39">
        <f t="shared" si="0"/>
        <v>0</v>
      </c>
      <c r="J112" s="45">
        <v>2031</v>
      </c>
      <c r="K112" s="39" t="s">
        <v>30</v>
      </c>
      <c r="L112" s="46"/>
    </row>
    <row r="113" spans="2:12" ht="18.75" x14ac:dyDescent="0.25">
      <c r="B113" s="36" t="s">
        <v>130</v>
      </c>
      <c r="C113" s="37" t="s">
        <v>232</v>
      </c>
      <c r="D113" s="38" t="s">
        <v>233</v>
      </c>
      <c r="E113" s="39" t="s">
        <v>102</v>
      </c>
      <c r="F113" s="40">
        <v>1</v>
      </c>
      <c r="G113" s="41"/>
      <c r="H113" s="42"/>
      <c r="I113" s="39">
        <f t="shared" si="0"/>
        <v>0</v>
      </c>
      <c r="J113" s="45">
        <v>2031</v>
      </c>
      <c r="K113" s="39" t="s">
        <v>30</v>
      </c>
      <c r="L113" s="46"/>
    </row>
    <row r="114" spans="2:12" ht="18.75" x14ac:dyDescent="0.25">
      <c r="B114" s="36" t="s">
        <v>130</v>
      </c>
      <c r="C114" s="37" t="s">
        <v>234</v>
      </c>
      <c r="D114" s="38" t="s">
        <v>235</v>
      </c>
      <c r="E114" s="39" t="s">
        <v>102</v>
      </c>
      <c r="F114" s="40">
        <v>1</v>
      </c>
      <c r="G114" s="41"/>
      <c r="H114" s="42"/>
      <c r="I114" s="39">
        <f t="shared" si="0"/>
        <v>0</v>
      </c>
      <c r="J114" s="45">
        <v>2031</v>
      </c>
      <c r="K114" s="39" t="s">
        <v>30</v>
      </c>
      <c r="L114" s="46"/>
    </row>
    <row r="115" spans="2:12" ht="18.75" x14ac:dyDescent="0.25">
      <c r="B115" s="36" t="s">
        <v>130</v>
      </c>
      <c r="C115" s="37" t="s">
        <v>236</v>
      </c>
      <c r="D115" s="38" t="s">
        <v>237</v>
      </c>
      <c r="E115" s="39" t="s">
        <v>102</v>
      </c>
      <c r="F115" s="40">
        <v>1</v>
      </c>
      <c r="G115" s="41"/>
      <c r="H115" s="42"/>
      <c r="I115" s="39">
        <f t="shared" si="0"/>
        <v>0</v>
      </c>
      <c r="J115" s="45">
        <v>2031</v>
      </c>
      <c r="K115" s="39" t="s">
        <v>30</v>
      </c>
      <c r="L115" s="46"/>
    </row>
    <row r="116" spans="2:12" ht="18.75" x14ac:dyDescent="0.25">
      <c r="B116" s="36" t="s">
        <v>130</v>
      </c>
      <c r="C116" s="37" t="s">
        <v>238</v>
      </c>
      <c r="D116" s="38" t="s">
        <v>239</v>
      </c>
      <c r="E116" s="39" t="s">
        <v>102</v>
      </c>
      <c r="F116" s="40">
        <v>2</v>
      </c>
      <c r="G116" s="41"/>
      <c r="H116" s="42"/>
      <c r="I116" s="39">
        <f t="shared" si="0"/>
        <v>0</v>
      </c>
      <c r="J116" s="45">
        <v>2031</v>
      </c>
      <c r="K116" s="39" t="s">
        <v>30</v>
      </c>
      <c r="L116" s="46"/>
    </row>
    <row r="117" spans="2:12" ht="18.75" x14ac:dyDescent="0.25">
      <c r="B117" s="36" t="s">
        <v>130</v>
      </c>
      <c r="C117" s="37" t="s">
        <v>240</v>
      </c>
      <c r="D117" s="38" t="s">
        <v>241</v>
      </c>
      <c r="E117" s="39" t="s">
        <v>102</v>
      </c>
      <c r="F117" s="40">
        <v>1</v>
      </c>
      <c r="G117" s="41"/>
      <c r="H117" s="42"/>
      <c r="I117" s="39">
        <f t="shared" si="0"/>
        <v>0</v>
      </c>
      <c r="J117" s="45">
        <v>2031</v>
      </c>
      <c r="K117" s="39" t="s">
        <v>30</v>
      </c>
      <c r="L117" s="46"/>
    </row>
    <row r="118" spans="2:12" ht="18.75" x14ac:dyDescent="0.25">
      <c r="B118" s="36" t="s">
        <v>130</v>
      </c>
      <c r="C118" s="37" t="s">
        <v>242</v>
      </c>
      <c r="D118" s="38" t="s">
        <v>243</v>
      </c>
      <c r="E118" s="39" t="s">
        <v>102</v>
      </c>
      <c r="F118" s="40">
        <v>4</v>
      </c>
      <c r="G118" s="41"/>
      <c r="H118" s="42"/>
      <c r="I118" s="39">
        <f t="shared" si="0"/>
        <v>0</v>
      </c>
      <c r="J118" s="45">
        <v>2031</v>
      </c>
      <c r="K118" s="39" t="s">
        <v>30</v>
      </c>
      <c r="L118" s="46"/>
    </row>
    <row r="119" spans="2:12" ht="18.75" x14ac:dyDescent="0.25">
      <c r="B119" s="36" t="s">
        <v>130</v>
      </c>
      <c r="C119" s="37" t="s">
        <v>244</v>
      </c>
      <c r="D119" s="38" t="s">
        <v>245</v>
      </c>
      <c r="E119" s="39" t="s">
        <v>102</v>
      </c>
      <c r="F119" s="40">
        <v>2</v>
      </c>
      <c r="G119" s="41"/>
      <c r="H119" s="42"/>
      <c r="I119" s="39">
        <f t="shared" si="0"/>
        <v>0</v>
      </c>
      <c r="J119" s="45">
        <v>2031</v>
      </c>
      <c r="K119" s="39" t="s">
        <v>30</v>
      </c>
      <c r="L119" s="46"/>
    </row>
    <row r="120" spans="2:12" ht="18.75" x14ac:dyDescent="0.25">
      <c r="B120" s="36" t="s">
        <v>130</v>
      </c>
      <c r="C120" s="37" t="s">
        <v>246</v>
      </c>
      <c r="D120" s="38" t="s">
        <v>247</v>
      </c>
      <c r="E120" s="39" t="s">
        <v>102</v>
      </c>
      <c r="F120" s="40">
        <v>1</v>
      </c>
      <c r="G120" s="41"/>
      <c r="H120" s="42"/>
      <c r="I120" s="39">
        <f t="shared" si="0"/>
        <v>0</v>
      </c>
      <c r="J120" s="45">
        <v>2031</v>
      </c>
      <c r="K120" s="39" t="s">
        <v>30</v>
      </c>
      <c r="L120" s="46"/>
    </row>
    <row r="121" spans="2:12" ht="131.25" x14ac:dyDescent="0.25">
      <c r="B121" s="36" t="s">
        <v>248</v>
      </c>
      <c r="C121" s="37"/>
      <c r="D121" s="44" t="s">
        <v>249</v>
      </c>
      <c r="E121" s="39"/>
      <c r="F121" s="40"/>
      <c r="G121" s="41"/>
      <c r="H121" s="42"/>
      <c r="I121" s="39"/>
      <c r="J121" s="36"/>
      <c r="K121" s="39"/>
      <c r="L121" s="43"/>
    </row>
    <row r="122" spans="2:12" ht="18.75" x14ac:dyDescent="0.25">
      <c r="B122" s="36" t="s">
        <v>248</v>
      </c>
      <c r="C122" s="37" t="s">
        <v>250</v>
      </c>
      <c r="D122" s="38" t="s">
        <v>251</v>
      </c>
      <c r="E122" s="39" t="s">
        <v>102</v>
      </c>
      <c r="F122" s="40">
        <v>33</v>
      </c>
      <c r="G122" s="41"/>
      <c r="H122" s="42"/>
      <c r="I122" s="39">
        <f>F122*G122</f>
        <v>0</v>
      </c>
      <c r="J122" s="45">
        <v>2036</v>
      </c>
      <c r="K122" s="39" t="s">
        <v>30</v>
      </c>
      <c r="L122" s="46"/>
    </row>
    <row r="123" spans="2:12" ht="18.75" x14ac:dyDescent="0.25">
      <c r="B123" s="36" t="s">
        <v>248</v>
      </c>
      <c r="C123" s="37" t="s">
        <v>252</v>
      </c>
      <c r="D123" s="38" t="s">
        <v>253</v>
      </c>
      <c r="E123" s="39" t="s">
        <v>102</v>
      </c>
      <c r="F123" s="40">
        <v>11</v>
      </c>
      <c r="G123" s="41"/>
      <c r="H123" s="42"/>
      <c r="I123" s="39">
        <f>F123*G123</f>
        <v>0</v>
      </c>
      <c r="J123" s="45">
        <v>2036</v>
      </c>
      <c r="K123" s="39" t="s">
        <v>30</v>
      </c>
      <c r="L123" s="46"/>
    </row>
    <row r="124" spans="2:12" ht="18.75" x14ac:dyDescent="0.25">
      <c r="B124" s="36" t="s">
        <v>248</v>
      </c>
      <c r="C124" s="37" t="s">
        <v>254</v>
      </c>
      <c r="D124" s="38" t="s">
        <v>255</v>
      </c>
      <c r="E124" s="39" t="s">
        <v>102</v>
      </c>
      <c r="F124" s="40">
        <v>2</v>
      </c>
      <c r="G124" s="41"/>
      <c r="H124" s="42"/>
      <c r="I124" s="39">
        <f>F124*G124</f>
        <v>0</v>
      </c>
      <c r="J124" s="45">
        <v>2036</v>
      </c>
      <c r="K124" s="39" t="s">
        <v>30</v>
      </c>
      <c r="L124" s="46"/>
    </row>
    <row r="125" spans="2:12" ht="18.75" x14ac:dyDescent="0.25">
      <c r="B125" s="36" t="s">
        <v>248</v>
      </c>
      <c r="C125" s="37" t="s">
        <v>256</v>
      </c>
      <c r="D125" s="38" t="s">
        <v>257</v>
      </c>
      <c r="E125" s="39" t="s">
        <v>102</v>
      </c>
      <c r="F125" s="40">
        <v>10</v>
      </c>
      <c r="G125" s="41"/>
      <c r="H125" s="42"/>
      <c r="I125" s="39">
        <f>F125*G125</f>
        <v>0</v>
      </c>
      <c r="J125" s="45">
        <v>2036</v>
      </c>
      <c r="K125" s="39" t="s">
        <v>30</v>
      </c>
      <c r="L125" s="46"/>
    </row>
    <row r="126" spans="2:12" ht="18.75" x14ac:dyDescent="0.25">
      <c r="B126" s="36" t="s">
        <v>248</v>
      </c>
      <c r="C126" s="37" t="s">
        <v>258</v>
      </c>
      <c r="D126" s="38" t="s">
        <v>259</v>
      </c>
      <c r="E126" s="39" t="s">
        <v>102</v>
      </c>
      <c r="F126" s="40">
        <v>1</v>
      </c>
      <c r="G126" s="41"/>
      <c r="H126" s="42"/>
      <c r="I126" s="39">
        <f>F126*G126</f>
        <v>0</v>
      </c>
      <c r="J126" s="45">
        <v>2036</v>
      </c>
      <c r="K126" s="39" t="s">
        <v>30</v>
      </c>
      <c r="L126" s="46"/>
    </row>
    <row r="127" spans="2:12" ht="93.75" x14ac:dyDescent="0.25">
      <c r="B127" s="36" t="s">
        <v>260</v>
      </c>
      <c r="C127" s="37"/>
      <c r="D127" s="44" t="s">
        <v>261</v>
      </c>
      <c r="E127" s="39"/>
      <c r="F127" s="40"/>
      <c r="G127" s="41"/>
      <c r="H127" s="42"/>
      <c r="I127" s="39"/>
      <c r="J127" s="36"/>
      <c r="K127" s="39"/>
      <c r="L127" s="43"/>
    </row>
    <row r="128" spans="2:12" ht="18.75" x14ac:dyDescent="0.25">
      <c r="B128" s="36" t="s">
        <v>260</v>
      </c>
      <c r="C128" s="37" t="s">
        <v>262</v>
      </c>
      <c r="D128" s="38" t="s">
        <v>263</v>
      </c>
      <c r="E128" s="39" t="s">
        <v>102</v>
      </c>
      <c r="F128" s="40">
        <v>26</v>
      </c>
      <c r="G128" s="41"/>
      <c r="H128" s="42"/>
      <c r="I128" s="39">
        <f>F128*G128</f>
        <v>0</v>
      </c>
      <c r="J128" s="36" t="s">
        <v>107</v>
      </c>
      <c r="K128" s="39" t="s">
        <v>108</v>
      </c>
      <c r="L128" s="43"/>
    </row>
    <row r="129" spans="2:12" ht="18.75" x14ac:dyDescent="0.25">
      <c r="B129" s="36" t="s">
        <v>260</v>
      </c>
      <c r="C129" s="37" t="s">
        <v>264</v>
      </c>
      <c r="D129" s="38" t="s">
        <v>265</v>
      </c>
      <c r="E129" s="39" t="s">
        <v>102</v>
      </c>
      <c r="F129" s="40">
        <v>26</v>
      </c>
      <c r="G129" s="41"/>
      <c r="H129" s="42"/>
      <c r="I129" s="39">
        <f>F129*G129</f>
        <v>0</v>
      </c>
      <c r="J129" s="36" t="s">
        <v>107</v>
      </c>
      <c r="K129" s="39" t="s">
        <v>108</v>
      </c>
      <c r="L129" s="43"/>
    </row>
    <row r="130" spans="2:12" ht="150" x14ac:dyDescent="0.25">
      <c r="B130" s="36" t="s">
        <v>266</v>
      </c>
      <c r="C130" s="37"/>
      <c r="D130" s="44" t="s">
        <v>267</v>
      </c>
      <c r="E130" s="39"/>
      <c r="F130" s="40"/>
      <c r="G130" s="41"/>
      <c r="H130" s="42"/>
      <c r="I130" s="39"/>
      <c r="J130" s="36"/>
      <c r="K130" s="39"/>
      <c r="L130" s="43"/>
    </row>
    <row r="131" spans="2:12" ht="18.75" x14ac:dyDescent="0.25">
      <c r="B131" s="36" t="s">
        <v>266</v>
      </c>
      <c r="C131" s="37" t="s">
        <v>268</v>
      </c>
      <c r="D131" s="38" t="s">
        <v>269</v>
      </c>
      <c r="E131" s="39" t="s">
        <v>29</v>
      </c>
      <c r="F131" s="40">
        <v>3838</v>
      </c>
      <c r="G131" s="41"/>
      <c r="H131" s="42"/>
      <c r="I131" s="39">
        <f>F131*G131</f>
        <v>0</v>
      </c>
      <c r="J131" s="45">
        <v>2049</v>
      </c>
      <c r="K131" s="39" t="s">
        <v>30</v>
      </c>
      <c r="L131" s="46"/>
    </row>
    <row r="132" spans="2:12" ht="37.5" x14ac:dyDescent="0.25">
      <c r="B132" s="36" t="s">
        <v>266</v>
      </c>
      <c r="C132" s="37" t="s">
        <v>270</v>
      </c>
      <c r="D132" s="38" t="s">
        <v>271</v>
      </c>
      <c r="E132" s="39" t="s">
        <v>29</v>
      </c>
      <c r="F132" s="40">
        <v>745</v>
      </c>
      <c r="G132" s="41"/>
      <c r="H132" s="42"/>
      <c r="I132" s="39">
        <f>F132*G132</f>
        <v>0</v>
      </c>
      <c r="J132" s="45">
        <v>2049</v>
      </c>
      <c r="K132" s="39" t="s">
        <v>30</v>
      </c>
      <c r="L132" s="46"/>
    </row>
    <row r="133" spans="2:12" ht="18.75" x14ac:dyDescent="0.25">
      <c r="B133" s="36" t="s">
        <v>266</v>
      </c>
      <c r="C133" s="37" t="s">
        <v>272</v>
      </c>
      <c r="D133" s="38" t="s">
        <v>273</v>
      </c>
      <c r="E133" s="39" t="s">
        <v>29</v>
      </c>
      <c r="F133" s="40">
        <v>1281</v>
      </c>
      <c r="G133" s="41"/>
      <c r="H133" s="42"/>
      <c r="I133" s="39">
        <f>F133*G133</f>
        <v>0</v>
      </c>
      <c r="J133" s="45">
        <v>2049</v>
      </c>
      <c r="K133" s="39" t="s">
        <v>30</v>
      </c>
      <c r="L133" s="46"/>
    </row>
    <row r="134" spans="2:12" ht="18.75" x14ac:dyDescent="0.25">
      <c r="B134" s="36" t="s">
        <v>266</v>
      </c>
      <c r="C134" s="37" t="s">
        <v>274</v>
      </c>
      <c r="D134" s="38" t="s">
        <v>275</v>
      </c>
      <c r="E134" s="39" t="s">
        <v>29</v>
      </c>
      <c r="F134" s="40">
        <v>3066</v>
      </c>
      <c r="G134" s="41"/>
      <c r="H134" s="42"/>
      <c r="I134" s="39">
        <f>F134*G134</f>
        <v>0</v>
      </c>
      <c r="J134" s="45">
        <v>2049</v>
      </c>
      <c r="K134" s="39" t="s">
        <v>30</v>
      </c>
      <c r="L134" s="46"/>
    </row>
    <row r="135" spans="2:12" ht="75" x14ac:dyDescent="0.25">
      <c r="B135" s="36" t="s">
        <v>266</v>
      </c>
      <c r="C135" s="37"/>
      <c r="D135" s="44" t="s">
        <v>276</v>
      </c>
      <c r="E135" s="39"/>
      <c r="F135" s="40"/>
      <c r="G135" s="41"/>
      <c r="H135" s="42"/>
      <c r="I135" s="39"/>
      <c r="J135" s="36"/>
      <c r="K135" s="39"/>
      <c r="L135" s="43"/>
    </row>
    <row r="136" spans="2:12" ht="18.75" x14ac:dyDescent="0.25">
      <c r="B136" s="36" t="s">
        <v>266</v>
      </c>
      <c r="C136" s="37" t="s">
        <v>277</v>
      </c>
      <c r="D136" s="38" t="s">
        <v>278</v>
      </c>
      <c r="E136" s="39" t="s">
        <v>29</v>
      </c>
      <c r="F136" s="40">
        <v>2630</v>
      </c>
      <c r="G136" s="41"/>
      <c r="H136" s="42"/>
      <c r="I136" s="39">
        <f>F136*G136</f>
        <v>0</v>
      </c>
      <c r="J136" s="45">
        <v>2049</v>
      </c>
      <c r="K136" s="39" t="s">
        <v>30</v>
      </c>
      <c r="L136" s="46"/>
    </row>
    <row r="137" spans="2:12" ht="187.5" x14ac:dyDescent="0.25">
      <c r="B137" s="36" t="s">
        <v>266</v>
      </c>
      <c r="C137" s="37"/>
      <c r="D137" s="44" t="s">
        <v>279</v>
      </c>
      <c r="E137" s="39"/>
      <c r="F137" s="40"/>
      <c r="G137" s="41"/>
      <c r="H137" s="42"/>
      <c r="I137" s="39"/>
      <c r="J137" s="36"/>
      <c r="K137" s="39"/>
      <c r="L137" s="43"/>
    </row>
    <row r="138" spans="2:12" ht="37.5" x14ac:dyDescent="0.25">
      <c r="B138" s="36" t="s">
        <v>266</v>
      </c>
      <c r="C138" s="37" t="s">
        <v>280</v>
      </c>
      <c r="D138" s="38" t="s">
        <v>281</v>
      </c>
      <c r="E138" s="39" t="s">
        <v>29</v>
      </c>
      <c r="F138" s="40">
        <v>92</v>
      </c>
      <c r="G138" s="41"/>
      <c r="H138" s="42"/>
      <c r="I138" s="39">
        <f>F138*G138</f>
        <v>0</v>
      </c>
      <c r="J138" s="36" t="s">
        <v>282</v>
      </c>
      <c r="K138" s="39" t="s">
        <v>30</v>
      </c>
      <c r="L138" s="43"/>
    </row>
    <row r="139" spans="2:12" ht="131.25" x14ac:dyDescent="0.25">
      <c r="B139" s="36" t="s">
        <v>283</v>
      </c>
      <c r="C139" s="37"/>
      <c r="D139" s="44" t="s">
        <v>284</v>
      </c>
      <c r="E139" s="39"/>
      <c r="F139" s="40"/>
      <c r="G139" s="41"/>
      <c r="H139" s="42"/>
      <c r="I139" s="39"/>
      <c r="J139" s="36"/>
      <c r="K139" s="39"/>
      <c r="L139" s="43"/>
    </row>
    <row r="140" spans="2:12" ht="18.75" x14ac:dyDescent="0.25">
      <c r="B140" s="36" t="s">
        <v>283</v>
      </c>
      <c r="C140" s="37" t="s">
        <v>285</v>
      </c>
      <c r="D140" s="38" t="s">
        <v>286</v>
      </c>
      <c r="E140" s="39" t="s">
        <v>29</v>
      </c>
      <c r="F140" s="40">
        <v>1281</v>
      </c>
      <c r="G140" s="52"/>
      <c r="H140" s="58"/>
      <c r="I140" s="39">
        <f>F140*G140</f>
        <v>0</v>
      </c>
      <c r="J140" s="45">
        <v>2041</v>
      </c>
      <c r="K140" s="39" t="s">
        <v>30</v>
      </c>
      <c r="L140" s="46"/>
    </row>
    <row r="141" spans="2:12" ht="75" x14ac:dyDescent="0.25">
      <c r="B141" s="36" t="s">
        <v>283</v>
      </c>
      <c r="C141" s="37"/>
      <c r="D141" s="44" t="s">
        <v>287</v>
      </c>
      <c r="E141" s="39"/>
      <c r="F141" s="40"/>
      <c r="G141" s="52"/>
      <c r="H141" s="58"/>
      <c r="I141" s="39"/>
      <c r="J141" s="36"/>
      <c r="K141" s="39"/>
      <c r="L141" s="43"/>
    </row>
    <row r="142" spans="2:12" ht="18.75" x14ac:dyDescent="0.25">
      <c r="B142" s="36" t="s">
        <v>283</v>
      </c>
      <c r="C142" s="37" t="s">
        <v>288</v>
      </c>
      <c r="D142" s="38" t="s">
        <v>289</v>
      </c>
      <c r="E142" s="39" t="s">
        <v>29</v>
      </c>
      <c r="F142" s="40">
        <v>130</v>
      </c>
      <c r="G142" s="52"/>
      <c r="H142" s="58"/>
      <c r="I142" s="39">
        <f>F142*G142</f>
        <v>0</v>
      </c>
      <c r="J142" s="45">
        <v>2041</v>
      </c>
      <c r="K142" s="39" t="s">
        <v>30</v>
      </c>
      <c r="L142" s="46"/>
    </row>
    <row r="143" spans="2:12" ht="37.5" x14ac:dyDescent="0.25">
      <c r="B143" s="36" t="s">
        <v>283</v>
      </c>
      <c r="C143" s="37" t="s">
        <v>290</v>
      </c>
      <c r="D143" s="38" t="s">
        <v>291</v>
      </c>
      <c r="E143" s="39" t="s">
        <v>29</v>
      </c>
      <c r="F143" s="40">
        <v>172</v>
      </c>
      <c r="G143" s="52"/>
      <c r="H143" s="58"/>
      <c r="I143" s="39">
        <f>F143*G143</f>
        <v>0</v>
      </c>
      <c r="J143" s="45">
        <v>2041</v>
      </c>
      <c r="K143" s="39" t="s">
        <v>30</v>
      </c>
      <c r="L143" s="46"/>
    </row>
    <row r="144" spans="2:12" ht="18.75" x14ac:dyDescent="0.25">
      <c r="B144" s="36" t="s">
        <v>283</v>
      </c>
      <c r="C144" s="37"/>
      <c r="D144" s="44" t="s">
        <v>292</v>
      </c>
      <c r="E144" s="39"/>
      <c r="F144" s="40"/>
      <c r="G144" s="52"/>
      <c r="H144" s="58"/>
      <c r="I144" s="39"/>
      <c r="J144" s="36"/>
      <c r="K144" s="39"/>
      <c r="L144" s="43"/>
    </row>
    <row r="145" spans="2:12" ht="18.75" x14ac:dyDescent="0.25">
      <c r="B145" s="36" t="s">
        <v>283</v>
      </c>
      <c r="C145" s="37" t="s">
        <v>293</v>
      </c>
      <c r="D145" s="38" t="s">
        <v>294</v>
      </c>
      <c r="E145" s="39" t="s">
        <v>60</v>
      </c>
      <c r="F145" s="40">
        <v>136</v>
      </c>
      <c r="G145" s="52"/>
      <c r="H145" s="58"/>
      <c r="I145" s="39">
        <f>F145*G145</f>
        <v>0</v>
      </c>
      <c r="J145" s="45">
        <v>2041</v>
      </c>
      <c r="K145" s="39" t="s">
        <v>30</v>
      </c>
      <c r="L145" s="46"/>
    </row>
    <row r="146" spans="2:12" ht="131.25" x14ac:dyDescent="0.25">
      <c r="B146" s="36" t="s">
        <v>295</v>
      </c>
      <c r="C146" s="37"/>
      <c r="D146" s="44" t="s">
        <v>296</v>
      </c>
      <c r="E146" s="39"/>
      <c r="F146" s="40"/>
      <c r="G146" s="41"/>
      <c r="H146" s="42"/>
      <c r="I146" s="39"/>
      <c r="J146" s="36"/>
      <c r="K146" s="39"/>
      <c r="L146" s="43"/>
    </row>
    <row r="147" spans="2:12" ht="18.75" x14ac:dyDescent="0.25">
      <c r="B147" s="36" t="s">
        <v>295</v>
      </c>
      <c r="C147" s="37" t="s">
        <v>297</v>
      </c>
      <c r="D147" s="38" t="s">
        <v>298</v>
      </c>
      <c r="E147" s="39" t="s">
        <v>29</v>
      </c>
      <c r="F147" s="40">
        <v>1597</v>
      </c>
      <c r="G147" s="41"/>
      <c r="H147" s="42"/>
      <c r="I147" s="39">
        <f>F147*G147</f>
        <v>0</v>
      </c>
      <c r="J147" s="36" t="s">
        <v>107</v>
      </c>
      <c r="K147" s="39" t="s">
        <v>108</v>
      </c>
      <c r="L147" s="43"/>
    </row>
    <row r="148" spans="2:12" ht="18.75" x14ac:dyDescent="0.25">
      <c r="B148" s="36" t="s">
        <v>295</v>
      </c>
      <c r="C148" s="37" t="s">
        <v>299</v>
      </c>
      <c r="D148" s="38" t="s">
        <v>300</v>
      </c>
      <c r="E148" s="39" t="s">
        <v>29</v>
      </c>
      <c r="F148" s="40">
        <v>23</v>
      </c>
      <c r="G148" s="41"/>
      <c r="H148" s="42"/>
      <c r="I148" s="39">
        <f>F148*G148</f>
        <v>0</v>
      </c>
      <c r="J148" s="36" t="s">
        <v>107</v>
      </c>
      <c r="K148" s="39" t="s">
        <v>108</v>
      </c>
      <c r="L148" s="43"/>
    </row>
    <row r="149" spans="2:12" ht="18.75" x14ac:dyDescent="0.25">
      <c r="B149" s="36" t="s">
        <v>295</v>
      </c>
      <c r="C149" s="37"/>
      <c r="D149" s="44" t="s">
        <v>292</v>
      </c>
      <c r="E149" s="39"/>
      <c r="F149" s="40"/>
      <c r="G149" s="41"/>
      <c r="H149" s="42"/>
      <c r="I149" s="39"/>
      <c r="J149" s="36"/>
      <c r="K149" s="39"/>
      <c r="L149" s="43"/>
    </row>
    <row r="150" spans="2:12" ht="18.75" x14ac:dyDescent="0.25">
      <c r="B150" s="36" t="s">
        <v>295</v>
      </c>
      <c r="C150" s="37" t="s">
        <v>301</v>
      </c>
      <c r="D150" s="38" t="s">
        <v>302</v>
      </c>
      <c r="E150" s="39" t="s">
        <v>60</v>
      </c>
      <c r="F150" s="40">
        <v>1368</v>
      </c>
      <c r="G150" s="41"/>
      <c r="H150" s="42"/>
      <c r="I150" s="39">
        <f>F150*G150</f>
        <v>0</v>
      </c>
      <c r="J150" s="36" t="s">
        <v>107</v>
      </c>
      <c r="K150" s="39" t="s">
        <v>108</v>
      </c>
      <c r="L150" s="43"/>
    </row>
    <row r="151" spans="2:12" s="49" customFormat="1" ht="75" x14ac:dyDescent="0.25">
      <c r="B151" s="36" t="s">
        <v>295</v>
      </c>
      <c r="C151" s="37"/>
      <c r="D151" s="44" t="s">
        <v>303</v>
      </c>
      <c r="E151" s="39"/>
      <c r="F151" s="40"/>
      <c r="G151" s="41"/>
      <c r="H151" s="42"/>
      <c r="I151" s="39"/>
      <c r="J151" s="36"/>
      <c r="K151" s="39"/>
      <c r="L151" s="43"/>
    </row>
    <row r="152" spans="2:12" s="49" customFormat="1" ht="18.75" x14ac:dyDescent="0.25">
      <c r="B152" s="36" t="s">
        <v>295</v>
      </c>
      <c r="C152" s="37" t="s">
        <v>304</v>
      </c>
      <c r="D152" s="38" t="s">
        <v>305</v>
      </c>
      <c r="E152" s="39" t="s">
        <v>29</v>
      </c>
      <c r="F152" s="40">
        <v>88</v>
      </c>
      <c r="G152" s="41"/>
      <c r="H152" s="42"/>
      <c r="I152" s="39">
        <f>F152*G152</f>
        <v>0</v>
      </c>
      <c r="J152" s="36" t="s">
        <v>107</v>
      </c>
      <c r="K152" s="39" t="s">
        <v>108</v>
      </c>
      <c r="L152" s="43"/>
    </row>
    <row r="153" spans="2:12" ht="131.25" x14ac:dyDescent="0.25">
      <c r="B153" s="36" t="s">
        <v>306</v>
      </c>
      <c r="C153" s="37"/>
      <c r="D153" s="44" t="s">
        <v>307</v>
      </c>
      <c r="E153" s="39"/>
      <c r="F153" s="40"/>
      <c r="G153" s="41"/>
      <c r="H153" s="42"/>
      <c r="I153" s="39"/>
      <c r="J153" s="36"/>
      <c r="K153" s="39"/>
      <c r="L153" s="43"/>
    </row>
    <row r="154" spans="2:12" ht="18.75" x14ac:dyDescent="0.25">
      <c r="B154" s="36" t="s">
        <v>306</v>
      </c>
      <c r="C154" s="37" t="s">
        <v>308</v>
      </c>
      <c r="D154" s="38" t="s">
        <v>309</v>
      </c>
      <c r="E154" s="39" t="s">
        <v>29</v>
      </c>
      <c r="F154" s="40">
        <v>606</v>
      </c>
      <c r="G154" s="41"/>
      <c r="H154" s="42"/>
      <c r="I154" s="39">
        <f>F154*G154</f>
        <v>0</v>
      </c>
      <c r="J154" s="36" t="s">
        <v>107</v>
      </c>
      <c r="K154" s="39" t="s">
        <v>108</v>
      </c>
      <c r="L154" s="43"/>
    </row>
    <row r="155" spans="2:12" ht="18.75" x14ac:dyDescent="0.25">
      <c r="B155" s="36" t="s">
        <v>306</v>
      </c>
      <c r="C155" s="37" t="s">
        <v>310</v>
      </c>
      <c r="D155" s="38" t="s">
        <v>311</v>
      </c>
      <c r="E155" s="39" t="s">
        <v>29</v>
      </c>
      <c r="F155" s="40">
        <v>34</v>
      </c>
      <c r="G155" s="41"/>
      <c r="H155" s="42"/>
      <c r="I155" s="39">
        <f>F155*G155</f>
        <v>0</v>
      </c>
      <c r="J155" s="36" t="s">
        <v>282</v>
      </c>
      <c r="K155" s="39" t="s">
        <v>30</v>
      </c>
      <c r="L155" s="43"/>
    </row>
    <row r="156" spans="2:12" ht="18.75" x14ac:dyDescent="0.25">
      <c r="B156" s="36" t="s">
        <v>306</v>
      </c>
      <c r="C156" s="37" t="s">
        <v>312</v>
      </c>
      <c r="D156" s="38" t="s">
        <v>313</v>
      </c>
      <c r="E156" s="39" t="s">
        <v>29</v>
      </c>
      <c r="F156" s="40">
        <v>55</v>
      </c>
      <c r="G156" s="41"/>
      <c r="H156" s="42"/>
      <c r="I156" s="39">
        <f>F156*G156</f>
        <v>0</v>
      </c>
      <c r="J156" s="36" t="s">
        <v>107</v>
      </c>
      <c r="K156" s="39" t="s">
        <v>108</v>
      </c>
      <c r="L156" s="43"/>
    </row>
    <row r="157" spans="2:12" ht="131.25" x14ac:dyDescent="0.25">
      <c r="B157" s="36" t="s">
        <v>314</v>
      </c>
      <c r="C157" s="37"/>
      <c r="D157" s="44" t="s">
        <v>315</v>
      </c>
      <c r="E157" s="39"/>
      <c r="F157" s="40"/>
      <c r="G157" s="41"/>
      <c r="H157" s="42"/>
      <c r="I157" s="39"/>
      <c r="J157" s="36"/>
      <c r="K157" s="39"/>
      <c r="L157" s="43"/>
    </row>
    <row r="158" spans="2:12" ht="18.75" x14ac:dyDescent="0.25">
      <c r="B158" s="36" t="s">
        <v>314</v>
      </c>
      <c r="C158" s="37" t="s">
        <v>316</v>
      </c>
      <c r="D158" s="38" t="s">
        <v>317</v>
      </c>
      <c r="E158" s="39" t="s">
        <v>29</v>
      </c>
      <c r="F158" s="40">
        <v>3025</v>
      </c>
      <c r="G158" s="41"/>
      <c r="H158" s="42"/>
      <c r="I158" s="39">
        <f t="shared" ref="I158:I163" si="1">F158*G158</f>
        <v>0</v>
      </c>
      <c r="J158" s="36" t="s">
        <v>318</v>
      </c>
      <c r="K158" s="39" t="s">
        <v>30</v>
      </c>
      <c r="L158" s="43"/>
    </row>
    <row r="159" spans="2:12" s="49" customFormat="1" ht="18.75" x14ac:dyDescent="0.25">
      <c r="B159" s="36" t="s">
        <v>314</v>
      </c>
      <c r="C159" s="37" t="s">
        <v>319</v>
      </c>
      <c r="D159" s="38" t="s">
        <v>320</v>
      </c>
      <c r="E159" s="39" t="s">
        <v>29</v>
      </c>
      <c r="F159" s="40">
        <v>813</v>
      </c>
      <c r="G159" s="41"/>
      <c r="H159" s="42"/>
      <c r="I159" s="39">
        <f t="shared" si="1"/>
        <v>0</v>
      </c>
      <c r="J159" s="36" t="s">
        <v>318</v>
      </c>
      <c r="K159" s="39" t="s">
        <v>30</v>
      </c>
      <c r="L159" s="43"/>
    </row>
    <row r="160" spans="2:12" ht="18.75" x14ac:dyDescent="0.25">
      <c r="B160" s="36" t="s">
        <v>314</v>
      </c>
      <c r="C160" s="37" t="s">
        <v>321</v>
      </c>
      <c r="D160" s="38" t="s">
        <v>322</v>
      </c>
      <c r="E160" s="39" t="s">
        <v>29</v>
      </c>
      <c r="F160" s="40">
        <v>84</v>
      </c>
      <c r="G160" s="41"/>
      <c r="H160" s="42"/>
      <c r="I160" s="39">
        <f t="shared" si="1"/>
        <v>0</v>
      </c>
      <c r="J160" s="36" t="s">
        <v>318</v>
      </c>
      <c r="K160" s="39" t="s">
        <v>30</v>
      </c>
      <c r="L160" s="43"/>
    </row>
    <row r="161" spans="2:12" ht="37.5" x14ac:dyDescent="0.25">
      <c r="B161" s="36" t="s">
        <v>314</v>
      </c>
      <c r="C161" s="37" t="s">
        <v>323</v>
      </c>
      <c r="D161" s="38" t="s">
        <v>324</v>
      </c>
      <c r="E161" s="39" t="s">
        <v>29</v>
      </c>
      <c r="F161" s="40">
        <v>92</v>
      </c>
      <c r="G161" s="41"/>
      <c r="H161" s="42"/>
      <c r="I161" s="39">
        <f t="shared" si="1"/>
        <v>0</v>
      </c>
      <c r="J161" s="36" t="s">
        <v>318</v>
      </c>
      <c r="K161" s="39" t="s">
        <v>30</v>
      </c>
      <c r="L161" s="43"/>
    </row>
    <row r="162" spans="2:12" ht="18.75" x14ac:dyDescent="0.25">
      <c r="B162" s="36" t="s">
        <v>314</v>
      </c>
      <c r="C162" s="37" t="s">
        <v>325</v>
      </c>
      <c r="D162" s="38" t="s">
        <v>326</v>
      </c>
      <c r="E162" s="39" t="s">
        <v>29</v>
      </c>
      <c r="F162" s="40">
        <v>34</v>
      </c>
      <c r="G162" s="41"/>
      <c r="H162" s="42"/>
      <c r="I162" s="39">
        <f t="shared" si="1"/>
        <v>0</v>
      </c>
      <c r="J162" s="36" t="s">
        <v>318</v>
      </c>
      <c r="K162" s="39" t="s">
        <v>30</v>
      </c>
      <c r="L162" s="43"/>
    </row>
    <row r="163" spans="2:12" ht="18.75" x14ac:dyDescent="0.25">
      <c r="B163" s="36" t="s">
        <v>314</v>
      </c>
      <c r="C163" s="37" t="s">
        <v>327</v>
      </c>
      <c r="D163" s="38" t="s">
        <v>328</v>
      </c>
      <c r="E163" s="39" t="s">
        <v>29</v>
      </c>
      <c r="F163" s="40">
        <v>1392</v>
      </c>
      <c r="G163" s="41"/>
      <c r="H163" s="42"/>
      <c r="I163" s="39">
        <f t="shared" si="1"/>
        <v>0</v>
      </c>
      <c r="J163" s="36" t="s">
        <v>318</v>
      </c>
      <c r="K163" s="39" t="s">
        <v>30</v>
      </c>
      <c r="L163" s="43"/>
    </row>
    <row r="164" spans="2:12" ht="93.75" x14ac:dyDescent="0.25">
      <c r="B164" s="36" t="s">
        <v>314</v>
      </c>
      <c r="C164" s="37"/>
      <c r="D164" s="44" t="s">
        <v>329</v>
      </c>
      <c r="E164" s="39"/>
      <c r="F164" s="40"/>
      <c r="G164" s="41"/>
      <c r="H164" s="42"/>
      <c r="I164" s="39"/>
      <c r="J164" s="36"/>
      <c r="K164" s="39"/>
      <c r="L164" s="43"/>
    </row>
    <row r="165" spans="2:12" ht="37.5" x14ac:dyDescent="0.25">
      <c r="B165" s="36" t="s">
        <v>314</v>
      </c>
      <c r="C165" s="37" t="s">
        <v>330</v>
      </c>
      <c r="D165" s="38" t="s">
        <v>331</v>
      </c>
      <c r="E165" s="39" t="s">
        <v>29</v>
      </c>
      <c r="F165" s="40">
        <v>2630</v>
      </c>
      <c r="G165" s="41"/>
      <c r="H165" s="42"/>
      <c r="I165" s="39">
        <f>F165*G165</f>
        <v>0</v>
      </c>
      <c r="J165" s="36" t="s">
        <v>318</v>
      </c>
      <c r="K165" s="39" t="s">
        <v>30</v>
      </c>
      <c r="L165" s="43"/>
    </row>
    <row r="166" spans="2:12" s="59" customFormat="1" ht="75" x14ac:dyDescent="0.25">
      <c r="B166" s="36" t="s">
        <v>314</v>
      </c>
      <c r="C166" s="37"/>
      <c r="D166" s="44" t="s">
        <v>332</v>
      </c>
      <c r="E166" s="39"/>
      <c r="F166" s="40"/>
      <c r="G166" s="41"/>
      <c r="H166" s="42"/>
      <c r="I166" s="39"/>
      <c r="J166" s="36"/>
      <c r="K166" s="39"/>
      <c r="L166" s="43"/>
    </row>
    <row r="167" spans="2:12" s="59" customFormat="1" ht="18.75" x14ac:dyDescent="0.25">
      <c r="B167" s="36" t="s">
        <v>314</v>
      </c>
      <c r="C167" s="37" t="s">
        <v>333</v>
      </c>
      <c r="D167" s="38" t="s">
        <v>334</v>
      </c>
      <c r="E167" s="39" t="s">
        <v>29</v>
      </c>
      <c r="F167" s="40">
        <v>161</v>
      </c>
      <c r="G167" s="41"/>
      <c r="H167" s="42"/>
      <c r="I167" s="39">
        <f>F167*G167</f>
        <v>0</v>
      </c>
      <c r="J167" s="36" t="s">
        <v>318</v>
      </c>
      <c r="K167" s="39" t="s">
        <v>30</v>
      </c>
      <c r="L167" s="43"/>
    </row>
    <row r="168" spans="2:12" s="59" customFormat="1" ht="18.75" x14ac:dyDescent="0.25">
      <c r="B168" s="36" t="s">
        <v>295</v>
      </c>
      <c r="C168" s="37"/>
      <c r="D168" s="44" t="s">
        <v>292</v>
      </c>
      <c r="E168" s="39"/>
      <c r="F168" s="40"/>
      <c r="G168" s="41"/>
      <c r="H168" s="42"/>
      <c r="I168" s="39"/>
      <c r="J168" s="36"/>
      <c r="K168" s="39"/>
      <c r="L168" s="43"/>
    </row>
    <row r="169" spans="2:12" s="59" customFormat="1" ht="18.75" x14ac:dyDescent="0.25">
      <c r="B169" s="36" t="s">
        <v>295</v>
      </c>
      <c r="C169" s="37" t="s">
        <v>335</v>
      </c>
      <c r="D169" s="38" t="s">
        <v>336</v>
      </c>
      <c r="E169" s="39" t="s">
        <v>60</v>
      </c>
      <c r="F169" s="40">
        <v>200</v>
      </c>
      <c r="G169" s="41"/>
      <c r="H169" s="42"/>
      <c r="I169" s="39">
        <f>F169*G169</f>
        <v>0</v>
      </c>
      <c r="J169" s="36" t="s">
        <v>318</v>
      </c>
      <c r="K169" s="39" t="s">
        <v>30</v>
      </c>
      <c r="L169" s="43"/>
    </row>
    <row r="170" spans="2:12" ht="150" x14ac:dyDescent="0.25">
      <c r="B170" s="36" t="s">
        <v>337</v>
      </c>
      <c r="C170" s="37"/>
      <c r="D170" s="44" t="s">
        <v>338</v>
      </c>
      <c r="E170" s="39"/>
      <c r="F170" s="40"/>
      <c r="G170" s="41"/>
      <c r="H170" s="42"/>
      <c r="I170" s="39"/>
      <c r="J170" s="36"/>
      <c r="K170" s="39"/>
      <c r="L170" s="43"/>
    </row>
    <row r="171" spans="2:12" ht="18.75" x14ac:dyDescent="0.25">
      <c r="B171" s="36" t="s">
        <v>337</v>
      </c>
      <c r="C171" s="37" t="s">
        <v>339</v>
      </c>
      <c r="D171" s="38" t="s">
        <v>340</v>
      </c>
      <c r="E171" s="39" t="s">
        <v>102</v>
      </c>
      <c r="F171" s="40">
        <v>26</v>
      </c>
      <c r="G171" s="41"/>
      <c r="H171" s="60"/>
      <c r="I171" s="39">
        <f t="shared" ref="I171:I182" si="2">F171*G171</f>
        <v>0</v>
      </c>
      <c r="J171" s="36" t="s">
        <v>107</v>
      </c>
      <c r="K171" s="39" t="s">
        <v>108</v>
      </c>
      <c r="L171" s="43"/>
    </row>
    <row r="172" spans="2:12" ht="18.75" x14ac:dyDescent="0.25">
      <c r="B172" s="36" t="s">
        <v>337</v>
      </c>
      <c r="C172" s="37" t="s">
        <v>341</v>
      </c>
      <c r="D172" s="38" t="s">
        <v>342</v>
      </c>
      <c r="E172" s="39" t="s">
        <v>102</v>
      </c>
      <c r="F172" s="40">
        <v>26</v>
      </c>
      <c r="G172" s="41"/>
      <c r="H172" s="60"/>
      <c r="I172" s="39">
        <f t="shared" si="2"/>
        <v>0</v>
      </c>
      <c r="J172" s="36" t="s">
        <v>107</v>
      </c>
      <c r="K172" s="39" t="s">
        <v>108</v>
      </c>
      <c r="L172" s="43"/>
    </row>
    <row r="173" spans="2:12" ht="18.75" x14ac:dyDescent="0.25">
      <c r="B173" s="36" t="s">
        <v>337</v>
      </c>
      <c r="C173" s="37" t="s">
        <v>343</v>
      </c>
      <c r="D173" s="38" t="s">
        <v>344</v>
      </c>
      <c r="E173" s="39" t="s">
        <v>102</v>
      </c>
      <c r="F173" s="40">
        <v>52</v>
      </c>
      <c r="G173" s="41"/>
      <c r="H173" s="60"/>
      <c r="I173" s="39">
        <f t="shared" si="2"/>
        <v>0</v>
      </c>
      <c r="J173" s="36" t="s">
        <v>107</v>
      </c>
      <c r="K173" s="39" t="s">
        <v>108</v>
      </c>
      <c r="L173" s="43"/>
    </row>
    <row r="174" spans="2:12" ht="18.75" x14ac:dyDescent="0.25">
      <c r="B174" s="36" t="s">
        <v>337</v>
      </c>
      <c r="C174" s="37" t="s">
        <v>345</v>
      </c>
      <c r="D174" s="38" t="s">
        <v>346</v>
      </c>
      <c r="E174" s="39" t="s">
        <v>102</v>
      </c>
      <c r="F174" s="40">
        <v>52</v>
      </c>
      <c r="G174" s="41"/>
      <c r="H174" s="60"/>
      <c r="I174" s="39">
        <f t="shared" si="2"/>
        <v>0</v>
      </c>
      <c r="J174" s="36" t="s">
        <v>107</v>
      </c>
      <c r="K174" s="39" t="s">
        <v>108</v>
      </c>
      <c r="L174" s="43"/>
    </row>
    <row r="175" spans="2:12" ht="37.5" x14ac:dyDescent="0.25">
      <c r="B175" s="36" t="s">
        <v>337</v>
      </c>
      <c r="C175" s="37" t="s">
        <v>347</v>
      </c>
      <c r="D175" s="38" t="s">
        <v>348</v>
      </c>
      <c r="E175" s="39" t="s">
        <v>102</v>
      </c>
      <c r="F175" s="40">
        <v>26</v>
      </c>
      <c r="G175" s="41"/>
      <c r="H175" s="60"/>
      <c r="I175" s="39">
        <f t="shared" si="2"/>
        <v>0</v>
      </c>
      <c r="J175" s="36" t="s">
        <v>107</v>
      </c>
      <c r="K175" s="39" t="s">
        <v>108</v>
      </c>
      <c r="L175" s="43"/>
    </row>
    <row r="176" spans="2:12" ht="18.75" x14ac:dyDescent="0.25">
      <c r="B176" s="36" t="s">
        <v>337</v>
      </c>
      <c r="C176" s="37" t="s">
        <v>349</v>
      </c>
      <c r="D176" s="38" t="s">
        <v>350</v>
      </c>
      <c r="E176" s="39" t="s">
        <v>102</v>
      </c>
      <c r="F176" s="40">
        <v>26</v>
      </c>
      <c r="G176" s="41"/>
      <c r="H176" s="60"/>
      <c r="I176" s="39">
        <f t="shared" si="2"/>
        <v>0</v>
      </c>
      <c r="J176" s="36" t="s">
        <v>107</v>
      </c>
      <c r="K176" s="39" t="s">
        <v>108</v>
      </c>
      <c r="L176" s="43"/>
    </row>
    <row r="177" spans="2:12" ht="18.75" x14ac:dyDescent="0.25">
      <c r="B177" s="36" t="s">
        <v>337</v>
      </c>
      <c r="C177" s="37" t="s">
        <v>351</v>
      </c>
      <c r="D177" s="38" t="s">
        <v>352</v>
      </c>
      <c r="E177" s="39" t="s">
        <v>102</v>
      </c>
      <c r="F177" s="40">
        <v>2</v>
      </c>
      <c r="G177" s="41"/>
      <c r="H177" s="60"/>
      <c r="I177" s="39">
        <f t="shared" si="2"/>
        <v>0</v>
      </c>
      <c r="J177" s="36" t="s">
        <v>107</v>
      </c>
      <c r="K177" s="39" t="s">
        <v>108</v>
      </c>
      <c r="L177" s="43"/>
    </row>
    <row r="178" spans="2:12" ht="37.5" x14ac:dyDescent="0.25">
      <c r="B178" s="36" t="s">
        <v>337</v>
      </c>
      <c r="C178" s="37" t="s">
        <v>353</v>
      </c>
      <c r="D178" s="38" t="s">
        <v>354</v>
      </c>
      <c r="E178" s="39" t="s">
        <v>102</v>
      </c>
      <c r="F178" s="40">
        <v>26</v>
      </c>
      <c r="G178" s="41"/>
      <c r="H178" s="60"/>
      <c r="I178" s="39">
        <f t="shared" si="2"/>
        <v>0</v>
      </c>
      <c r="J178" s="36" t="s">
        <v>107</v>
      </c>
      <c r="K178" s="39" t="s">
        <v>108</v>
      </c>
      <c r="L178" s="43"/>
    </row>
    <row r="179" spans="2:12" ht="18.75" x14ac:dyDescent="0.25">
      <c r="B179" s="36" t="s">
        <v>337</v>
      </c>
      <c r="C179" s="37" t="s">
        <v>355</v>
      </c>
      <c r="D179" s="38" t="s">
        <v>356</v>
      </c>
      <c r="E179" s="39" t="s">
        <v>102</v>
      </c>
      <c r="F179" s="40">
        <v>26</v>
      </c>
      <c r="G179" s="41"/>
      <c r="H179" s="60"/>
      <c r="I179" s="39">
        <f t="shared" si="2"/>
        <v>0</v>
      </c>
      <c r="J179" s="36" t="s">
        <v>107</v>
      </c>
      <c r="K179" s="39" t="s">
        <v>108</v>
      </c>
      <c r="L179" s="43"/>
    </row>
    <row r="180" spans="2:12" ht="18.75" x14ac:dyDescent="0.25">
      <c r="B180" s="36" t="s">
        <v>337</v>
      </c>
      <c r="C180" s="37" t="s">
        <v>357</v>
      </c>
      <c r="D180" s="38" t="s">
        <v>358</v>
      </c>
      <c r="E180" s="39" t="s">
        <v>102</v>
      </c>
      <c r="F180" s="40">
        <v>15</v>
      </c>
      <c r="G180" s="41"/>
      <c r="H180" s="60"/>
      <c r="I180" s="39">
        <f t="shared" si="2"/>
        <v>0</v>
      </c>
      <c r="J180" s="36" t="s">
        <v>107</v>
      </c>
      <c r="K180" s="39" t="s">
        <v>108</v>
      </c>
      <c r="L180" s="43"/>
    </row>
    <row r="181" spans="2:12" ht="18.75" x14ac:dyDescent="0.25">
      <c r="B181" s="36" t="s">
        <v>337</v>
      </c>
      <c r="C181" s="37" t="s">
        <v>359</v>
      </c>
      <c r="D181" s="38" t="s">
        <v>360</v>
      </c>
      <c r="E181" s="39" t="s">
        <v>102</v>
      </c>
      <c r="F181" s="40">
        <v>15</v>
      </c>
      <c r="G181" s="41"/>
      <c r="H181" s="60"/>
      <c r="I181" s="39">
        <f t="shared" si="2"/>
        <v>0</v>
      </c>
      <c r="J181" s="36" t="s">
        <v>107</v>
      </c>
      <c r="K181" s="39" t="s">
        <v>108</v>
      </c>
      <c r="L181" s="43"/>
    </row>
    <row r="182" spans="2:12" ht="18.75" x14ac:dyDescent="0.25">
      <c r="B182" s="36" t="s">
        <v>337</v>
      </c>
      <c r="C182" s="37" t="s">
        <v>361</v>
      </c>
      <c r="D182" s="38" t="s">
        <v>362</v>
      </c>
      <c r="E182" s="39" t="s">
        <v>102</v>
      </c>
      <c r="F182" s="40">
        <v>15</v>
      </c>
      <c r="G182" s="41"/>
      <c r="H182" s="60"/>
      <c r="I182" s="39">
        <f t="shared" si="2"/>
        <v>0</v>
      </c>
      <c r="J182" s="36" t="s">
        <v>107</v>
      </c>
      <c r="K182" s="39" t="s">
        <v>108</v>
      </c>
      <c r="L182" s="43"/>
    </row>
    <row r="183" spans="2:12" ht="131.25" x14ac:dyDescent="0.25">
      <c r="B183" s="36" t="s">
        <v>363</v>
      </c>
      <c r="C183" s="37"/>
      <c r="D183" s="44" t="s">
        <v>364</v>
      </c>
      <c r="E183" s="39"/>
      <c r="F183" s="40"/>
      <c r="G183" s="41"/>
      <c r="H183" s="42"/>
      <c r="I183" s="39"/>
      <c r="J183" s="36"/>
      <c r="K183" s="39"/>
      <c r="L183" s="43"/>
    </row>
    <row r="184" spans="2:12" ht="18.75" x14ac:dyDescent="0.25">
      <c r="B184" s="36" t="s">
        <v>363</v>
      </c>
      <c r="C184" s="37" t="s">
        <v>365</v>
      </c>
      <c r="D184" s="38" t="s">
        <v>366</v>
      </c>
      <c r="E184" s="39" t="s">
        <v>60</v>
      </c>
      <c r="F184" s="40">
        <v>12</v>
      </c>
      <c r="G184" s="41"/>
      <c r="H184" s="42"/>
      <c r="I184" s="39">
        <f>F184*G184</f>
        <v>0</v>
      </c>
      <c r="J184" s="36" t="s">
        <v>107</v>
      </c>
      <c r="K184" s="39" t="s">
        <v>108</v>
      </c>
      <c r="L184" s="43"/>
    </row>
    <row r="185" spans="2:12" ht="187.5" x14ac:dyDescent="0.25">
      <c r="B185" s="36" t="s">
        <v>363</v>
      </c>
      <c r="C185" s="37"/>
      <c r="D185" s="44" t="s">
        <v>367</v>
      </c>
      <c r="E185" s="39"/>
      <c r="F185" s="40"/>
      <c r="G185" s="41"/>
      <c r="H185" s="42"/>
      <c r="I185" s="39"/>
      <c r="J185" s="36"/>
      <c r="K185" s="39"/>
      <c r="L185" s="43"/>
    </row>
    <row r="186" spans="2:12" ht="18.75" x14ac:dyDescent="0.25">
      <c r="B186" s="36" t="s">
        <v>363</v>
      </c>
      <c r="C186" s="37" t="s">
        <v>368</v>
      </c>
      <c r="D186" s="38" t="s">
        <v>369</v>
      </c>
      <c r="E186" s="39" t="s">
        <v>102</v>
      </c>
      <c r="F186" s="40">
        <v>67</v>
      </c>
      <c r="G186" s="52"/>
      <c r="H186" s="42"/>
      <c r="I186" s="39">
        <f t="shared" ref="I186:I194" si="3">F186*G186</f>
        <v>0</v>
      </c>
      <c r="J186" s="36">
        <v>2159</v>
      </c>
      <c r="K186" s="39" t="s">
        <v>30</v>
      </c>
      <c r="L186" s="43"/>
    </row>
    <row r="187" spans="2:12" ht="18.75" x14ac:dyDescent="0.25">
      <c r="B187" s="36" t="s">
        <v>363</v>
      </c>
      <c r="C187" s="37" t="s">
        <v>370</v>
      </c>
      <c r="D187" s="38" t="s">
        <v>371</v>
      </c>
      <c r="E187" s="39" t="s">
        <v>102</v>
      </c>
      <c r="F187" s="40">
        <v>2</v>
      </c>
      <c r="G187" s="52"/>
      <c r="H187" s="42"/>
      <c r="I187" s="39">
        <f t="shared" si="3"/>
        <v>0</v>
      </c>
      <c r="J187" s="36">
        <v>2159</v>
      </c>
      <c r="K187" s="39" t="s">
        <v>30</v>
      </c>
      <c r="L187" s="43"/>
    </row>
    <row r="188" spans="2:12" ht="18.75" x14ac:dyDescent="0.25">
      <c r="B188" s="36" t="s">
        <v>363</v>
      </c>
      <c r="C188" s="37" t="s">
        <v>372</v>
      </c>
      <c r="D188" s="38" t="s">
        <v>373</v>
      </c>
      <c r="E188" s="39" t="s">
        <v>102</v>
      </c>
      <c r="F188" s="40">
        <v>14</v>
      </c>
      <c r="G188" s="52"/>
      <c r="H188" s="42"/>
      <c r="I188" s="39">
        <f t="shared" si="3"/>
        <v>0</v>
      </c>
      <c r="J188" s="36">
        <v>2159</v>
      </c>
      <c r="K188" s="39" t="s">
        <v>30</v>
      </c>
      <c r="L188" s="43"/>
    </row>
    <row r="189" spans="2:12" ht="18.75" x14ac:dyDescent="0.25">
      <c r="B189" s="36" t="s">
        <v>363</v>
      </c>
      <c r="C189" s="37" t="s">
        <v>374</v>
      </c>
      <c r="D189" s="38" t="s">
        <v>375</v>
      </c>
      <c r="E189" s="39" t="s">
        <v>102</v>
      </c>
      <c r="F189" s="40">
        <v>8</v>
      </c>
      <c r="G189" s="52"/>
      <c r="H189" s="42"/>
      <c r="I189" s="39">
        <f t="shared" si="3"/>
        <v>0</v>
      </c>
      <c r="J189" s="36">
        <v>2159</v>
      </c>
      <c r="K189" s="39" t="s">
        <v>30</v>
      </c>
      <c r="L189" s="43"/>
    </row>
    <row r="190" spans="2:12" ht="18.75" x14ac:dyDescent="0.25">
      <c r="B190" s="36" t="s">
        <v>363</v>
      </c>
      <c r="C190" s="37" t="s">
        <v>376</v>
      </c>
      <c r="D190" s="38" t="s">
        <v>377</v>
      </c>
      <c r="E190" s="39" t="s">
        <v>102</v>
      </c>
      <c r="F190" s="40">
        <v>4</v>
      </c>
      <c r="G190" s="52"/>
      <c r="H190" s="42"/>
      <c r="I190" s="39">
        <f t="shared" si="3"/>
        <v>0</v>
      </c>
      <c r="J190" s="36">
        <v>2159</v>
      </c>
      <c r="K190" s="39" t="s">
        <v>30</v>
      </c>
      <c r="L190" s="43"/>
    </row>
    <row r="191" spans="2:12" ht="18.75" x14ac:dyDescent="0.25">
      <c r="B191" s="36" t="s">
        <v>363</v>
      </c>
      <c r="C191" s="37" t="s">
        <v>378</v>
      </c>
      <c r="D191" s="38" t="s">
        <v>379</v>
      </c>
      <c r="E191" s="39" t="s">
        <v>102</v>
      </c>
      <c r="F191" s="40">
        <v>2</v>
      </c>
      <c r="G191" s="52"/>
      <c r="H191" s="42"/>
      <c r="I191" s="39">
        <f t="shared" si="3"/>
        <v>0</v>
      </c>
      <c r="J191" s="36">
        <v>2159</v>
      </c>
      <c r="K191" s="39" t="s">
        <v>30</v>
      </c>
      <c r="L191" s="43"/>
    </row>
    <row r="192" spans="2:12" ht="18.75" x14ac:dyDescent="0.25">
      <c r="B192" s="36" t="s">
        <v>363</v>
      </c>
      <c r="C192" s="37" t="s">
        <v>380</v>
      </c>
      <c r="D192" s="38" t="s">
        <v>381</v>
      </c>
      <c r="E192" s="39" t="s">
        <v>102</v>
      </c>
      <c r="F192" s="40">
        <v>1</v>
      </c>
      <c r="G192" s="52"/>
      <c r="H192" s="42"/>
      <c r="I192" s="39">
        <f t="shared" si="3"/>
        <v>0</v>
      </c>
      <c r="J192" s="36">
        <v>2159</v>
      </c>
      <c r="K192" s="39" t="s">
        <v>30</v>
      </c>
      <c r="L192" s="43"/>
    </row>
    <row r="193" spans="2:12" ht="18.75" x14ac:dyDescent="0.25">
      <c r="B193" s="36" t="s">
        <v>363</v>
      </c>
      <c r="C193" s="37" t="s">
        <v>382</v>
      </c>
      <c r="D193" s="38" t="s">
        <v>383</v>
      </c>
      <c r="E193" s="39" t="s">
        <v>102</v>
      </c>
      <c r="F193" s="40">
        <v>11</v>
      </c>
      <c r="G193" s="52"/>
      <c r="H193" s="42"/>
      <c r="I193" s="39">
        <f t="shared" si="3"/>
        <v>0</v>
      </c>
      <c r="J193" s="36">
        <v>2159</v>
      </c>
      <c r="K193" s="39" t="s">
        <v>30</v>
      </c>
      <c r="L193" s="43"/>
    </row>
    <row r="194" spans="2:12" ht="18.75" x14ac:dyDescent="0.25">
      <c r="B194" s="36" t="s">
        <v>363</v>
      </c>
      <c r="C194" s="37" t="s">
        <v>384</v>
      </c>
      <c r="D194" s="38" t="s">
        <v>385</v>
      </c>
      <c r="E194" s="39" t="s">
        <v>102</v>
      </c>
      <c r="F194" s="40">
        <v>9</v>
      </c>
      <c r="G194" s="52"/>
      <c r="H194" s="42"/>
      <c r="I194" s="39">
        <f t="shared" si="3"/>
        <v>0</v>
      </c>
      <c r="J194" s="36">
        <v>2159</v>
      </c>
      <c r="K194" s="39" t="s">
        <v>30</v>
      </c>
      <c r="L194" s="43"/>
    </row>
    <row r="195" spans="2:12" ht="150" x14ac:dyDescent="0.25">
      <c r="B195" s="36" t="s">
        <v>386</v>
      </c>
      <c r="C195" s="37"/>
      <c r="D195" s="44" t="s">
        <v>387</v>
      </c>
      <c r="E195" s="39"/>
      <c r="F195" s="40"/>
      <c r="G195" s="41"/>
      <c r="H195" s="42"/>
      <c r="I195" s="39"/>
      <c r="J195" s="36"/>
      <c r="K195" s="39"/>
      <c r="L195" s="43"/>
    </row>
    <row r="196" spans="2:12" ht="18.75" x14ac:dyDescent="0.25">
      <c r="B196" s="36" t="s">
        <v>386</v>
      </c>
      <c r="C196" s="37" t="s">
        <v>388</v>
      </c>
      <c r="D196" s="38" t="s">
        <v>389</v>
      </c>
      <c r="E196" s="39" t="s">
        <v>102</v>
      </c>
      <c r="F196" s="40">
        <v>2</v>
      </c>
      <c r="G196" s="41"/>
      <c r="H196" s="42"/>
      <c r="I196" s="39">
        <f t="shared" ref="I196:I203" si="4">F196*G196</f>
        <v>0</v>
      </c>
      <c r="J196" s="36" t="s">
        <v>107</v>
      </c>
      <c r="K196" s="39" t="s">
        <v>108</v>
      </c>
      <c r="L196" s="43"/>
    </row>
    <row r="197" spans="2:12" ht="18.75" x14ac:dyDescent="0.25">
      <c r="B197" s="36" t="s">
        <v>386</v>
      </c>
      <c r="C197" s="37" t="s">
        <v>390</v>
      </c>
      <c r="D197" s="38" t="s">
        <v>391</v>
      </c>
      <c r="E197" s="39" t="s">
        <v>102</v>
      </c>
      <c r="F197" s="40">
        <v>2</v>
      </c>
      <c r="G197" s="41"/>
      <c r="H197" s="42"/>
      <c r="I197" s="39">
        <f t="shared" si="4"/>
        <v>0</v>
      </c>
      <c r="J197" s="36" t="s">
        <v>107</v>
      </c>
      <c r="K197" s="39" t="s">
        <v>108</v>
      </c>
      <c r="L197" s="43"/>
    </row>
    <row r="198" spans="2:12" ht="18.75" x14ac:dyDescent="0.25">
      <c r="B198" s="36" t="s">
        <v>386</v>
      </c>
      <c r="C198" s="37" t="s">
        <v>392</v>
      </c>
      <c r="D198" s="38" t="s">
        <v>393</v>
      </c>
      <c r="E198" s="39" t="s">
        <v>102</v>
      </c>
      <c r="F198" s="40">
        <v>2</v>
      </c>
      <c r="G198" s="41"/>
      <c r="H198" s="42"/>
      <c r="I198" s="39">
        <f t="shared" si="4"/>
        <v>0</v>
      </c>
      <c r="J198" s="36" t="s">
        <v>107</v>
      </c>
      <c r="K198" s="39" t="s">
        <v>108</v>
      </c>
      <c r="L198" s="43"/>
    </row>
    <row r="199" spans="2:12" ht="18.75" x14ac:dyDescent="0.25">
      <c r="B199" s="36" t="s">
        <v>386</v>
      </c>
      <c r="C199" s="37" t="s">
        <v>394</v>
      </c>
      <c r="D199" s="38" t="s">
        <v>395</v>
      </c>
      <c r="E199" s="39" t="s">
        <v>102</v>
      </c>
      <c r="F199" s="40">
        <v>1</v>
      </c>
      <c r="G199" s="41"/>
      <c r="H199" s="42"/>
      <c r="I199" s="39">
        <f t="shared" si="4"/>
        <v>0</v>
      </c>
      <c r="J199" s="36" t="s">
        <v>107</v>
      </c>
      <c r="K199" s="39" t="s">
        <v>108</v>
      </c>
      <c r="L199" s="43"/>
    </row>
    <row r="200" spans="2:12" ht="18.75" x14ac:dyDescent="0.25">
      <c r="B200" s="36" t="s">
        <v>386</v>
      </c>
      <c r="C200" s="37" t="s">
        <v>396</v>
      </c>
      <c r="D200" s="38" t="s">
        <v>397</v>
      </c>
      <c r="E200" s="39" t="s">
        <v>102</v>
      </c>
      <c r="F200" s="40">
        <v>2</v>
      </c>
      <c r="G200" s="41"/>
      <c r="H200" s="42"/>
      <c r="I200" s="39">
        <f t="shared" si="4"/>
        <v>0</v>
      </c>
      <c r="J200" s="36" t="s">
        <v>107</v>
      </c>
      <c r="K200" s="39" t="s">
        <v>108</v>
      </c>
      <c r="L200" s="43"/>
    </row>
    <row r="201" spans="2:12" ht="18.75" x14ac:dyDescent="0.25">
      <c r="B201" s="36" t="s">
        <v>386</v>
      </c>
      <c r="C201" s="37" t="s">
        <v>398</v>
      </c>
      <c r="D201" s="38" t="s">
        <v>399</v>
      </c>
      <c r="E201" s="39" t="s">
        <v>102</v>
      </c>
      <c r="F201" s="40">
        <v>1</v>
      </c>
      <c r="G201" s="41"/>
      <c r="H201" s="42"/>
      <c r="I201" s="39">
        <f t="shared" si="4"/>
        <v>0</v>
      </c>
      <c r="J201" s="36" t="s">
        <v>107</v>
      </c>
      <c r="K201" s="39" t="s">
        <v>108</v>
      </c>
      <c r="L201" s="43"/>
    </row>
    <row r="202" spans="2:12" ht="18.75" x14ac:dyDescent="0.25">
      <c r="B202" s="36" t="s">
        <v>386</v>
      </c>
      <c r="C202" s="37" t="s">
        <v>400</v>
      </c>
      <c r="D202" s="38" t="s">
        <v>401</v>
      </c>
      <c r="E202" s="39" t="s">
        <v>102</v>
      </c>
      <c r="F202" s="40">
        <v>1</v>
      </c>
      <c r="G202" s="41"/>
      <c r="H202" s="42"/>
      <c r="I202" s="39">
        <f t="shared" si="4"/>
        <v>0</v>
      </c>
      <c r="J202" s="36" t="s">
        <v>107</v>
      </c>
      <c r="K202" s="39" t="s">
        <v>108</v>
      </c>
      <c r="L202" s="43"/>
    </row>
    <row r="203" spans="2:12" ht="18.75" x14ac:dyDescent="0.25">
      <c r="B203" s="36" t="s">
        <v>386</v>
      </c>
      <c r="C203" s="37" t="s">
        <v>402</v>
      </c>
      <c r="D203" s="38" t="s">
        <v>403</v>
      </c>
      <c r="E203" s="39" t="s">
        <v>102</v>
      </c>
      <c r="F203" s="40">
        <v>1</v>
      </c>
      <c r="G203" s="41"/>
      <c r="H203" s="42"/>
      <c r="I203" s="39">
        <f t="shared" si="4"/>
        <v>0</v>
      </c>
      <c r="J203" s="36" t="s">
        <v>107</v>
      </c>
      <c r="K203" s="39" t="s">
        <v>108</v>
      </c>
      <c r="L203" s="43"/>
    </row>
    <row r="204" spans="2:12" ht="93.75" x14ac:dyDescent="0.25">
      <c r="B204" s="36" t="s">
        <v>404</v>
      </c>
      <c r="C204" s="37"/>
      <c r="D204" s="44" t="s">
        <v>405</v>
      </c>
      <c r="E204" s="39"/>
      <c r="F204" s="61"/>
      <c r="G204" s="41"/>
      <c r="H204" s="42"/>
      <c r="I204" s="39"/>
      <c r="J204" s="36"/>
      <c r="K204" s="39"/>
      <c r="L204" s="43"/>
    </row>
    <row r="205" spans="2:12" ht="18.75" x14ac:dyDescent="0.25">
      <c r="B205" s="36" t="s">
        <v>404</v>
      </c>
      <c r="C205" s="37" t="s">
        <v>406</v>
      </c>
      <c r="D205" s="38" t="s">
        <v>407</v>
      </c>
      <c r="E205" s="39" t="s">
        <v>102</v>
      </c>
      <c r="F205" s="40">
        <v>1</v>
      </c>
      <c r="G205" s="41"/>
      <c r="H205" s="42"/>
      <c r="I205" s="39">
        <f>F205*G205</f>
        <v>0</v>
      </c>
      <c r="J205" s="36" t="s">
        <v>107</v>
      </c>
      <c r="K205" s="39" t="s">
        <v>108</v>
      </c>
      <c r="L205" s="43"/>
    </row>
    <row r="206" spans="2:12" ht="18.75" x14ac:dyDescent="0.25">
      <c r="B206" s="36" t="s">
        <v>404</v>
      </c>
      <c r="C206" s="37" t="s">
        <v>408</v>
      </c>
      <c r="D206" s="38" t="s">
        <v>409</v>
      </c>
      <c r="E206" s="39" t="s">
        <v>102</v>
      </c>
      <c r="F206" s="40">
        <v>1</v>
      </c>
      <c r="G206" s="41"/>
      <c r="H206" s="42"/>
      <c r="I206" s="39">
        <f t="shared" ref="I206:I269" si="5">F206*G206</f>
        <v>0</v>
      </c>
      <c r="J206" s="36" t="s">
        <v>107</v>
      </c>
      <c r="K206" s="39" t="s">
        <v>108</v>
      </c>
      <c r="L206" s="43"/>
    </row>
    <row r="207" spans="2:12" ht="18.75" x14ac:dyDescent="0.25">
      <c r="B207" s="36" t="s">
        <v>404</v>
      </c>
      <c r="C207" s="37" t="s">
        <v>410</v>
      </c>
      <c r="D207" s="38" t="s">
        <v>411</v>
      </c>
      <c r="E207" s="39" t="s">
        <v>102</v>
      </c>
      <c r="F207" s="40">
        <v>1</v>
      </c>
      <c r="G207" s="41"/>
      <c r="H207" s="42"/>
      <c r="I207" s="39">
        <f t="shared" si="5"/>
        <v>0</v>
      </c>
      <c r="J207" s="36" t="s">
        <v>107</v>
      </c>
      <c r="K207" s="39" t="s">
        <v>108</v>
      </c>
      <c r="L207" s="43"/>
    </row>
    <row r="208" spans="2:12" ht="18.75" x14ac:dyDescent="0.25">
      <c r="B208" s="36" t="s">
        <v>404</v>
      </c>
      <c r="C208" s="37" t="s">
        <v>412</v>
      </c>
      <c r="D208" s="38" t="s">
        <v>413</v>
      </c>
      <c r="E208" s="39" t="s">
        <v>102</v>
      </c>
      <c r="F208" s="40">
        <v>1</v>
      </c>
      <c r="G208" s="41"/>
      <c r="H208" s="42"/>
      <c r="I208" s="39">
        <f t="shared" si="5"/>
        <v>0</v>
      </c>
      <c r="J208" s="36" t="s">
        <v>107</v>
      </c>
      <c r="K208" s="39" t="s">
        <v>108</v>
      </c>
      <c r="L208" s="43"/>
    </row>
    <row r="209" spans="2:12" ht="18.75" x14ac:dyDescent="0.25">
      <c r="B209" s="36" t="s">
        <v>404</v>
      </c>
      <c r="C209" s="37" t="s">
        <v>414</v>
      </c>
      <c r="D209" s="38" t="s">
        <v>415</v>
      </c>
      <c r="E209" s="39" t="s">
        <v>102</v>
      </c>
      <c r="F209" s="40">
        <v>1</v>
      </c>
      <c r="G209" s="41"/>
      <c r="H209" s="42"/>
      <c r="I209" s="39">
        <f t="shared" si="5"/>
        <v>0</v>
      </c>
      <c r="J209" s="36" t="s">
        <v>107</v>
      </c>
      <c r="K209" s="39" t="s">
        <v>108</v>
      </c>
      <c r="L209" s="43"/>
    </row>
    <row r="210" spans="2:12" ht="18.75" x14ac:dyDescent="0.25">
      <c r="B210" s="36" t="s">
        <v>404</v>
      </c>
      <c r="C210" s="37" t="s">
        <v>416</v>
      </c>
      <c r="D210" s="38" t="s">
        <v>417</v>
      </c>
      <c r="E210" s="39" t="s">
        <v>102</v>
      </c>
      <c r="F210" s="40">
        <v>1</v>
      </c>
      <c r="G210" s="41"/>
      <c r="H210" s="42"/>
      <c r="I210" s="39">
        <f t="shared" si="5"/>
        <v>0</v>
      </c>
      <c r="J210" s="36" t="s">
        <v>107</v>
      </c>
      <c r="K210" s="39" t="s">
        <v>108</v>
      </c>
      <c r="L210" s="43"/>
    </row>
    <row r="211" spans="2:12" ht="18.75" x14ac:dyDescent="0.25">
      <c r="B211" s="36" t="s">
        <v>404</v>
      </c>
      <c r="C211" s="37" t="s">
        <v>418</v>
      </c>
      <c r="D211" s="38" t="s">
        <v>419</v>
      </c>
      <c r="E211" s="39" t="s">
        <v>102</v>
      </c>
      <c r="F211" s="40">
        <v>1</v>
      </c>
      <c r="G211" s="41"/>
      <c r="H211" s="42"/>
      <c r="I211" s="39">
        <f t="shared" si="5"/>
        <v>0</v>
      </c>
      <c r="J211" s="36" t="s">
        <v>107</v>
      </c>
      <c r="K211" s="39" t="s">
        <v>108</v>
      </c>
      <c r="L211" s="43"/>
    </row>
    <row r="212" spans="2:12" ht="18.75" x14ac:dyDescent="0.25">
      <c r="B212" s="36" t="s">
        <v>404</v>
      </c>
      <c r="C212" s="37" t="s">
        <v>420</v>
      </c>
      <c r="D212" s="38" t="s">
        <v>421</v>
      </c>
      <c r="E212" s="39" t="s">
        <v>102</v>
      </c>
      <c r="F212" s="40">
        <v>1</v>
      </c>
      <c r="G212" s="41"/>
      <c r="H212" s="42"/>
      <c r="I212" s="39">
        <f t="shared" si="5"/>
        <v>0</v>
      </c>
      <c r="J212" s="36" t="s">
        <v>107</v>
      </c>
      <c r="K212" s="39" t="s">
        <v>108</v>
      </c>
      <c r="L212" s="43"/>
    </row>
    <row r="213" spans="2:12" ht="18.75" x14ac:dyDescent="0.25">
      <c r="B213" s="36" t="s">
        <v>404</v>
      </c>
      <c r="C213" s="37" t="s">
        <v>422</v>
      </c>
      <c r="D213" s="38" t="s">
        <v>423</v>
      </c>
      <c r="E213" s="39" t="s">
        <v>102</v>
      </c>
      <c r="F213" s="40">
        <v>1</v>
      </c>
      <c r="G213" s="41"/>
      <c r="H213" s="42"/>
      <c r="I213" s="39">
        <f t="shared" si="5"/>
        <v>0</v>
      </c>
      <c r="J213" s="36" t="s">
        <v>107</v>
      </c>
      <c r="K213" s="39" t="s">
        <v>108</v>
      </c>
      <c r="L213" s="43"/>
    </row>
    <row r="214" spans="2:12" ht="18.75" x14ac:dyDescent="0.25">
      <c r="B214" s="36" t="s">
        <v>404</v>
      </c>
      <c r="C214" s="37" t="s">
        <v>424</v>
      </c>
      <c r="D214" s="38" t="s">
        <v>425</v>
      </c>
      <c r="E214" s="39" t="s">
        <v>102</v>
      </c>
      <c r="F214" s="40">
        <v>2</v>
      </c>
      <c r="G214" s="41"/>
      <c r="H214" s="42"/>
      <c r="I214" s="39">
        <f t="shared" si="5"/>
        <v>0</v>
      </c>
      <c r="J214" s="36" t="s">
        <v>107</v>
      </c>
      <c r="K214" s="39" t="s">
        <v>108</v>
      </c>
      <c r="L214" s="43"/>
    </row>
    <row r="215" spans="2:12" ht="18.75" x14ac:dyDescent="0.25">
      <c r="B215" s="36" t="s">
        <v>404</v>
      </c>
      <c r="C215" s="37" t="s">
        <v>426</v>
      </c>
      <c r="D215" s="38" t="s">
        <v>427</v>
      </c>
      <c r="E215" s="39" t="s">
        <v>102</v>
      </c>
      <c r="F215" s="40">
        <v>3</v>
      </c>
      <c r="G215" s="41"/>
      <c r="H215" s="42"/>
      <c r="I215" s="39">
        <f t="shared" si="5"/>
        <v>0</v>
      </c>
      <c r="J215" s="36" t="s">
        <v>107</v>
      </c>
      <c r="K215" s="39" t="s">
        <v>108</v>
      </c>
      <c r="L215" s="43"/>
    </row>
    <row r="216" spans="2:12" ht="18.75" x14ac:dyDescent="0.25">
      <c r="B216" s="36" t="s">
        <v>404</v>
      </c>
      <c r="C216" s="37" t="s">
        <v>428</v>
      </c>
      <c r="D216" s="38" t="s">
        <v>429</v>
      </c>
      <c r="E216" s="39" t="s">
        <v>102</v>
      </c>
      <c r="F216" s="40">
        <v>1</v>
      </c>
      <c r="G216" s="41"/>
      <c r="H216" s="42"/>
      <c r="I216" s="39">
        <f t="shared" si="5"/>
        <v>0</v>
      </c>
      <c r="J216" s="36" t="s">
        <v>107</v>
      </c>
      <c r="K216" s="39" t="s">
        <v>108</v>
      </c>
      <c r="L216" s="43"/>
    </row>
    <row r="217" spans="2:12" ht="18.75" x14ac:dyDescent="0.25">
      <c r="B217" s="36" t="s">
        <v>404</v>
      </c>
      <c r="C217" s="37" t="s">
        <v>430</v>
      </c>
      <c r="D217" s="38" t="s">
        <v>431</v>
      </c>
      <c r="E217" s="39" t="s">
        <v>102</v>
      </c>
      <c r="F217" s="40">
        <v>3</v>
      </c>
      <c r="G217" s="41"/>
      <c r="H217" s="42"/>
      <c r="I217" s="39">
        <f t="shared" si="5"/>
        <v>0</v>
      </c>
      <c r="J217" s="36" t="s">
        <v>107</v>
      </c>
      <c r="K217" s="39" t="s">
        <v>108</v>
      </c>
      <c r="L217" s="43"/>
    </row>
    <row r="218" spans="2:12" ht="18.75" x14ac:dyDescent="0.25">
      <c r="B218" s="36" t="s">
        <v>404</v>
      </c>
      <c r="C218" s="37" t="s">
        <v>432</v>
      </c>
      <c r="D218" s="38" t="s">
        <v>433</v>
      </c>
      <c r="E218" s="39" t="s">
        <v>102</v>
      </c>
      <c r="F218" s="40">
        <v>5</v>
      </c>
      <c r="G218" s="41"/>
      <c r="H218" s="42"/>
      <c r="I218" s="39">
        <f t="shared" si="5"/>
        <v>0</v>
      </c>
      <c r="J218" s="36" t="s">
        <v>107</v>
      </c>
      <c r="K218" s="39" t="s">
        <v>108</v>
      </c>
      <c r="L218" s="43"/>
    </row>
    <row r="219" spans="2:12" ht="18.75" x14ac:dyDescent="0.25">
      <c r="B219" s="36" t="s">
        <v>404</v>
      </c>
      <c r="C219" s="37" t="s">
        <v>434</v>
      </c>
      <c r="D219" s="38" t="s">
        <v>435</v>
      </c>
      <c r="E219" s="39" t="s">
        <v>102</v>
      </c>
      <c r="F219" s="40">
        <v>11</v>
      </c>
      <c r="G219" s="41"/>
      <c r="H219" s="42"/>
      <c r="I219" s="39">
        <f t="shared" si="5"/>
        <v>0</v>
      </c>
      <c r="J219" s="36" t="s">
        <v>107</v>
      </c>
      <c r="K219" s="39" t="s">
        <v>108</v>
      </c>
      <c r="L219" s="43"/>
    </row>
    <row r="220" spans="2:12" ht="18.75" x14ac:dyDescent="0.25">
      <c r="B220" s="36" t="s">
        <v>404</v>
      </c>
      <c r="C220" s="37" t="s">
        <v>436</v>
      </c>
      <c r="D220" s="38" t="s">
        <v>437</v>
      </c>
      <c r="E220" s="39" t="s">
        <v>102</v>
      </c>
      <c r="F220" s="40">
        <v>7</v>
      </c>
      <c r="G220" s="41"/>
      <c r="H220" s="42"/>
      <c r="I220" s="39">
        <f t="shared" si="5"/>
        <v>0</v>
      </c>
      <c r="J220" s="36" t="s">
        <v>107</v>
      </c>
      <c r="K220" s="39" t="s">
        <v>108</v>
      </c>
      <c r="L220" s="43"/>
    </row>
    <row r="221" spans="2:12" ht="18.75" x14ac:dyDescent="0.25">
      <c r="B221" s="36" t="s">
        <v>404</v>
      </c>
      <c r="C221" s="37" t="s">
        <v>438</v>
      </c>
      <c r="D221" s="38" t="s">
        <v>439</v>
      </c>
      <c r="E221" s="39" t="s">
        <v>102</v>
      </c>
      <c r="F221" s="40">
        <v>11</v>
      </c>
      <c r="G221" s="41"/>
      <c r="H221" s="42"/>
      <c r="I221" s="39">
        <f t="shared" si="5"/>
        <v>0</v>
      </c>
      <c r="J221" s="36" t="s">
        <v>107</v>
      </c>
      <c r="K221" s="39" t="s">
        <v>108</v>
      </c>
      <c r="L221" s="43"/>
    </row>
    <row r="222" spans="2:12" ht="18.75" x14ac:dyDescent="0.25">
      <c r="B222" s="36" t="s">
        <v>404</v>
      </c>
      <c r="C222" s="37" t="s">
        <v>440</v>
      </c>
      <c r="D222" s="38" t="s">
        <v>441</v>
      </c>
      <c r="E222" s="39" t="s">
        <v>102</v>
      </c>
      <c r="F222" s="40">
        <v>4</v>
      </c>
      <c r="G222" s="41"/>
      <c r="H222" s="42"/>
      <c r="I222" s="39">
        <f t="shared" si="5"/>
        <v>0</v>
      </c>
      <c r="J222" s="36" t="s">
        <v>107</v>
      </c>
      <c r="K222" s="39" t="s">
        <v>108</v>
      </c>
      <c r="L222" s="43"/>
    </row>
    <row r="223" spans="2:12" ht="18.75" x14ac:dyDescent="0.25">
      <c r="B223" s="36" t="s">
        <v>404</v>
      </c>
      <c r="C223" s="37" t="s">
        <v>442</v>
      </c>
      <c r="D223" s="38" t="s">
        <v>443</v>
      </c>
      <c r="E223" s="39" t="s">
        <v>102</v>
      </c>
      <c r="F223" s="40">
        <v>21</v>
      </c>
      <c r="G223" s="41"/>
      <c r="H223" s="42"/>
      <c r="I223" s="39">
        <f t="shared" si="5"/>
        <v>0</v>
      </c>
      <c r="J223" s="36" t="s">
        <v>107</v>
      </c>
      <c r="K223" s="39" t="s">
        <v>108</v>
      </c>
      <c r="L223" s="43"/>
    </row>
    <row r="224" spans="2:12" ht="18.75" x14ac:dyDescent="0.25">
      <c r="B224" s="36" t="s">
        <v>404</v>
      </c>
      <c r="C224" s="37" t="s">
        <v>444</v>
      </c>
      <c r="D224" s="38" t="s">
        <v>445</v>
      </c>
      <c r="E224" s="39" t="s">
        <v>102</v>
      </c>
      <c r="F224" s="40">
        <v>1</v>
      </c>
      <c r="G224" s="41"/>
      <c r="H224" s="42"/>
      <c r="I224" s="39">
        <f t="shared" si="5"/>
        <v>0</v>
      </c>
      <c r="J224" s="36" t="s">
        <v>107</v>
      </c>
      <c r="K224" s="39" t="s">
        <v>108</v>
      </c>
      <c r="L224" s="43"/>
    </row>
    <row r="225" spans="2:12" ht="18.75" x14ac:dyDescent="0.25">
      <c r="B225" s="36" t="s">
        <v>404</v>
      </c>
      <c r="C225" s="37" t="s">
        <v>446</v>
      </c>
      <c r="D225" s="38" t="s">
        <v>447</v>
      </c>
      <c r="E225" s="39" t="s">
        <v>102</v>
      </c>
      <c r="F225" s="40">
        <v>1</v>
      </c>
      <c r="G225" s="41"/>
      <c r="H225" s="42"/>
      <c r="I225" s="39">
        <f t="shared" si="5"/>
        <v>0</v>
      </c>
      <c r="J225" s="36" t="s">
        <v>107</v>
      </c>
      <c r="K225" s="39" t="s">
        <v>108</v>
      </c>
      <c r="L225" s="43"/>
    </row>
    <row r="226" spans="2:12" ht="18.75" x14ac:dyDescent="0.25">
      <c r="B226" s="36" t="s">
        <v>404</v>
      </c>
      <c r="C226" s="37" t="s">
        <v>448</v>
      </c>
      <c r="D226" s="38" t="s">
        <v>449</v>
      </c>
      <c r="E226" s="39" t="s">
        <v>102</v>
      </c>
      <c r="F226" s="40">
        <v>1</v>
      </c>
      <c r="G226" s="41"/>
      <c r="H226" s="42"/>
      <c r="I226" s="39">
        <f t="shared" si="5"/>
        <v>0</v>
      </c>
      <c r="J226" s="36" t="s">
        <v>107</v>
      </c>
      <c r="K226" s="39" t="s">
        <v>108</v>
      </c>
      <c r="L226" s="43"/>
    </row>
    <row r="227" spans="2:12" ht="18.75" x14ac:dyDescent="0.25">
      <c r="B227" s="36" t="s">
        <v>404</v>
      </c>
      <c r="C227" s="37" t="s">
        <v>450</v>
      </c>
      <c r="D227" s="38" t="s">
        <v>451</v>
      </c>
      <c r="E227" s="39" t="s">
        <v>102</v>
      </c>
      <c r="F227" s="40">
        <v>4</v>
      </c>
      <c r="G227" s="41"/>
      <c r="H227" s="42"/>
      <c r="I227" s="39">
        <f t="shared" si="5"/>
        <v>0</v>
      </c>
      <c r="J227" s="36" t="s">
        <v>107</v>
      </c>
      <c r="K227" s="39" t="s">
        <v>108</v>
      </c>
      <c r="L227" s="43"/>
    </row>
    <row r="228" spans="2:12" ht="18.75" x14ac:dyDescent="0.25">
      <c r="B228" s="36" t="s">
        <v>404</v>
      </c>
      <c r="C228" s="37" t="s">
        <v>452</v>
      </c>
      <c r="D228" s="38" t="s">
        <v>453</v>
      </c>
      <c r="E228" s="39" t="s">
        <v>102</v>
      </c>
      <c r="F228" s="40">
        <v>11</v>
      </c>
      <c r="G228" s="41"/>
      <c r="H228" s="42"/>
      <c r="I228" s="39">
        <f t="shared" si="5"/>
        <v>0</v>
      </c>
      <c r="J228" s="36" t="s">
        <v>107</v>
      </c>
      <c r="K228" s="39" t="s">
        <v>108</v>
      </c>
      <c r="L228" s="43"/>
    </row>
    <row r="229" spans="2:12" ht="18.75" x14ac:dyDescent="0.25">
      <c r="B229" s="36" t="s">
        <v>404</v>
      </c>
      <c r="C229" s="37" t="s">
        <v>454</v>
      </c>
      <c r="D229" s="38" t="s">
        <v>455</v>
      </c>
      <c r="E229" s="39" t="s">
        <v>102</v>
      </c>
      <c r="F229" s="40">
        <v>5</v>
      </c>
      <c r="G229" s="41"/>
      <c r="H229" s="42"/>
      <c r="I229" s="39">
        <f t="shared" si="5"/>
        <v>0</v>
      </c>
      <c r="J229" s="36" t="s">
        <v>107</v>
      </c>
      <c r="K229" s="39" t="s">
        <v>108</v>
      </c>
      <c r="L229" s="43"/>
    </row>
    <row r="230" spans="2:12" ht="18.75" x14ac:dyDescent="0.25">
      <c r="B230" s="36" t="s">
        <v>404</v>
      </c>
      <c r="C230" s="37" t="s">
        <v>456</v>
      </c>
      <c r="D230" s="38" t="s">
        <v>457</v>
      </c>
      <c r="E230" s="39" t="s">
        <v>102</v>
      </c>
      <c r="F230" s="40">
        <v>11</v>
      </c>
      <c r="G230" s="41"/>
      <c r="H230" s="42"/>
      <c r="I230" s="39">
        <f t="shared" si="5"/>
        <v>0</v>
      </c>
      <c r="J230" s="36" t="s">
        <v>107</v>
      </c>
      <c r="K230" s="39" t="s">
        <v>108</v>
      </c>
      <c r="L230" s="43"/>
    </row>
    <row r="231" spans="2:12" ht="18.75" x14ac:dyDescent="0.25">
      <c r="B231" s="36" t="s">
        <v>404</v>
      </c>
      <c r="C231" s="37" t="s">
        <v>458</v>
      </c>
      <c r="D231" s="38" t="s">
        <v>459</v>
      </c>
      <c r="E231" s="39" t="s">
        <v>102</v>
      </c>
      <c r="F231" s="40">
        <v>1</v>
      </c>
      <c r="G231" s="41"/>
      <c r="H231" s="42"/>
      <c r="I231" s="39">
        <f t="shared" si="5"/>
        <v>0</v>
      </c>
      <c r="J231" s="36" t="s">
        <v>107</v>
      </c>
      <c r="K231" s="39" t="s">
        <v>108</v>
      </c>
      <c r="L231" s="43"/>
    </row>
    <row r="232" spans="2:12" ht="18.75" x14ac:dyDescent="0.25">
      <c r="B232" s="36" t="s">
        <v>404</v>
      </c>
      <c r="C232" s="37" t="s">
        <v>460</v>
      </c>
      <c r="D232" s="38" t="s">
        <v>461</v>
      </c>
      <c r="E232" s="39" t="s">
        <v>102</v>
      </c>
      <c r="F232" s="40">
        <v>2</v>
      </c>
      <c r="G232" s="41"/>
      <c r="H232" s="42"/>
      <c r="I232" s="39">
        <f t="shared" si="5"/>
        <v>0</v>
      </c>
      <c r="J232" s="36" t="s">
        <v>107</v>
      </c>
      <c r="K232" s="39" t="s">
        <v>108</v>
      </c>
      <c r="L232" s="43"/>
    </row>
    <row r="233" spans="2:12" ht="18.75" x14ac:dyDescent="0.25">
      <c r="B233" s="36" t="s">
        <v>404</v>
      </c>
      <c r="C233" s="37" t="s">
        <v>462</v>
      </c>
      <c r="D233" s="38" t="s">
        <v>463</v>
      </c>
      <c r="E233" s="39" t="s">
        <v>102</v>
      </c>
      <c r="F233" s="40">
        <v>5</v>
      </c>
      <c r="G233" s="41"/>
      <c r="H233" s="42"/>
      <c r="I233" s="39">
        <f t="shared" si="5"/>
        <v>0</v>
      </c>
      <c r="J233" s="36" t="s">
        <v>107</v>
      </c>
      <c r="K233" s="39" t="s">
        <v>108</v>
      </c>
      <c r="L233" s="43"/>
    </row>
    <row r="234" spans="2:12" ht="18.75" x14ac:dyDescent="0.25">
      <c r="B234" s="36" t="s">
        <v>404</v>
      </c>
      <c r="C234" s="37" t="s">
        <v>464</v>
      </c>
      <c r="D234" s="38" t="s">
        <v>465</v>
      </c>
      <c r="E234" s="39" t="s">
        <v>102</v>
      </c>
      <c r="F234" s="40">
        <v>1</v>
      </c>
      <c r="G234" s="41"/>
      <c r="H234" s="42"/>
      <c r="I234" s="39">
        <f t="shared" si="5"/>
        <v>0</v>
      </c>
      <c r="J234" s="36" t="s">
        <v>107</v>
      </c>
      <c r="K234" s="39" t="s">
        <v>108</v>
      </c>
      <c r="L234" s="43"/>
    </row>
    <row r="235" spans="2:12" ht="18.75" x14ac:dyDescent="0.25">
      <c r="B235" s="36" t="s">
        <v>404</v>
      </c>
      <c r="C235" s="37" t="s">
        <v>466</v>
      </c>
      <c r="D235" s="38" t="s">
        <v>467</v>
      </c>
      <c r="E235" s="39" t="s">
        <v>102</v>
      </c>
      <c r="F235" s="40">
        <v>1</v>
      </c>
      <c r="G235" s="41"/>
      <c r="H235" s="42"/>
      <c r="I235" s="39">
        <f t="shared" si="5"/>
        <v>0</v>
      </c>
      <c r="J235" s="36" t="s">
        <v>107</v>
      </c>
      <c r="K235" s="39" t="s">
        <v>108</v>
      </c>
      <c r="L235" s="43"/>
    </row>
    <row r="236" spans="2:12" ht="18.75" x14ac:dyDescent="0.25">
      <c r="B236" s="36" t="s">
        <v>404</v>
      </c>
      <c r="C236" s="37" t="s">
        <v>468</v>
      </c>
      <c r="D236" s="38" t="s">
        <v>469</v>
      </c>
      <c r="E236" s="39" t="s">
        <v>102</v>
      </c>
      <c r="F236" s="40">
        <v>18</v>
      </c>
      <c r="G236" s="41"/>
      <c r="H236" s="42"/>
      <c r="I236" s="39">
        <f t="shared" si="5"/>
        <v>0</v>
      </c>
      <c r="J236" s="36" t="s">
        <v>107</v>
      </c>
      <c r="K236" s="39" t="s">
        <v>108</v>
      </c>
      <c r="L236" s="43"/>
    </row>
    <row r="237" spans="2:12" ht="18.75" x14ac:dyDescent="0.25">
      <c r="B237" s="36" t="s">
        <v>404</v>
      </c>
      <c r="C237" s="37" t="s">
        <v>470</v>
      </c>
      <c r="D237" s="38" t="s">
        <v>471</v>
      </c>
      <c r="E237" s="39" t="s">
        <v>102</v>
      </c>
      <c r="F237" s="40">
        <v>1</v>
      </c>
      <c r="G237" s="41"/>
      <c r="H237" s="42"/>
      <c r="I237" s="39">
        <f t="shared" si="5"/>
        <v>0</v>
      </c>
      <c r="J237" s="36" t="s">
        <v>107</v>
      </c>
      <c r="K237" s="39" t="s">
        <v>108</v>
      </c>
      <c r="L237" s="43"/>
    </row>
    <row r="238" spans="2:12" ht="18.75" x14ac:dyDescent="0.25">
      <c r="B238" s="36" t="s">
        <v>404</v>
      </c>
      <c r="C238" s="37" t="s">
        <v>472</v>
      </c>
      <c r="D238" s="38" t="s">
        <v>473</v>
      </c>
      <c r="E238" s="39" t="s">
        <v>102</v>
      </c>
      <c r="F238" s="40">
        <v>2</v>
      </c>
      <c r="G238" s="41"/>
      <c r="H238" s="42"/>
      <c r="I238" s="39">
        <f t="shared" si="5"/>
        <v>0</v>
      </c>
      <c r="J238" s="36" t="s">
        <v>107</v>
      </c>
      <c r="K238" s="39" t="s">
        <v>108</v>
      </c>
      <c r="L238" s="43"/>
    </row>
    <row r="239" spans="2:12" ht="18.75" x14ac:dyDescent="0.25">
      <c r="B239" s="36" t="s">
        <v>404</v>
      </c>
      <c r="C239" s="37" t="s">
        <v>474</v>
      </c>
      <c r="D239" s="38" t="s">
        <v>475</v>
      </c>
      <c r="E239" s="39" t="s">
        <v>102</v>
      </c>
      <c r="F239" s="40">
        <v>4</v>
      </c>
      <c r="G239" s="41"/>
      <c r="H239" s="42"/>
      <c r="I239" s="39">
        <f t="shared" si="5"/>
        <v>0</v>
      </c>
      <c r="J239" s="36" t="s">
        <v>107</v>
      </c>
      <c r="K239" s="39" t="s">
        <v>108</v>
      </c>
      <c r="L239" s="43"/>
    </row>
    <row r="240" spans="2:12" ht="18.75" x14ac:dyDescent="0.25">
      <c r="B240" s="36" t="s">
        <v>404</v>
      </c>
      <c r="C240" s="37" t="s">
        <v>476</v>
      </c>
      <c r="D240" s="38" t="s">
        <v>477</v>
      </c>
      <c r="E240" s="39" t="s">
        <v>102</v>
      </c>
      <c r="F240" s="40">
        <v>4</v>
      </c>
      <c r="G240" s="41"/>
      <c r="H240" s="42"/>
      <c r="I240" s="39">
        <f t="shared" si="5"/>
        <v>0</v>
      </c>
      <c r="J240" s="36" t="s">
        <v>107</v>
      </c>
      <c r="K240" s="39" t="s">
        <v>108</v>
      </c>
      <c r="L240" s="43"/>
    </row>
    <row r="241" spans="2:12" ht="18.75" x14ac:dyDescent="0.25">
      <c r="B241" s="36" t="s">
        <v>404</v>
      </c>
      <c r="C241" s="37" t="s">
        <v>478</v>
      </c>
      <c r="D241" s="38" t="s">
        <v>479</v>
      </c>
      <c r="E241" s="39" t="s">
        <v>102</v>
      </c>
      <c r="F241" s="40">
        <v>1</v>
      </c>
      <c r="G241" s="41"/>
      <c r="H241" s="42"/>
      <c r="I241" s="39">
        <f t="shared" si="5"/>
        <v>0</v>
      </c>
      <c r="J241" s="36" t="s">
        <v>107</v>
      </c>
      <c r="K241" s="39" t="s">
        <v>108</v>
      </c>
      <c r="L241" s="43"/>
    </row>
    <row r="242" spans="2:12" ht="18.75" x14ac:dyDescent="0.25">
      <c r="B242" s="36" t="s">
        <v>404</v>
      </c>
      <c r="C242" s="37" t="s">
        <v>480</v>
      </c>
      <c r="D242" s="38" t="s">
        <v>469</v>
      </c>
      <c r="E242" s="39" t="s">
        <v>102</v>
      </c>
      <c r="F242" s="40">
        <v>2</v>
      </c>
      <c r="G242" s="41"/>
      <c r="H242" s="42"/>
      <c r="I242" s="39">
        <f t="shared" si="5"/>
        <v>0</v>
      </c>
      <c r="J242" s="36" t="s">
        <v>107</v>
      </c>
      <c r="K242" s="39" t="s">
        <v>108</v>
      </c>
      <c r="L242" s="43"/>
    </row>
    <row r="243" spans="2:12" ht="18.75" x14ac:dyDescent="0.25">
      <c r="B243" s="36" t="s">
        <v>404</v>
      </c>
      <c r="C243" s="37" t="s">
        <v>481</v>
      </c>
      <c r="D243" s="38" t="s">
        <v>482</v>
      </c>
      <c r="E243" s="39" t="s">
        <v>102</v>
      </c>
      <c r="F243" s="40">
        <v>1</v>
      </c>
      <c r="G243" s="41"/>
      <c r="H243" s="42"/>
      <c r="I243" s="39">
        <f t="shared" si="5"/>
        <v>0</v>
      </c>
      <c r="J243" s="36" t="s">
        <v>107</v>
      </c>
      <c r="K243" s="39" t="s">
        <v>108</v>
      </c>
      <c r="L243" s="43"/>
    </row>
    <row r="244" spans="2:12" ht="18.75" x14ac:dyDescent="0.25">
      <c r="B244" s="36" t="s">
        <v>404</v>
      </c>
      <c r="C244" s="37" t="s">
        <v>483</v>
      </c>
      <c r="D244" s="38" t="s">
        <v>484</v>
      </c>
      <c r="E244" s="39" t="s">
        <v>102</v>
      </c>
      <c r="F244" s="40">
        <v>5</v>
      </c>
      <c r="G244" s="41"/>
      <c r="H244" s="42"/>
      <c r="I244" s="39">
        <f t="shared" si="5"/>
        <v>0</v>
      </c>
      <c r="J244" s="36" t="s">
        <v>107</v>
      </c>
      <c r="K244" s="39" t="s">
        <v>108</v>
      </c>
      <c r="L244" s="43"/>
    </row>
    <row r="245" spans="2:12" ht="18.75" x14ac:dyDescent="0.25">
      <c r="B245" s="36" t="s">
        <v>404</v>
      </c>
      <c r="C245" s="37" t="s">
        <v>485</v>
      </c>
      <c r="D245" s="38" t="s">
        <v>486</v>
      </c>
      <c r="E245" s="39" t="s">
        <v>102</v>
      </c>
      <c r="F245" s="40">
        <v>1</v>
      </c>
      <c r="G245" s="41"/>
      <c r="H245" s="42"/>
      <c r="I245" s="39">
        <f t="shared" si="5"/>
        <v>0</v>
      </c>
      <c r="J245" s="36" t="s">
        <v>107</v>
      </c>
      <c r="K245" s="39" t="s">
        <v>108</v>
      </c>
      <c r="L245" s="43"/>
    </row>
    <row r="246" spans="2:12" ht="18.75" x14ac:dyDescent="0.25">
      <c r="B246" s="36" t="s">
        <v>404</v>
      </c>
      <c r="C246" s="37" t="s">
        <v>487</v>
      </c>
      <c r="D246" s="38" t="s">
        <v>488</v>
      </c>
      <c r="E246" s="39" t="s">
        <v>102</v>
      </c>
      <c r="F246" s="40">
        <v>1</v>
      </c>
      <c r="G246" s="41"/>
      <c r="H246" s="42"/>
      <c r="I246" s="39">
        <f t="shared" si="5"/>
        <v>0</v>
      </c>
      <c r="J246" s="36" t="s">
        <v>107</v>
      </c>
      <c r="K246" s="39" t="s">
        <v>108</v>
      </c>
      <c r="L246" s="43"/>
    </row>
    <row r="247" spans="2:12" ht="18.75" x14ac:dyDescent="0.25">
      <c r="B247" s="36" t="s">
        <v>404</v>
      </c>
      <c r="C247" s="37" t="s">
        <v>489</v>
      </c>
      <c r="D247" s="38" t="s">
        <v>490</v>
      </c>
      <c r="E247" s="39" t="s">
        <v>102</v>
      </c>
      <c r="F247" s="40">
        <v>2</v>
      </c>
      <c r="G247" s="41"/>
      <c r="H247" s="42"/>
      <c r="I247" s="39">
        <f t="shared" si="5"/>
        <v>0</v>
      </c>
      <c r="J247" s="36" t="s">
        <v>107</v>
      </c>
      <c r="K247" s="39" t="s">
        <v>108</v>
      </c>
      <c r="L247" s="43"/>
    </row>
    <row r="248" spans="2:12" ht="18.75" x14ac:dyDescent="0.25">
      <c r="B248" s="36" t="s">
        <v>404</v>
      </c>
      <c r="C248" s="37" t="s">
        <v>491</v>
      </c>
      <c r="D248" s="38" t="s">
        <v>492</v>
      </c>
      <c r="E248" s="39" t="s">
        <v>102</v>
      </c>
      <c r="F248" s="40">
        <v>2</v>
      </c>
      <c r="G248" s="41"/>
      <c r="H248" s="42"/>
      <c r="I248" s="39">
        <f t="shared" si="5"/>
        <v>0</v>
      </c>
      <c r="J248" s="36" t="s">
        <v>107</v>
      </c>
      <c r="K248" s="39" t="s">
        <v>108</v>
      </c>
      <c r="L248" s="43"/>
    </row>
    <row r="249" spans="2:12" ht="18.75" x14ac:dyDescent="0.25">
      <c r="B249" s="36" t="s">
        <v>404</v>
      </c>
      <c r="C249" s="37" t="s">
        <v>493</v>
      </c>
      <c r="D249" s="38" t="s">
        <v>494</v>
      </c>
      <c r="E249" s="39" t="s">
        <v>102</v>
      </c>
      <c r="F249" s="40">
        <v>2</v>
      </c>
      <c r="G249" s="41"/>
      <c r="H249" s="42"/>
      <c r="I249" s="39">
        <f t="shared" si="5"/>
        <v>0</v>
      </c>
      <c r="J249" s="36" t="s">
        <v>107</v>
      </c>
      <c r="K249" s="39" t="s">
        <v>108</v>
      </c>
      <c r="L249" s="43"/>
    </row>
    <row r="250" spans="2:12" ht="18.75" x14ac:dyDescent="0.25">
      <c r="B250" s="36" t="s">
        <v>404</v>
      </c>
      <c r="C250" s="37" t="s">
        <v>495</v>
      </c>
      <c r="D250" s="38" t="s">
        <v>496</v>
      </c>
      <c r="E250" s="39" t="s">
        <v>102</v>
      </c>
      <c r="F250" s="40">
        <v>1</v>
      </c>
      <c r="G250" s="41"/>
      <c r="H250" s="42"/>
      <c r="I250" s="39">
        <f t="shared" si="5"/>
        <v>0</v>
      </c>
      <c r="J250" s="36" t="s">
        <v>107</v>
      </c>
      <c r="K250" s="39" t="s">
        <v>108</v>
      </c>
      <c r="L250" s="43"/>
    </row>
    <row r="251" spans="2:12" ht="18.75" x14ac:dyDescent="0.25">
      <c r="B251" s="36" t="s">
        <v>404</v>
      </c>
      <c r="C251" s="37" t="s">
        <v>497</v>
      </c>
      <c r="D251" s="38" t="s">
        <v>498</v>
      </c>
      <c r="E251" s="39" t="s">
        <v>102</v>
      </c>
      <c r="F251" s="40">
        <v>2</v>
      </c>
      <c r="G251" s="41"/>
      <c r="H251" s="42"/>
      <c r="I251" s="39">
        <f t="shared" si="5"/>
        <v>0</v>
      </c>
      <c r="J251" s="36" t="s">
        <v>107</v>
      </c>
      <c r="K251" s="39" t="s">
        <v>108</v>
      </c>
      <c r="L251" s="43"/>
    </row>
    <row r="252" spans="2:12" ht="18.75" x14ac:dyDescent="0.25">
      <c r="B252" s="36" t="s">
        <v>404</v>
      </c>
      <c r="C252" s="37" t="s">
        <v>499</v>
      </c>
      <c r="D252" s="38" t="s">
        <v>500</v>
      </c>
      <c r="E252" s="39" t="s">
        <v>102</v>
      </c>
      <c r="F252" s="40">
        <v>6</v>
      </c>
      <c r="G252" s="41"/>
      <c r="H252" s="42"/>
      <c r="I252" s="39">
        <f t="shared" si="5"/>
        <v>0</v>
      </c>
      <c r="J252" s="36" t="s">
        <v>107</v>
      </c>
      <c r="K252" s="39" t="s">
        <v>108</v>
      </c>
      <c r="L252" s="43"/>
    </row>
    <row r="253" spans="2:12" ht="18.75" x14ac:dyDescent="0.25">
      <c r="B253" s="36" t="s">
        <v>404</v>
      </c>
      <c r="C253" s="37" t="s">
        <v>501</v>
      </c>
      <c r="D253" s="38" t="s">
        <v>502</v>
      </c>
      <c r="E253" s="39" t="s">
        <v>102</v>
      </c>
      <c r="F253" s="40">
        <v>2</v>
      </c>
      <c r="G253" s="41"/>
      <c r="H253" s="42"/>
      <c r="I253" s="39">
        <f t="shared" si="5"/>
        <v>0</v>
      </c>
      <c r="J253" s="36" t="s">
        <v>107</v>
      </c>
      <c r="K253" s="39" t="s">
        <v>108</v>
      </c>
      <c r="L253" s="43"/>
    </row>
    <row r="254" spans="2:12" ht="18.75" x14ac:dyDescent="0.25">
      <c r="B254" s="36" t="s">
        <v>404</v>
      </c>
      <c r="C254" s="37" t="s">
        <v>503</v>
      </c>
      <c r="D254" s="38" t="s">
        <v>504</v>
      </c>
      <c r="E254" s="39" t="s">
        <v>102</v>
      </c>
      <c r="F254" s="40">
        <v>2</v>
      </c>
      <c r="G254" s="41"/>
      <c r="H254" s="42"/>
      <c r="I254" s="39">
        <f t="shared" si="5"/>
        <v>0</v>
      </c>
      <c r="J254" s="36" t="s">
        <v>107</v>
      </c>
      <c r="K254" s="39" t="s">
        <v>108</v>
      </c>
      <c r="L254" s="43"/>
    </row>
    <row r="255" spans="2:12" ht="18.75" x14ac:dyDescent="0.25">
      <c r="B255" s="36" t="s">
        <v>404</v>
      </c>
      <c r="C255" s="37" t="s">
        <v>505</v>
      </c>
      <c r="D255" s="38" t="s">
        <v>506</v>
      </c>
      <c r="E255" s="39" t="s">
        <v>102</v>
      </c>
      <c r="F255" s="40">
        <v>2</v>
      </c>
      <c r="G255" s="41"/>
      <c r="H255" s="42"/>
      <c r="I255" s="39">
        <f t="shared" si="5"/>
        <v>0</v>
      </c>
      <c r="J255" s="36" t="s">
        <v>107</v>
      </c>
      <c r="K255" s="39" t="s">
        <v>108</v>
      </c>
      <c r="L255" s="43"/>
    </row>
    <row r="256" spans="2:12" ht="18.75" x14ac:dyDescent="0.25">
      <c r="B256" s="36" t="s">
        <v>404</v>
      </c>
      <c r="C256" s="37" t="s">
        <v>507</v>
      </c>
      <c r="D256" s="38" t="s">
        <v>508</v>
      </c>
      <c r="E256" s="39" t="s">
        <v>102</v>
      </c>
      <c r="F256" s="40">
        <v>1</v>
      </c>
      <c r="G256" s="41"/>
      <c r="H256" s="42"/>
      <c r="I256" s="39">
        <f t="shared" si="5"/>
        <v>0</v>
      </c>
      <c r="J256" s="36" t="s">
        <v>107</v>
      </c>
      <c r="K256" s="39" t="s">
        <v>108</v>
      </c>
      <c r="L256" s="43"/>
    </row>
    <row r="257" spans="2:12" ht="18.75" x14ac:dyDescent="0.25">
      <c r="B257" s="36" t="s">
        <v>404</v>
      </c>
      <c r="C257" s="37" t="s">
        <v>509</v>
      </c>
      <c r="D257" s="38" t="s">
        <v>510</v>
      </c>
      <c r="E257" s="39" t="s">
        <v>102</v>
      </c>
      <c r="F257" s="40">
        <v>1</v>
      </c>
      <c r="G257" s="41"/>
      <c r="H257" s="42"/>
      <c r="I257" s="39">
        <f t="shared" si="5"/>
        <v>0</v>
      </c>
      <c r="J257" s="36" t="s">
        <v>107</v>
      </c>
      <c r="K257" s="39" t="s">
        <v>108</v>
      </c>
      <c r="L257" s="43"/>
    </row>
    <row r="258" spans="2:12" ht="18.75" x14ac:dyDescent="0.25">
      <c r="B258" s="36" t="s">
        <v>404</v>
      </c>
      <c r="C258" s="37" t="s">
        <v>511</v>
      </c>
      <c r="D258" s="38" t="s">
        <v>512</v>
      </c>
      <c r="E258" s="39" t="s">
        <v>102</v>
      </c>
      <c r="F258" s="40">
        <v>18</v>
      </c>
      <c r="G258" s="41"/>
      <c r="H258" s="42"/>
      <c r="I258" s="39">
        <f t="shared" si="5"/>
        <v>0</v>
      </c>
      <c r="J258" s="36" t="s">
        <v>107</v>
      </c>
      <c r="K258" s="39" t="s">
        <v>108</v>
      </c>
      <c r="L258" s="43"/>
    </row>
    <row r="259" spans="2:12" ht="18.75" x14ac:dyDescent="0.25">
      <c r="B259" s="36" t="s">
        <v>404</v>
      </c>
      <c r="C259" s="37" t="s">
        <v>513</v>
      </c>
      <c r="D259" s="38" t="s">
        <v>514</v>
      </c>
      <c r="E259" s="39" t="s">
        <v>102</v>
      </c>
      <c r="F259" s="40">
        <v>18</v>
      </c>
      <c r="G259" s="41"/>
      <c r="H259" s="42"/>
      <c r="I259" s="39">
        <f t="shared" si="5"/>
        <v>0</v>
      </c>
      <c r="J259" s="36" t="s">
        <v>107</v>
      </c>
      <c r="K259" s="39" t="s">
        <v>108</v>
      </c>
      <c r="L259" s="43"/>
    </row>
    <row r="260" spans="2:12" ht="18.75" x14ac:dyDescent="0.25">
      <c r="B260" s="36" t="s">
        <v>404</v>
      </c>
      <c r="C260" s="37" t="s">
        <v>515</v>
      </c>
      <c r="D260" s="38" t="s">
        <v>516</v>
      </c>
      <c r="E260" s="39" t="s">
        <v>102</v>
      </c>
      <c r="F260" s="40">
        <v>45</v>
      </c>
      <c r="G260" s="41"/>
      <c r="H260" s="42"/>
      <c r="I260" s="39">
        <f t="shared" si="5"/>
        <v>0</v>
      </c>
      <c r="J260" s="36" t="s">
        <v>107</v>
      </c>
      <c r="K260" s="39" t="s">
        <v>108</v>
      </c>
      <c r="L260" s="43"/>
    </row>
    <row r="261" spans="2:12" ht="18.75" x14ac:dyDescent="0.25">
      <c r="B261" s="36" t="s">
        <v>404</v>
      </c>
      <c r="C261" s="37" t="s">
        <v>517</v>
      </c>
      <c r="D261" s="38" t="s">
        <v>518</v>
      </c>
      <c r="E261" s="39" t="s">
        <v>102</v>
      </c>
      <c r="F261" s="40">
        <v>36</v>
      </c>
      <c r="G261" s="41"/>
      <c r="H261" s="42"/>
      <c r="I261" s="39">
        <f t="shared" si="5"/>
        <v>0</v>
      </c>
      <c r="J261" s="36" t="s">
        <v>107</v>
      </c>
      <c r="K261" s="39" t="s">
        <v>108</v>
      </c>
      <c r="L261" s="43"/>
    </row>
    <row r="262" spans="2:12" ht="18.75" x14ac:dyDescent="0.25">
      <c r="B262" s="36" t="s">
        <v>404</v>
      </c>
      <c r="C262" s="37" t="s">
        <v>519</v>
      </c>
      <c r="D262" s="38" t="s">
        <v>520</v>
      </c>
      <c r="E262" s="39" t="s">
        <v>102</v>
      </c>
      <c r="F262" s="40">
        <v>1</v>
      </c>
      <c r="G262" s="41"/>
      <c r="H262" s="42"/>
      <c r="I262" s="39">
        <f t="shared" si="5"/>
        <v>0</v>
      </c>
      <c r="J262" s="36" t="s">
        <v>107</v>
      </c>
      <c r="K262" s="39" t="s">
        <v>108</v>
      </c>
      <c r="L262" s="43"/>
    </row>
    <row r="263" spans="2:12" ht="18.75" x14ac:dyDescent="0.25">
      <c r="B263" s="36" t="s">
        <v>404</v>
      </c>
      <c r="C263" s="37" t="s">
        <v>521</v>
      </c>
      <c r="D263" s="38" t="s">
        <v>522</v>
      </c>
      <c r="E263" s="39" t="s">
        <v>102</v>
      </c>
      <c r="F263" s="40">
        <v>1</v>
      </c>
      <c r="G263" s="41"/>
      <c r="H263" s="42"/>
      <c r="I263" s="39">
        <f t="shared" si="5"/>
        <v>0</v>
      </c>
      <c r="J263" s="36" t="s">
        <v>107</v>
      </c>
      <c r="K263" s="39" t="s">
        <v>108</v>
      </c>
      <c r="L263" s="43"/>
    </row>
    <row r="264" spans="2:12" ht="18.75" x14ac:dyDescent="0.25">
      <c r="B264" s="36" t="s">
        <v>404</v>
      </c>
      <c r="C264" s="37" t="s">
        <v>523</v>
      </c>
      <c r="D264" s="38" t="s">
        <v>524</v>
      </c>
      <c r="E264" s="39" t="s">
        <v>102</v>
      </c>
      <c r="F264" s="40">
        <v>1</v>
      </c>
      <c r="G264" s="41"/>
      <c r="H264" s="42"/>
      <c r="I264" s="39">
        <f t="shared" si="5"/>
        <v>0</v>
      </c>
      <c r="J264" s="36" t="s">
        <v>107</v>
      </c>
      <c r="K264" s="39" t="s">
        <v>108</v>
      </c>
      <c r="L264" s="43"/>
    </row>
    <row r="265" spans="2:12" ht="18.75" x14ac:dyDescent="0.25">
      <c r="B265" s="36" t="s">
        <v>404</v>
      </c>
      <c r="C265" s="37" t="s">
        <v>525</v>
      </c>
      <c r="D265" s="38" t="s">
        <v>526</v>
      </c>
      <c r="E265" s="39" t="s">
        <v>102</v>
      </c>
      <c r="F265" s="40">
        <v>7</v>
      </c>
      <c r="G265" s="41"/>
      <c r="H265" s="42"/>
      <c r="I265" s="39">
        <f t="shared" si="5"/>
        <v>0</v>
      </c>
      <c r="J265" s="36" t="s">
        <v>107</v>
      </c>
      <c r="K265" s="39" t="s">
        <v>108</v>
      </c>
      <c r="L265" s="43"/>
    </row>
    <row r="266" spans="2:12" ht="18.75" x14ac:dyDescent="0.25">
      <c r="B266" s="36" t="s">
        <v>404</v>
      </c>
      <c r="C266" s="37" t="s">
        <v>527</v>
      </c>
      <c r="D266" s="38" t="s">
        <v>528</v>
      </c>
      <c r="E266" s="39" t="s">
        <v>102</v>
      </c>
      <c r="F266" s="40">
        <v>7</v>
      </c>
      <c r="G266" s="41"/>
      <c r="H266" s="42"/>
      <c r="I266" s="39">
        <f t="shared" si="5"/>
        <v>0</v>
      </c>
      <c r="J266" s="36" t="s">
        <v>107</v>
      </c>
      <c r="K266" s="39" t="s">
        <v>108</v>
      </c>
      <c r="L266" s="43"/>
    </row>
    <row r="267" spans="2:12" ht="18.75" x14ac:dyDescent="0.25">
      <c r="B267" s="36" t="s">
        <v>404</v>
      </c>
      <c r="C267" s="37" t="s">
        <v>529</v>
      </c>
      <c r="D267" s="38" t="s">
        <v>530</v>
      </c>
      <c r="E267" s="39" t="s">
        <v>102</v>
      </c>
      <c r="F267" s="40">
        <v>33</v>
      </c>
      <c r="G267" s="41"/>
      <c r="H267" s="42"/>
      <c r="I267" s="39">
        <f t="shared" si="5"/>
        <v>0</v>
      </c>
      <c r="J267" s="36" t="s">
        <v>107</v>
      </c>
      <c r="K267" s="39" t="s">
        <v>108</v>
      </c>
      <c r="L267" s="43"/>
    </row>
    <row r="268" spans="2:12" ht="18.75" x14ac:dyDescent="0.25">
      <c r="B268" s="36" t="s">
        <v>404</v>
      </c>
      <c r="C268" s="37" t="s">
        <v>531</v>
      </c>
      <c r="D268" s="38" t="s">
        <v>532</v>
      </c>
      <c r="E268" s="39" t="s">
        <v>102</v>
      </c>
      <c r="F268" s="40">
        <v>6</v>
      </c>
      <c r="G268" s="41"/>
      <c r="H268" s="42"/>
      <c r="I268" s="39">
        <f t="shared" si="5"/>
        <v>0</v>
      </c>
      <c r="J268" s="36" t="s">
        <v>107</v>
      </c>
      <c r="K268" s="39" t="s">
        <v>108</v>
      </c>
      <c r="L268" s="43"/>
    </row>
    <row r="269" spans="2:12" ht="18.75" x14ac:dyDescent="0.25">
      <c r="B269" s="36" t="s">
        <v>404</v>
      </c>
      <c r="C269" s="37" t="s">
        <v>533</v>
      </c>
      <c r="D269" s="38" t="s">
        <v>534</v>
      </c>
      <c r="E269" s="39" t="s">
        <v>102</v>
      </c>
      <c r="F269" s="40">
        <v>4</v>
      </c>
      <c r="G269" s="41"/>
      <c r="H269" s="42"/>
      <c r="I269" s="39">
        <f t="shared" si="5"/>
        <v>0</v>
      </c>
      <c r="J269" s="36" t="s">
        <v>107</v>
      </c>
      <c r="K269" s="39" t="s">
        <v>108</v>
      </c>
      <c r="L269" s="43"/>
    </row>
    <row r="270" spans="2:12" ht="18.75" x14ac:dyDescent="0.25">
      <c r="B270" s="36" t="s">
        <v>404</v>
      </c>
      <c r="C270" s="37" t="s">
        <v>535</v>
      </c>
      <c r="D270" s="38" t="s">
        <v>536</v>
      </c>
      <c r="E270" s="39" t="s">
        <v>102</v>
      </c>
      <c r="F270" s="40">
        <v>1</v>
      </c>
      <c r="G270" s="41"/>
      <c r="H270" s="42"/>
      <c r="I270" s="39">
        <f t="shared" ref="I270:I333" si="6">F270*G270</f>
        <v>0</v>
      </c>
      <c r="J270" s="36" t="s">
        <v>107</v>
      </c>
      <c r="K270" s="39" t="s">
        <v>108</v>
      </c>
      <c r="L270" s="43"/>
    </row>
    <row r="271" spans="2:12" ht="18.75" x14ac:dyDescent="0.25">
      <c r="B271" s="36" t="s">
        <v>404</v>
      </c>
      <c r="C271" s="37" t="s">
        <v>537</v>
      </c>
      <c r="D271" s="38" t="s">
        <v>538</v>
      </c>
      <c r="E271" s="39" t="s">
        <v>102</v>
      </c>
      <c r="F271" s="40">
        <v>1</v>
      </c>
      <c r="G271" s="41"/>
      <c r="H271" s="42"/>
      <c r="I271" s="39">
        <f t="shared" si="6"/>
        <v>0</v>
      </c>
      <c r="J271" s="36" t="s">
        <v>107</v>
      </c>
      <c r="K271" s="39" t="s">
        <v>108</v>
      </c>
      <c r="L271" s="43"/>
    </row>
    <row r="272" spans="2:12" ht="18.75" x14ac:dyDescent="0.25">
      <c r="B272" s="36" t="s">
        <v>404</v>
      </c>
      <c r="C272" s="37" t="s">
        <v>539</v>
      </c>
      <c r="D272" s="38" t="s">
        <v>540</v>
      </c>
      <c r="E272" s="39" t="s">
        <v>102</v>
      </c>
      <c r="F272" s="40">
        <v>1</v>
      </c>
      <c r="G272" s="41"/>
      <c r="H272" s="42"/>
      <c r="I272" s="39">
        <f t="shared" si="6"/>
        <v>0</v>
      </c>
      <c r="J272" s="36" t="s">
        <v>107</v>
      </c>
      <c r="K272" s="39" t="s">
        <v>108</v>
      </c>
      <c r="L272" s="43"/>
    </row>
    <row r="273" spans="2:12" ht="18.75" x14ac:dyDescent="0.25">
      <c r="B273" s="36" t="s">
        <v>404</v>
      </c>
      <c r="C273" s="37" t="s">
        <v>541</v>
      </c>
      <c r="D273" s="38" t="s">
        <v>542</v>
      </c>
      <c r="E273" s="39" t="s">
        <v>102</v>
      </c>
      <c r="F273" s="40">
        <v>1</v>
      </c>
      <c r="G273" s="41"/>
      <c r="H273" s="42"/>
      <c r="I273" s="39">
        <f t="shared" si="6"/>
        <v>0</v>
      </c>
      <c r="J273" s="36" t="s">
        <v>107</v>
      </c>
      <c r="K273" s="39" t="s">
        <v>108</v>
      </c>
      <c r="L273" s="43"/>
    </row>
    <row r="274" spans="2:12" ht="18.75" x14ac:dyDescent="0.25">
      <c r="B274" s="36" t="s">
        <v>404</v>
      </c>
      <c r="C274" s="37" t="s">
        <v>543</v>
      </c>
      <c r="D274" s="38" t="s">
        <v>544</v>
      </c>
      <c r="E274" s="39" t="s">
        <v>102</v>
      </c>
      <c r="F274" s="40">
        <v>3</v>
      </c>
      <c r="G274" s="41"/>
      <c r="H274" s="42"/>
      <c r="I274" s="39">
        <f t="shared" si="6"/>
        <v>0</v>
      </c>
      <c r="J274" s="36" t="s">
        <v>107</v>
      </c>
      <c r="K274" s="39" t="s">
        <v>108</v>
      </c>
      <c r="L274" s="43"/>
    </row>
    <row r="275" spans="2:12" ht="18.75" x14ac:dyDescent="0.25">
      <c r="B275" s="36" t="s">
        <v>404</v>
      </c>
      <c r="C275" s="37" t="s">
        <v>545</v>
      </c>
      <c r="D275" s="38" t="s">
        <v>546</v>
      </c>
      <c r="E275" s="39" t="s">
        <v>102</v>
      </c>
      <c r="F275" s="40">
        <v>1</v>
      </c>
      <c r="G275" s="41"/>
      <c r="H275" s="42"/>
      <c r="I275" s="39">
        <f t="shared" si="6"/>
        <v>0</v>
      </c>
      <c r="J275" s="36" t="s">
        <v>107</v>
      </c>
      <c r="K275" s="39" t="s">
        <v>108</v>
      </c>
      <c r="L275" s="43"/>
    </row>
    <row r="276" spans="2:12" ht="18.75" x14ac:dyDescent="0.25">
      <c r="B276" s="36" t="s">
        <v>404</v>
      </c>
      <c r="C276" s="37" t="s">
        <v>547</v>
      </c>
      <c r="D276" s="38" t="s">
        <v>548</v>
      </c>
      <c r="E276" s="39" t="s">
        <v>102</v>
      </c>
      <c r="F276" s="40">
        <v>2</v>
      </c>
      <c r="G276" s="41"/>
      <c r="H276" s="42"/>
      <c r="I276" s="39">
        <f t="shared" si="6"/>
        <v>0</v>
      </c>
      <c r="J276" s="36" t="s">
        <v>107</v>
      </c>
      <c r="K276" s="39" t="s">
        <v>108</v>
      </c>
      <c r="L276" s="43"/>
    </row>
    <row r="277" spans="2:12" ht="18.75" x14ac:dyDescent="0.25">
      <c r="B277" s="36" t="s">
        <v>404</v>
      </c>
      <c r="C277" s="37" t="s">
        <v>549</v>
      </c>
      <c r="D277" s="38" t="s">
        <v>550</v>
      </c>
      <c r="E277" s="39" t="s">
        <v>102</v>
      </c>
      <c r="F277" s="40">
        <v>1</v>
      </c>
      <c r="G277" s="41"/>
      <c r="H277" s="42"/>
      <c r="I277" s="39">
        <f t="shared" si="6"/>
        <v>0</v>
      </c>
      <c r="J277" s="36" t="s">
        <v>107</v>
      </c>
      <c r="K277" s="39" t="s">
        <v>108</v>
      </c>
      <c r="L277" s="43"/>
    </row>
    <row r="278" spans="2:12" ht="18.75" x14ac:dyDescent="0.25">
      <c r="B278" s="36" t="s">
        <v>404</v>
      </c>
      <c r="C278" s="37" t="s">
        <v>551</v>
      </c>
      <c r="D278" s="38" t="s">
        <v>552</v>
      </c>
      <c r="E278" s="39" t="s">
        <v>102</v>
      </c>
      <c r="F278" s="40">
        <v>5</v>
      </c>
      <c r="G278" s="41"/>
      <c r="H278" s="42"/>
      <c r="I278" s="39">
        <f t="shared" si="6"/>
        <v>0</v>
      </c>
      <c r="J278" s="36" t="s">
        <v>107</v>
      </c>
      <c r="K278" s="39" t="s">
        <v>108</v>
      </c>
      <c r="L278" s="43"/>
    </row>
    <row r="279" spans="2:12" ht="18.75" x14ac:dyDescent="0.25">
      <c r="B279" s="36" t="s">
        <v>404</v>
      </c>
      <c r="C279" s="37" t="s">
        <v>553</v>
      </c>
      <c r="D279" s="38" t="s">
        <v>554</v>
      </c>
      <c r="E279" s="39" t="s">
        <v>102</v>
      </c>
      <c r="F279" s="40">
        <v>15</v>
      </c>
      <c r="G279" s="41"/>
      <c r="H279" s="42"/>
      <c r="I279" s="39">
        <f t="shared" si="6"/>
        <v>0</v>
      </c>
      <c r="J279" s="36" t="s">
        <v>107</v>
      </c>
      <c r="K279" s="39" t="s">
        <v>108</v>
      </c>
      <c r="L279" s="43"/>
    </row>
    <row r="280" spans="2:12" ht="18.75" x14ac:dyDescent="0.25">
      <c r="B280" s="36" t="s">
        <v>404</v>
      </c>
      <c r="C280" s="37" t="s">
        <v>555</v>
      </c>
      <c r="D280" s="38" t="s">
        <v>556</v>
      </c>
      <c r="E280" s="39" t="s">
        <v>102</v>
      </c>
      <c r="F280" s="40">
        <v>1</v>
      </c>
      <c r="G280" s="41"/>
      <c r="H280" s="42"/>
      <c r="I280" s="39">
        <f t="shared" si="6"/>
        <v>0</v>
      </c>
      <c r="J280" s="36" t="s">
        <v>107</v>
      </c>
      <c r="K280" s="39" t="s">
        <v>108</v>
      </c>
      <c r="L280" s="43"/>
    </row>
    <row r="281" spans="2:12" ht="18.75" x14ac:dyDescent="0.25">
      <c r="B281" s="36" t="s">
        <v>404</v>
      </c>
      <c r="C281" s="37" t="s">
        <v>557</v>
      </c>
      <c r="D281" s="38" t="s">
        <v>558</v>
      </c>
      <c r="E281" s="39" t="s">
        <v>102</v>
      </c>
      <c r="F281" s="40">
        <v>1</v>
      </c>
      <c r="G281" s="41"/>
      <c r="H281" s="42"/>
      <c r="I281" s="39">
        <f t="shared" si="6"/>
        <v>0</v>
      </c>
      <c r="J281" s="36" t="s">
        <v>107</v>
      </c>
      <c r="K281" s="39" t="s">
        <v>108</v>
      </c>
      <c r="L281" s="43"/>
    </row>
    <row r="282" spans="2:12" ht="18.75" x14ac:dyDescent="0.25">
      <c r="B282" s="36" t="s">
        <v>404</v>
      </c>
      <c r="C282" s="37" t="s">
        <v>559</v>
      </c>
      <c r="D282" s="38" t="s">
        <v>560</v>
      </c>
      <c r="E282" s="39" t="s">
        <v>102</v>
      </c>
      <c r="F282" s="40">
        <v>1</v>
      </c>
      <c r="G282" s="41"/>
      <c r="H282" s="42"/>
      <c r="I282" s="39">
        <f t="shared" si="6"/>
        <v>0</v>
      </c>
      <c r="J282" s="36" t="s">
        <v>107</v>
      </c>
      <c r="K282" s="39" t="s">
        <v>108</v>
      </c>
      <c r="L282" s="43"/>
    </row>
    <row r="283" spans="2:12" ht="18.75" x14ac:dyDescent="0.25">
      <c r="B283" s="36" t="s">
        <v>404</v>
      </c>
      <c r="C283" s="37" t="s">
        <v>561</v>
      </c>
      <c r="D283" s="38" t="s">
        <v>562</v>
      </c>
      <c r="E283" s="39" t="s">
        <v>102</v>
      </c>
      <c r="F283" s="40">
        <v>3</v>
      </c>
      <c r="G283" s="41"/>
      <c r="H283" s="42"/>
      <c r="I283" s="39">
        <f t="shared" si="6"/>
        <v>0</v>
      </c>
      <c r="J283" s="36" t="s">
        <v>107</v>
      </c>
      <c r="K283" s="39" t="s">
        <v>108</v>
      </c>
      <c r="L283" s="43"/>
    </row>
    <row r="284" spans="2:12" ht="18.75" x14ac:dyDescent="0.25">
      <c r="B284" s="36" t="s">
        <v>404</v>
      </c>
      <c r="C284" s="37" t="s">
        <v>563</v>
      </c>
      <c r="D284" s="38" t="s">
        <v>564</v>
      </c>
      <c r="E284" s="39" t="s">
        <v>102</v>
      </c>
      <c r="F284" s="40">
        <v>2</v>
      </c>
      <c r="G284" s="41"/>
      <c r="H284" s="42"/>
      <c r="I284" s="39">
        <f t="shared" si="6"/>
        <v>0</v>
      </c>
      <c r="J284" s="36" t="s">
        <v>107</v>
      </c>
      <c r="K284" s="39" t="s">
        <v>108</v>
      </c>
      <c r="L284" s="43"/>
    </row>
    <row r="285" spans="2:12" ht="18.75" x14ac:dyDescent="0.25">
      <c r="B285" s="36" t="s">
        <v>404</v>
      </c>
      <c r="C285" s="37" t="s">
        <v>565</v>
      </c>
      <c r="D285" s="38" t="s">
        <v>566</v>
      </c>
      <c r="E285" s="39" t="s">
        <v>102</v>
      </c>
      <c r="F285" s="40">
        <v>1</v>
      </c>
      <c r="G285" s="41"/>
      <c r="H285" s="42"/>
      <c r="I285" s="39">
        <f t="shared" si="6"/>
        <v>0</v>
      </c>
      <c r="J285" s="36" t="s">
        <v>107</v>
      </c>
      <c r="K285" s="39" t="s">
        <v>108</v>
      </c>
      <c r="L285" s="43"/>
    </row>
    <row r="286" spans="2:12" ht="18.75" x14ac:dyDescent="0.25">
      <c r="B286" s="36" t="s">
        <v>404</v>
      </c>
      <c r="C286" s="37" t="s">
        <v>567</v>
      </c>
      <c r="D286" s="38" t="s">
        <v>568</v>
      </c>
      <c r="E286" s="39" t="s">
        <v>60</v>
      </c>
      <c r="F286" s="40">
        <v>2</v>
      </c>
      <c r="G286" s="41"/>
      <c r="H286" s="42"/>
      <c r="I286" s="39">
        <f t="shared" si="6"/>
        <v>0</v>
      </c>
      <c r="J286" s="36" t="s">
        <v>107</v>
      </c>
      <c r="K286" s="39" t="s">
        <v>108</v>
      </c>
      <c r="L286" s="43"/>
    </row>
    <row r="287" spans="2:12" ht="18.75" x14ac:dyDescent="0.25">
      <c r="B287" s="36" t="s">
        <v>404</v>
      </c>
      <c r="C287" s="37" t="s">
        <v>569</v>
      </c>
      <c r="D287" s="38" t="s">
        <v>570</v>
      </c>
      <c r="E287" s="39" t="s">
        <v>102</v>
      </c>
      <c r="F287" s="40">
        <v>1</v>
      </c>
      <c r="G287" s="41"/>
      <c r="H287" s="42"/>
      <c r="I287" s="39">
        <f t="shared" si="6"/>
        <v>0</v>
      </c>
      <c r="J287" s="36" t="s">
        <v>107</v>
      </c>
      <c r="K287" s="39" t="s">
        <v>108</v>
      </c>
      <c r="L287" s="43"/>
    </row>
    <row r="288" spans="2:12" ht="18.75" x14ac:dyDescent="0.25">
      <c r="B288" s="36" t="s">
        <v>404</v>
      </c>
      <c r="C288" s="37" t="s">
        <v>571</v>
      </c>
      <c r="D288" s="38" t="s">
        <v>572</v>
      </c>
      <c r="E288" s="39" t="s">
        <v>102</v>
      </c>
      <c r="F288" s="40">
        <v>2</v>
      </c>
      <c r="G288" s="41"/>
      <c r="H288" s="42"/>
      <c r="I288" s="39">
        <f t="shared" si="6"/>
        <v>0</v>
      </c>
      <c r="J288" s="36" t="s">
        <v>107</v>
      </c>
      <c r="K288" s="39" t="s">
        <v>108</v>
      </c>
      <c r="L288" s="43"/>
    </row>
    <row r="289" spans="2:12" ht="18.75" x14ac:dyDescent="0.25">
      <c r="B289" s="36" t="s">
        <v>404</v>
      </c>
      <c r="C289" s="37" t="s">
        <v>573</v>
      </c>
      <c r="D289" s="38" t="s">
        <v>574</v>
      </c>
      <c r="E289" s="39" t="s">
        <v>102</v>
      </c>
      <c r="F289" s="40">
        <v>2</v>
      </c>
      <c r="G289" s="41"/>
      <c r="H289" s="42"/>
      <c r="I289" s="39">
        <f t="shared" si="6"/>
        <v>0</v>
      </c>
      <c r="J289" s="36" t="s">
        <v>107</v>
      </c>
      <c r="K289" s="39" t="s">
        <v>108</v>
      </c>
      <c r="L289" s="43"/>
    </row>
    <row r="290" spans="2:12" ht="18.75" x14ac:dyDescent="0.25">
      <c r="B290" s="36" t="s">
        <v>404</v>
      </c>
      <c r="C290" s="37" t="s">
        <v>575</v>
      </c>
      <c r="D290" s="38" t="s">
        <v>576</v>
      </c>
      <c r="E290" s="39" t="s">
        <v>102</v>
      </c>
      <c r="F290" s="40">
        <v>2</v>
      </c>
      <c r="G290" s="41"/>
      <c r="H290" s="42"/>
      <c r="I290" s="39">
        <f t="shared" si="6"/>
        <v>0</v>
      </c>
      <c r="J290" s="36" t="s">
        <v>107</v>
      </c>
      <c r="K290" s="39" t="s">
        <v>108</v>
      </c>
      <c r="L290" s="43"/>
    </row>
    <row r="291" spans="2:12" ht="18.75" x14ac:dyDescent="0.25">
      <c r="B291" s="36" t="s">
        <v>404</v>
      </c>
      <c r="C291" s="37" t="s">
        <v>577</v>
      </c>
      <c r="D291" s="38" t="s">
        <v>578</v>
      </c>
      <c r="E291" s="39" t="s">
        <v>102</v>
      </c>
      <c r="F291" s="40">
        <v>14</v>
      </c>
      <c r="G291" s="41"/>
      <c r="H291" s="42"/>
      <c r="I291" s="39">
        <f t="shared" si="6"/>
        <v>0</v>
      </c>
      <c r="J291" s="36" t="s">
        <v>107</v>
      </c>
      <c r="K291" s="39" t="s">
        <v>108</v>
      </c>
      <c r="L291" s="43"/>
    </row>
    <row r="292" spans="2:12" ht="18.75" x14ac:dyDescent="0.25">
      <c r="B292" s="36" t="s">
        <v>404</v>
      </c>
      <c r="C292" s="37" t="s">
        <v>579</v>
      </c>
      <c r="D292" s="38" t="s">
        <v>580</v>
      </c>
      <c r="E292" s="39" t="s">
        <v>102</v>
      </c>
      <c r="F292" s="40">
        <v>2</v>
      </c>
      <c r="G292" s="41"/>
      <c r="H292" s="42"/>
      <c r="I292" s="39">
        <f t="shared" si="6"/>
        <v>0</v>
      </c>
      <c r="J292" s="36" t="s">
        <v>107</v>
      </c>
      <c r="K292" s="39" t="s">
        <v>108</v>
      </c>
      <c r="L292" s="43"/>
    </row>
    <row r="293" spans="2:12" ht="18.75" x14ac:dyDescent="0.25">
      <c r="B293" s="36" t="s">
        <v>404</v>
      </c>
      <c r="C293" s="37" t="s">
        <v>581</v>
      </c>
      <c r="D293" s="38" t="s">
        <v>582</v>
      </c>
      <c r="E293" s="39" t="s">
        <v>102</v>
      </c>
      <c r="F293" s="40">
        <v>1</v>
      </c>
      <c r="G293" s="41"/>
      <c r="H293" s="42"/>
      <c r="I293" s="39">
        <f t="shared" si="6"/>
        <v>0</v>
      </c>
      <c r="J293" s="36" t="s">
        <v>107</v>
      </c>
      <c r="K293" s="39" t="s">
        <v>108</v>
      </c>
      <c r="L293" s="43"/>
    </row>
    <row r="294" spans="2:12" ht="18.75" x14ac:dyDescent="0.25">
      <c r="B294" s="36" t="s">
        <v>404</v>
      </c>
      <c r="C294" s="37" t="s">
        <v>583</v>
      </c>
      <c r="D294" s="38" t="s">
        <v>584</v>
      </c>
      <c r="E294" s="39" t="s">
        <v>102</v>
      </c>
      <c r="F294" s="40">
        <v>1</v>
      </c>
      <c r="G294" s="41"/>
      <c r="H294" s="42"/>
      <c r="I294" s="39">
        <f t="shared" si="6"/>
        <v>0</v>
      </c>
      <c r="J294" s="36" t="s">
        <v>107</v>
      </c>
      <c r="K294" s="39" t="s">
        <v>108</v>
      </c>
      <c r="L294" s="43"/>
    </row>
    <row r="295" spans="2:12" ht="18.75" x14ac:dyDescent="0.25">
      <c r="B295" s="36" t="s">
        <v>404</v>
      </c>
      <c r="C295" s="37" t="s">
        <v>585</v>
      </c>
      <c r="D295" s="38" t="s">
        <v>586</v>
      </c>
      <c r="E295" s="39" t="s">
        <v>102</v>
      </c>
      <c r="F295" s="40">
        <v>5</v>
      </c>
      <c r="G295" s="41"/>
      <c r="H295" s="42"/>
      <c r="I295" s="39">
        <f t="shared" si="6"/>
        <v>0</v>
      </c>
      <c r="J295" s="36" t="s">
        <v>107</v>
      </c>
      <c r="K295" s="39" t="s">
        <v>108</v>
      </c>
      <c r="L295" s="43"/>
    </row>
    <row r="296" spans="2:12" ht="18.75" x14ac:dyDescent="0.25">
      <c r="B296" s="36" t="s">
        <v>404</v>
      </c>
      <c r="C296" s="37" t="s">
        <v>587</v>
      </c>
      <c r="D296" s="38" t="s">
        <v>588</v>
      </c>
      <c r="E296" s="39" t="s">
        <v>102</v>
      </c>
      <c r="F296" s="40">
        <v>2</v>
      </c>
      <c r="G296" s="41"/>
      <c r="H296" s="42"/>
      <c r="I296" s="39">
        <f t="shared" si="6"/>
        <v>0</v>
      </c>
      <c r="J296" s="36" t="s">
        <v>107</v>
      </c>
      <c r="K296" s="39" t="s">
        <v>108</v>
      </c>
      <c r="L296" s="43"/>
    </row>
    <row r="297" spans="2:12" ht="18.75" x14ac:dyDescent="0.25">
      <c r="B297" s="36" t="s">
        <v>404</v>
      </c>
      <c r="C297" s="37" t="s">
        <v>589</v>
      </c>
      <c r="D297" s="38" t="s">
        <v>590</v>
      </c>
      <c r="E297" s="39" t="s">
        <v>102</v>
      </c>
      <c r="F297" s="40">
        <v>1</v>
      </c>
      <c r="G297" s="41"/>
      <c r="H297" s="42"/>
      <c r="I297" s="39">
        <f t="shared" si="6"/>
        <v>0</v>
      </c>
      <c r="J297" s="36" t="s">
        <v>107</v>
      </c>
      <c r="K297" s="39" t="s">
        <v>108</v>
      </c>
      <c r="L297" s="43"/>
    </row>
    <row r="298" spans="2:12" ht="18.75" x14ac:dyDescent="0.25">
      <c r="B298" s="36" t="s">
        <v>404</v>
      </c>
      <c r="C298" s="37" t="s">
        <v>591</v>
      </c>
      <c r="D298" s="38" t="s">
        <v>592</v>
      </c>
      <c r="E298" s="39" t="s">
        <v>102</v>
      </c>
      <c r="F298" s="40">
        <v>9</v>
      </c>
      <c r="G298" s="41"/>
      <c r="H298" s="42"/>
      <c r="I298" s="39">
        <f t="shared" si="6"/>
        <v>0</v>
      </c>
      <c r="J298" s="36" t="s">
        <v>107</v>
      </c>
      <c r="K298" s="39" t="s">
        <v>108</v>
      </c>
      <c r="L298" s="43"/>
    </row>
    <row r="299" spans="2:12" ht="18.75" x14ac:dyDescent="0.25">
      <c r="B299" s="36" t="s">
        <v>404</v>
      </c>
      <c r="C299" s="37" t="s">
        <v>593</v>
      </c>
      <c r="D299" s="38" t="s">
        <v>594</v>
      </c>
      <c r="E299" s="39" t="s">
        <v>102</v>
      </c>
      <c r="F299" s="40">
        <v>13</v>
      </c>
      <c r="G299" s="41"/>
      <c r="H299" s="42"/>
      <c r="I299" s="39">
        <f t="shared" si="6"/>
        <v>0</v>
      </c>
      <c r="J299" s="36" t="s">
        <v>107</v>
      </c>
      <c r="K299" s="39" t="s">
        <v>108</v>
      </c>
      <c r="L299" s="43"/>
    </row>
    <row r="300" spans="2:12" ht="18.75" x14ac:dyDescent="0.25">
      <c r="B300" s="36" t="s">
        <v>404</v>
      </c>
      <c r="C300" s="37" t="s">
        <v>595</v>
      </c>
      <c r="D300" s="38" t="s">
        <v>596</v>
      </c>
      <c r="E300" s="39" t="s">
        <v>102</v>
      </c>
      <c r="F300" s="40">
        <v>2</v>
      </c>
      <c r="G300" s="41"/>
      <c r="H300" s="42"/>
      <c r="I300" s="39">
        <f t="shared" si="6"/>
        <v>0</v>
      </c>
      <c r="J300" s="36" t="s">
        <v>107</v>
      </c>
      <c r="K300" s="39" t="s">
        <v>108</v>
      </c>
      <c r="L300" s="43"/>
    </row>
    <row r="301" spans="2:12" ht="18.75" x14ac:dyDescent="0.25">
      <c r="B301" s="36" t="s">
        <v>404</v>
      </c>
      <c r="C301" s="37" t="s">
        <v>597</v>
      </c>
      <c r="D301" s="38" t="s">
        <v>598</v>
      </c>
      <c r="E301" s="39" t="s">
        <v>102</v>
      </c>
      <c r="F301" s="40">
        <v>6</v>
      </c>
      <c r="G301" s="41"/>
      <c r="H301" s="42"/>
      <c r="I301" s="39">
        <f t="shared" si="6"/>
        <v>0</v>
      </c>
      <c r="J301" s="36" t="s">
        <v>107</v>
      </c>
      <c r="K301" s="39" t="s">
        <v>108</v>
      </c>
      <c r="L301" s="43"/>
    </row>
    <row r="302" spans="2:12" ht="18.75" x14ac:dyDescent="0.25">
      <c r="B302" s="36" t="s">
        <v>404</v>
      </c>
      <c r="C302" s="37" t="s">
        <v>599</v>
      </c>
      <c r="D302" s="38" t="s">
        <v>540</v>
      </c>
      <c r="E302" s="39" t="s">
        <v>102</v>
      </c>
      <c r="F302" s="40">
        <v>6</v>
      </c>
      <c r="G302" s="41"/>
      <c r="H302" s="42"/>
      <c r="I302" s="39">
        <f t="shared" si="6"/>
        <v>0</v>
      </c>
      <c r="J302" s="36" t="s">
        <v>107</v>
      </c>
      <c r="K302" s="39" t="s">
        <v>108</v>
      </c>
      <c r="L302" s="43"/>
    </row>
    <row r="303" spans="2:12" ht="18.75" x14ac:dyDescent="0.25">
      <c r="B303" s="36" t="s">
        <v>404</v>
      </c>
      <c r="C303" s="37" t="s">
        <v>600</v>
      </c>
      <c r="D303" s="38" t="s">
        <v>601</v>
      </c>
      <c r="E303" s="39" t="s">
        <v>102</v>
      </c>
      <c r="F303" s="40">
        <v>1</v>
      </c>
      <c r="G303" s="41"/>
      <c r="H303" s="42"/>
      <c r="I303" s="39">
        <f t="shared" si="6"/>
        <v>0</v>
      </c>
      <c r="J303" s="36" t="s">
        <v>107</v>
      </c>
      <c r="K303" s="39" t="s">
        <v>108</v>
      </c>
      <c r="L303" s="43"/>
    </row>
    <row r="304" spans="2:12" ht="18.75" x14ac:dyDescent="0.25">
      <c r="B304" s="36" t="s">
        <v>404</v>
      </c>
      <c r="C304" s="37" t="s">
        <v>602</v>
      </c>
      <c r="D304" s="38" t="s">
        <v>603</v>
      </c>
      <c r="E304" s="39" t="s">
        <v>102</v>
      </c>
      <c r="F304" s="40">
        <v>1</v>
      </c>
      <c r="G304" s="41"/>
      <c r="H304" s="42"/>
      <c r="I304" s="39">
        <f t="shared" si="6"/>
        <v>0</v>
      </c>
      <c r="J304" s="36" t="s">
        <v>107</v>
      </c>
      <c r="K304" s="39" t="s">
        <v>108</v>
      </c>
      <c r="L304" s="43"/>
    </row>
    <row r="305" spans="2:12" ht="18.75" x14ac:dyDescent="0.25">
      <c r="B305" s="36" t="s">
        <v>404</v>
      </c>
      <c r="C305" s="37" t="s">
        <v>604</v>
      </c>
      <c r="D305" s="38" t="s">
        <v>605</v>
      </c>
      <c r="E305" s="39" t="s">
        <v>102</v>
      </c>
      <c r="F305" s="40">
        <v>1</v>
      </c>
      <c r="G305" s="41"/>
      <c r="H305" s="42"/>
      <c r="I305" s="39">
        <f t="shared" si="6"/>
        <v>0</v>
      </c>
      <c r="J305" s="36" t="s">
        <v>107</v>
      </c>
      <c r="K305" s="39" t="s">
        <v>108</v>
      </c>
      <c r="L305" s="43"/>
    </row>
    <row r="306" spans="2:12" ht="18.75" x14ac:dyDescent="0.25">
      <c r="B306" s="36" t="s">
        <v>404</v>
      </c>
      <c r="C306" s="37" t="s">
        <v>606</v>
      </c>
      <c r="D306" s="38" t="s">
        <v>607</v>
      </c>
      <c r="E306" s="39" t="s">
        <v>102</v>
      </c>
      <c r="F306" s="40">
        <v>4</v>
      </c>
      <c r="G306" s="41"/>
      <c r="H306" s="42"/>
      <c r="I306" s="39">
        <f t="shared" si="6"/>
        <v>0</v>
      </c>
      <c r="J306" s="36" t="s">
        <v>107</v>
      </c>
      <c r="K306" s="39" t="s">
        <v>108</v>
      </c>
      <c r="L306" s="43"/>
    </row>
    <row r="307" spans="2:12" ht="18.75" x14ac:dyDescent="0.25">
      <c r="B307" s="36" t="s">
        <v>404</v>
      </c>
      <c r="C307" s="37" t="s">
        <v>608</v>
      </c>
      <c r="D307" s="38" t="s">
        <v>609</v>
      </c>
      <c r="E307" s="39" t="s">
        <v>102</v>
      </c>
      <c r="F307" s="40">
        <v>2</v>
      </c>
      <c r="G307" s="41"/>
      <c r="H307" s="42"/>
      <c r="I307" s="39">
        <f t="shared" si="6"/>
        <v>0</v>
      </c>
      <c r="J307" s="36" t="s">
        <v>107</v>
      </c>
      <c r="K307" s="39" t="s">
        <v>108</v>
      </c>
      <c r="L307" s="43"/>
    </row>
    <row r="308" spans="2:12" ht="18.75" x14ac:dyDescent="0.25">
      <c r="B308" s="36" t="s">
        <v>404</v>
      </c>
      <c r="C308" s="37" t="s">
        <v>610</v>
      </c>
      <c r="D308" s="38" t="s">
        <v>611</v>
      </c>
      <c r="E308" s="39" t="s">
        <v>102</v>
      </c>
      <c r="F308" s="40">
        <v>4</v>
      </c>
      <c r="G308" s="41"/>
      <c r="H308" s="42"/>
      <c r="I308" s="39">
        <f t="shared" si="6"/>
        <v>0</v>
      </c>
      <c r="J308" s="36" t="s">
        <v>107</v>
      </c>
      <c r="K308" s="39" t="s">
        <v>108</v>
      </c>
      <c r="L308" s="43"/>
    </row>
    <row r="309" spans="2:12" ht="18.75" x14ac:dyDescent="0.25">
      <c r="B309" s="36" t="s">
        <v>404</v>
      </c>
      <c r="C309" s="37" t="s">
        <v>612</v>
      </c>
      <c r="D309" s="38" t="s">
        <v>613</v>
      </c>
      <c r="E309" s="39" t="s">
        <v>102</v>
      </c>
      <c r="F309" s="40">
        <v>1</v>
      </c>
      <c r="G309" s="41"/>
      <c r="H309" s="42"/>
      <c r="I309" s="39">
        <f t="shared" si="6"/>
        <v>0</v>
      </c>
      <c r="J309" s="36" t="s">
        <v>107</v>
      </c>
      <c r="K309" s="39" t="s">
        <v>108</v>
      </c>
      <c r="L309" s="43"/>
    </row>
    <row r="310" spans="2:12" ht="18.75" x14ac:dyDescent="0.25">
      <c r="B310" s="36" t="s">
        <v>404</v>
      </c>
      <c r="C310" s="37" t="s">
        <v>614</v>
      </c>
      <c r="D310" s="38" t="s">
        <v>615</v>
      </c>
      <c r="E310" s="39" t="s">
        <v>102</v>
      </c>
      <c r="F310" s="40">
        <v>1</v>
      </c>
      <c r="G310" s="41"/>
      <c r="H310" s="42"/>
      <c r="I310" s="39">
        <f t="shared" si="6"/>
        <v>0</v>
      </c>
      <c r="J310" s="36" t="s">
        <v>107</v>
      </c>
      <c r="K310" s="39" t="s">
        <v>108</v>
      </c>
      <c r="L310" s="43"/>
    </row>
    <row r="311" spans="2:12" ht="18.75" x14ac:dyDescent="0.25">
      <c r="B311" s="36" t="s">
        <v>404</v>
      </c>
      <c r="C311" s="37" t="s">
        <v>616</v>
      </c>
      <c r="D311" s="38" t="s">
        <v>617</v>
      </c>
      <c r="E311" s="39" t="s">
        <v>102</v>
      </c>
      <c r="F311" s="40">
        <v>33</v>
      </c>
      <c r="G311" s="41"/>
      <c r="H311" s="42"/>
      <c r="I311" s="39">
        <f t="shared" si="6"/>
        <v>0</v>
      </c>
      <c r="J311" s="36" t="s">
        <v>107</v>
      </c>
      <c r="K311" s="39" t="s">
        <v>108</v>
      </c>
      <c r="L311" s="43"/>
    </row>
    <row r="312" spans="2:12" ht="18.75" x14ac:dyDescent="0.25">
      <c r="B312" s="36" t="s">
        <v>404</v>
      </c>
      <c r="C312" s="37" t="s">
        <v>618</v>
      </c>
      <c r="D312" s="38" t="s">
        <v>619</v>
      </c>
      <c r="E312" s="39" t="s">
        <v>102</v>
      </c>
      <c r="F312" s="40">
        <v>1</v>
      </c>
      <c r="G312" s="41"/>
      <c r="H312" s="42"/>
      <c r="I312" s="39">
        <f t="shared" si="6"/>
        <v>0</v>
      </c>
      <c r="J312" s="36" t="s">
        <v>107</v>
      </c>
      <c r="K312" s="39" t="s">
        <v>108</v>
      </c>
      <c r="L312" s="43"/>
    </row>
    <row r="313" spans="2:12" ht="18.75" x14ac:dyDescent="0.25">
      <c r="B313" s="36" t="s">
        <v>404</v>
      </c>
      <c r="C313" s="37" t="s">
        <v>620</v>
      </c>
      <c r="D313" s="38" t="s">
        <v>621</v>
      </c>
      <c r="E313" s="39" t="s">
        <v>102</v>
      </c>
      <c r="F313" s="40">
        <v>2</v>
      </c>
      <c r="G313" s="41"/>
      <c r="H313" s="42"/>
      <c r="I313" s="39">
        <f t="shared" si="6"/>
        <v>0</v>
      </c>
      <c r="J313" s="36" t="s">
        <v>107</v>
      </c>
      <c r="K313" s="39" t="s">
        <v>108</v>
      </c>
      <c r="L313" s="43"/>
    </row>
    <row r="314" spans="2:12" ht="18.75" x14ac:dyDescent="0.25">
      <c r="B314" s="36" t="s">
        <v>404</v>
      </c>
      <c r="C314" s="37" t="s">
        <v>622</v>
      </c>
      <c r="D314" s="38" t="s">
        <v>623</v>
      </c>
      <c r="E314" s="39" t="s">
        <v>102</v>
      </c>
      <c r="F314" s="40">
        <v>1</v>
      </c>
      <c r="G314" s="41"/>
      <c r="H314" s="42"/>
      <c r="I314" s="39">
        <f t="shared" si="6"/>
        <v>0</v>
      </c>
      <c r="J314" s="36" t="s">
        <v>107</v>
      </c>
      <c r="K314" s="39" t="s">
        <v>108</v>
      </c>
      <c r="L314" s="43"/>
    </row>
    <row r="315" spans="2:12" ht="18.75" x14ac:dyDescent="0.25">
      <c r="B315" s="36" t="s">
        <v>404</v>
      </c>
      <c r="C315" s="37" t="s">
        <v>624</v>
      </c>
      <c r="D315" s="38" t="s">
        <v>625</v>
      </c>
      <c r="E315" s="39" t="s">
        <v>102</v>
      </c>
      <c r="F315" s="40">
        <v>2</v>
      </c>
      <c r="G315" s="41"/>
      <c r="H315" s="42"/>
      <c r="I315" s="39">
        <f t="shared" si="6"/>
        <v>0</v>
      </c>
      <c r="J315" s="36" t="s">
        <v>107</v>
      </c>
      <c r="K315" s="39" t="s">
        <v>108</v>
      </c>
      <c r="L315" s="43"/>
    </row>
    <row r="316" spans="2:12" ht="18.75" x14ac:dyDescent="0.25">
      <c r="B316" s="36" t="s">
        <v>404</v>
      </c>
      <c r="C316" s="37" t="s">
        <v>626</v>
      </c>
      <c r="D316" s="38" t="s">
        <v>627</v>
      </c>
      <c r="E316" s="39" t="s">
        <v>102</v>
      </c>
      <c r="F316" s="40">
        <v>5</v>
      </c>
      <c r="G316" s="41"/>
      <c r="H316" s="42"/>
      <c r="I316" s="39">
        <f t="shared" si="6"/>
        <v>0</v>
      </c>
      <c r="J316" s="36" t="s">
        <v>107</v>
      </c>
      <c r="K316" s="39" t="s">
        <v>108</v>
      </c>
      <c r="L316" s="43"/>
    </row>
    <row r="317" spans="2:12" ht="18.75" x14ac:dyDescent="0.25">
      <c r="B317" s="36" t="s">
        <v>404</v>
      </c>
      <c r="C317" s="37" t="s">
        <v>628</v>
      </c>
      <c r="D317" s="38" t="s">
        <v>629</v>
      </c>
      <c r="E317" s="39" t="s">
        <v>102</v>
      </c>
      <c r="F317" s="40">
        <v>4</v>
      </c>
      <c r="G317" s="41"/>
      <c r="H317" s="42"/>
      <c r="I317" s="39">
        <f t="shared" si="6"/>
        <v>0</v>
      </c>
      <c r="J317" s="36" t="s">
        <v>107</v>
      </c>
      <c r="K317" s="39" t="s">
        <v>108</v>
      </c>
      <c r="L317" s="43"/>
    </row>
    <row r="318" spans="2:12" ht="18.75" x14ac:dyDescent="0.25">
      <c r="B318" s="36" t="s">
        <v>404</v>
      </c>
      <c r="C318" s="37" t="s">
        <v>630</v>
      </c>
      <c r="D318" s="38" t="s">
        <v>631</v>
      </c>
      <c r="E318" s="39" t="s">
        <v>102</v>
      </c>
      <c r="F318" s="40">
        <v>1</v>
      </c>
      <c r="G318" s="41"/>
      <c r="H318" s="42"/>
      <c r="I318" s="39">
        <f t="shared" si="6"/>
        <v>0</v>
      </c>
      <c r="J318" s="36" t="s">
        <v>107</v>
      </c>
      <c r="K318" s="39" t="s">
        <v>108</v>
      </c>
      <c r="L318" s="43"/>
    </row>
    <row r="319" spans="2:12" ht="18.75" x14ac:dyDescent="0.25">
      <c r="B319" s="36" t="s">
        <v>404</v>
      </c>
      <c r="C319" s="37" t="s">
        <v>632</v>
      </c>
      <c r="D319" s="38" t="s">
        <v>633</v>
      </c>
      <c r="E319" s="39" t="s">
        <v>102</v>
      </c>
      <c r="F319" s="40">
        <v>1</v>
      </c>
      <c r="G319" s="41"/>
      <c r="H319" s="42"/>
      <c r="I319" s="39">
        <f t="shared" si="6"/>
        <v>0</v>
      </c>
      <c r="J319" s="36" t="s">
        <v>107</v>
      </c>
      <c r="K319" s="39" t="s">
        <v>108</v>
      </c>
      <c r="L319" s="43"/>
    </row>
    <row r="320" spans="2:12" ht="18.75" x14ac:dyDescent="0.25">
      <c r="B320" s="36" t="s">
        <v>404</v>
      </c>
      <c r="C320" s="37" t="s">
        <v>634</v>
      </c>
      <c r="D320" s="38" t="s">
        <v>635</v>
      </c>
      <c r="E320" s="39" t="s">
        <v>102</v>
      </c>
      <c r="F320" s="40">
        <v>1</v>
      </c>
      <c r="G320" s="41"/>
      <c r="H320" s="42"/>
      <c r="I320" s="39">
        <f t="shared" si="6"/>
        <v>0</v>
      </c>
      <c r="J320" s="36" t="s">
        <v>107</v>
      </c>
      <c r="K320" s="39" t="s">
        <v>108</v>
      </c>
      <c r="L320" s="43"/>
    </row>
    <row r="321" spans="2:12" ht="18.75" x14ac:dyDescent="0.25">
      <c r="B321" s="36" t="s">
        <v>404</v>
      </c>
      <c r="C321" s="37" t="s">
        <v>636</v>
      </c>
      <c r="D321" s="38" t="s">
        <v>637</v>
      </c>
      <c r="E321" s="39" t="s">
        <v>102</v>
      </c>
      <c r="F321" s="40">
        <v>4</v>
      </c>
      <c r="G321" s="41"/>
      <c r="H321" s="42"/>
      <c r="I321" s="39">
        <f t="shared" si="6"/>
        <v>0</v>
      </c>
      <c r="J321" s="36" t="s">
        <v>107</v>
      </c>
      <c r="K321" s="39" t="s">
        <v>108</v>
      </c>
      <c r="L321" s="43"/>
    </row>
    <row r="322" spans="2:12" ht="18.75" x14ac:dyDescent="0.25">
      <c r="B322" s="36" t="s">
        <v>404</v>
      </c>
      <c r="C322" s="37" t="s">
        <v>638</v>
      </c>
      <c r="D322" s="38" t="s">
        <v>639</v>
      </c>
      <c r="E322" s="39" t="s">
        <v>102</v>
      </c>
      <c r="F322" s="40">
        <v>1</v>
      </c>
      <c r="G322" s="41"/>
      <c r="H322" s="42"/>
      <c r="I322" s="39">
        <f t="shared" si="6"/>
        <v>0</v>
      </c>
      <c r="J322" s="36" t="s">
        <v>107</v>
      </c>
      <c r="K322" s="39" t="s">
        <v>108</v>
      </c>
      <c r="L322" s="43"/>
    </row>
    <row r="323" spans="2:12" ht="18.75" x14ac:dyDescent="0.25">
      <c r="B323" s="36" t="s">
        <v>404</v>
      </c>
      <c r="C323" s="37" t="s">
        <v>640</v>
      </c>
      <c r="D323" s="38" t="s">
        <v>641</v>
      </c>
      <c r="E323" s="39" t="s">
        <v>102</v>
      </c>
      <c r="F323" s="40">
        <v>11</v>
      </c>
      <c r="G323" s="41"/>
      <c r="H323" s="42"/>
      <c r="I323" s="39">
        <f t="shared" si="6"/>
        <v>0</v>
      </c>
      <c r="J323" s="36" t="s">
        <v>107</v>
      </c>
      <c r="K323" s="39" t="s">
        <v>108</v>
      </c>
      <c r="L323" s="43"/>
    </row>
    <row r="324" spans="2:12" ht="18.75" x14ac:dyDescent="0.25">
      <c r="B324" s="36" t="s">
        <v>404</v>
      </c>
      <c r="C324" s="37" t="s">
        <v>642</v>
      </c>
      <c r="D324" s="38" t="s">
        <v>643</v>
      </c>
      <c r="E324" s="39" t="s">
        <v>102</v>
      </c>
      <c r="F324" s="40">
        <v>1</v>
      </c>
      <c r="G324" s="41"/>
      <c r="H324" s="42"/>
      <c r="I324" s="39">
        <f t="shared" si="6"/>
        <v>0</v>
      </c>
      <c r="J324" s="36" t="s">
        <v>107</v>
      </c>
      <c r="K324" s="39" t="s">
        <v>108</v>
      </c>
      <c r="L324" s="43"/>
    </row>
    <row r="325" spans="2:12" ht="18.75" x14ac:dyDescent="0.25">
      <c r="B325" s="36" t="s">
        <v>404</v>
      </c>
      <c r="C325" s="37" t="s">
        <v>644</v>
      </c>
      <c r="D325" s="38" t="s">
        <v>645</v>
      </c>
      <c r="E325" s="39" t="s">
        <v>102</v>
      </c>
      <c r="F325" s="40">
        <v>1</v>
      </c>
      <c r="G325" s="41"/>
      <c r="H325" s="42"/>
      <c r="I325" s="39">
        <f t="shared" si="6"/>
        <v>0</v>
      </c>
      <c r="J325" s="36" t="s">
        <v>107</v>
      </c>
      <c r="K325" s="39" t="s">
        <v>108</v>
      </c>
      <c r="L325" s="43"/>
    </row>
    <row r="326" spans="2:12" ht="18.75" x14ac:dyDescent="0.25">
      <c r="B326" s="36" t="s">
        <v>404</v>
      </c>
      <c r="C326" s="37" t="s">
        <v>646</v>
      </c>
      <c r="D326" s="38" t="s">
        <v>647</v>
      </c>
      <c r="E326" s="39" t="s">
        <v>102</v>
      </c>
      <c r="F326" s="40">
        <v>1</v>
      </c>
      <c r="G326" s="41"/>
      <c r="H326" s="42"/>
      <c r="I326" s="39">
        <f t="shared" si="6"/>
        <v>0</v>
      </c>
      <c r="J326" s="36" t="s">
        <v>107</v>
      </c>
      <c r="K326" s="39" t="s">
        <v>108</v>
      </c>
      <c r="L326" s="43"/>
    </row>
    <row r="327" spans="2:12" ht="18.75" x14ac:dyDescent="0.25">
      <c r="B327" s="36" t="s">
        <v>404</v>
      </c>
      <c r="C327" s="37" t="s">
        <v>648</v>
      </c>
      <c r="D327" s="38" t="s">
        <v>649</v>
      </c>
      <c r="E327" s="39" t="s">
        <v>102</v>
      </c>
      <c r="F327" s="40">
        <v>2</v>
      </c>
      <c r="G327" s="41"/>
      <c r="H327" s="42"/>
      <c r="I327" s="39">
        <f t="shared" si="6"/>
        <v>0</v>
      </c>
      <c r="J327" s="36" t="s">
        <v>107</v>
      </c>
      <c r="K327" s="39" t="s">
        <v>108</v>
      </c>
      <c r="L327" s="43"/>
    </row>
    <row r="328" spans="2:12" ht="18.75" x14ac:dyDescent="0.25">
      <c r="B328" s="36" t="s">
        <v>404</v>
      </c>
      <c r="C328" s="37" t="s">
        <v>650</v>
      </c>
      <c r="D328" s="38" t="s">
        <v>651</v>
      </c>
      <c r="E328" s="39" t="s">
        <v>102</v>
      </c>
      <c r="F328" s="40">
        <v>2</v>
      </c>
      <c r="G328" s="41"/>
      <c r="H328" s="42"/>
      <c r="I328" s="39">
        <f t="shared" si="6"/>
        <v>0</v>
      </c>
      <c r="J328" s="36" t="s">
        <v>107</v>
      </c>
      <c r="K328" s="39" t="s">
        <v>108</v>
      </c>
      <c r="L328" s="43"/>
    </row>
    <row r="329" spans="2:12" ht="18.75" x14ac:dyDescent="0.25">
      <c r="B329" s="36" t="s">
        <v>404</v>
      </c>
      <c r="C329" s="37" t="s">
        <v>652</v>
      </c>
      <c r="D329" s="38" t="s">
        <v>653</v>
      </c>
      <c r="E329" s="39" t="s">
        <v>102</v>
      </c>
      <c r="F329" s="40">
        <v>1</v>
      </c>
      <c r="G329" s="41"/>
      <c r="H329" s="42"/>
      <c r="I329" s="39">
        <f t="shared" si="6"/>
        <v>0</v>
      </c>
      <c r="J329" s="36" t="s">
        <v>107</v>
      </c>
      <c r="K329" s="39" t="s">
        <v>108</v>
      </c>
      <c r="L329" s="43"/>
    </row>
    <row r="330" spans="2:12" ht="18.75" x14ac:dyDescent="0.25">
      <c r="B330" s="36" t="s">
        <v>404</v>
      </c>
      <c r="C330" s="37" t="s">
        <v>654</v>
      </c>
      <c r="D330" s="38" t="s">
        <v>655</v>
      </c>
      <c r="E330" s="39" t="s">
        <v>102</v>
      </c>
      <c r="F330" s="40">
        <v>1</v>
      </c>
      <c r="G330" s="41"/>
      <c r="H330" s="42"/>
      <c r="I330" s="39">
        <f t="shared" si="6"/>
        <v>0</v>
      </c>
      <c r="J330" s="36" t="s">
        <v>107</v>
      </c>
      <c r="K330" s="39" t="s">
        <v>108</v>
      </c>
      <c r="L330" s="43"/>
    </row>
    <row r="331" spans="2:12" ht="18.75" x14ac:dyDescent="0.25">
      <c r="B331" s="36" t="s">
        <v>404</v>
      </c>
      <c r="C331" s="37" t="s">
        <v>656</v>
      </c>
      <c r="D331" s="38" t="s">
        <v>657</v>
      </c>
      <c r="E331" s="39" t="s">
        <v>102</v>
      </c>
      <c r="F331" s="40">
        <v>1</v>
      </c>
      <c r="G331" s="41"/>
      <c r="H331" s="42"/>
      <c r="I331" s="39">
        <f t="shared" si="6"/>
        <v>0</v>
      </c>
      <c r="J331" s="36" t="s">
        <v>107</v>
      </c>
      <c r="K331" s="39" t="s">
        <v>108</v>
      </c>
      <c r="L331" s="43"/>
    </row>
    <row r="332" spans="2:12" ht="18.75" x14ac:dyDescent="0.25">
      <c r="B332" s="36" t="s">
        <v>404</v>
      </c>
      <c r="C332" s="37" t="s">
        <v>658</v>
      </c>
      <c r="D332" s="38" t="s">
        <v>659</v>
      </c>
      <c r="E332" s="39" t="s">
        <v>102</v>
      </c>
      <c r="F332" s="40">
        <v>1</v>
      </c>
      <c r="G332" s="41"/>
      <c r="H332" s="42"/>
      <c r="I332" s="39">
        <f t="shared" si="6"/>
        <v>0</v>
      </c>
      <c r="J332" s="36" t="s">
        <v>107</v>
      </c>
      <c r="K332" s="39" t="s">
        <v>108</v>
      </c>
      <c r="L332" s="43"/>
    </row>
    <row r="333" spans="2:12" ht="18.75" x14ac:dyDescent="0.25">
      <c r="B333" s="36" t="s">
        <v>404</v>
      </c>
      <c r="C333" s="37" t="s">
        <v>660</v>
      </c>
      <c r="D333" s="38" t="s">
        <v>657</v>
      </c>
      <c r="E333" s="39" t="s">
        <v>102</v>
      </c>
      <c r="F333" s="40">
        <v>2</v>
      </c>
      <c r="G333" s="41"/>
      <c r="H333" s="42"/>
      <c r="I333" s="39">
        <f t="shared" si="6"/>
        <v>0</v>
      </c>
      <c r="J333" s="36" t="s">
        <v>107</v>
      </c>
      <c r="K333" s="39" t="s">
        <v>108</v>
      </c>
      <c r="L333" s="43"/>
    </row>
    <row r="334" spans="2:12" ht="18.75" x14ac:dyDescent="0.25">
      <c r="B334" s="36" t="s">
        <v>404</v>
      </c>
      <c r="C334" s="37" t="s">
        <v>661</v>
      </c>
      <c r="D334" s="38" t="s">
        <v>662</v>
      </c>
      <c r="E334" s="39" t="s">
        <v>102</v>
      </c>
      <c r="F334" s="40">
        <v>2</v>
      </c>
      <c r="G334" s="41"/>
      <c r="H334" s="42"/>
      <c r="I334" s="39">
        <f t="shared" ref="I334:I357" si="7">F334*G334</f>
        <v>0</v>
      </c>
      <c r="J334" s="36" t="s">
        <v>107</v>
      </c>
      <c r="K334" s="39" t="s">
        <v>108</v>
      </c>
      <c r="L334" s="43"/>
    </row>
    <row r="335" spans="2:12" ht="18.75" x14ac:dyDescent="0.25">
      <c r="B335" s="36" t="s">
        <v>404</v>
      </c>
      <c r="C335" s="37" t="s">
        <v>663</v>
      </c>
      <c r="D335" s="38" t="s">
        <v>664</v>
      </c>
      <c r="E335" s="39" t="s">
        <v>102</v>
      </c>
      <c r="F335" s="40">
        <v>1</v>
      </c>
      <c r="G335" s="41"/>
      <c r="H335" s="42"/>
      <c r="I335" s="39">
        <f t="shared" si="7"/>
        <v>0</v>
      </c>
      <c r="J335" s="36" t="s">
        <v>107</v>
      </c>
      <c r="K335" s="39" t="s">
        <v>108</v>
      </c>
      <c r="L335" s="43"/>
    </row>
    <row r="336" spans="2:12" ht="18.75" x14ac:dyDescent="0.25">
      <c r="B336" s="36" t="s">
        <v>404</v>
      </c>
      <c r="C336" s="37" t="s">
        <v>665</v>
      </c>
      <c r="D336" s="38" t="s">
        <v>666</v>
      </c>
      <c r="E336" s="39" t="s">
        <v>102</v>
      </c>
      <c r="F336" s="40">
        <v>26</v>
      </c>
      <c r="G336" s="41"/>
      <c r="H336" s="42"/>
      <c r="I336" s="39">
        <f t="shared" si="7"/>
        <v>0</v>
      </c>
      <c r="J336" s="36" t="s">
        <v>107</v>
      </c>
      <c r="K336" s="39" t="s">
        <v>108</v>
      </c>
      <c r="L336" s="43"/>
    </row>
    <row r="337" spans="2:12" ht="18.75" x14ac:dyDescent="0.25">
      <c r="B337" s="36" t="s">
        <v>404</v>
      </c>
      <c r="C337" s="37" t="s">
        <v>667</v>
      </c>
      <c r="D337" s="38" t="s">
        <v>668</v>
      </c>
      <c r="E337" s="39" t="s">
        <v>102</v>
      </c>
      <c r="F337" s="40">
        <v>16</v>
      </c>
      <c r="G337" s="41"/>
      <c r="H337" s="42"/>
      <c r="I337" s="39">
        <f t="shared" si="7"/>
        <v>0</v>
      </c>
      <c r="J337" s="36" t="s">
        <v>107</v>
      </c>
      <c r="K337" s="39" t="s">
        <v>108</v>
      </c>
      <c r="L337" s="43"/>
    </row>
    <row r="338" spans="2:12" ht="18.75" x14ac:dyDescent="0.25">
      <c r="B338" s="36" t="s">
        <v>404</v>
      </c>
      <c r="C338" s="37" t="s">
        <v>669</v>
      </c>
      <c r="D338" s="38" t="s">
        <v>670</v>
      </c>
      <c r="E338" s="39" t="s">
        <v>102</v>
      </c>
      <c r="F338" s="40">
        <v>21</v>
      </c>
      <c r="G338" s="41"/>
      <c r="H338" s="42"/>
      <c r="I338" s="39">
        <f t="shared" si="7"/>
        <v>0</v>
      </c>
      <c r="J338" s="36" t="s">
        <v>107</v>
      </c>
      <c r="K338" s="39" t="s">
        <v>108</v>
      </c>
      <c r="L338" s="43"/>
    </row>
    <row r="339" spans="2:12" ht="18.75" x14ac:dyDescent="0.25">
      <c r="B339" s="36" t="s">
        <v>404</v>
      </c>
      <c r="C339" s="37" t="s">
        <v>671</v>
      </c>
      <c r="D339" s="38" t="s">
        <v>672</v>
      </c>
      <c r="E339" s="39" t="s">
        <v>102</v>
      </c>
      <c r="F339" s="40">
        <v>2</v>
      </c>
      <c r="G339" s="41"/>
      <c r="H339" s="42"/>
      <c r="I339" s="39">
        <f t="shared" si="7"/>
        <v>0</v>
      </c>
      <c r="J339" s="36" t="s">
        <v>107</v>
      </c>
      <c r="K339" s="39" t="s">
        <v>108</v>
      </c>
      <c r="L339" s="43"/>
    </row>
    <row r="340" spans="2:12" ht="18.75" x14ac:dyDescent="0.25">
      <c r="B340" s="36" t="s">
        <v>404</v>
      </c>
      <c r="C340" s="37" t="s">
        <v>673</v>
      </c>
      <c r="D340" s="38" t="s">
        <v>674</v>
      </c>
      <c r="E340" s="39" t="s">
        <v>102</v>
      </c>
      <c r="F340" s="40">
        <v>1</v>
      </c>
      <c r="G340" s="41"/>
      <c r="H340" s="42"/>
      <c r="I340" s="39">
        <f t="shared" si="7"/>
        <v>0</v>
      </c>
      <c r="J340" s="36" t="s">
        <v>107</v>
      </c>
      <c r="K340" s="39" t="s">
        <v>108</v>
      </c>
      <c r="L340" s="43"/>
    </row>
    <row r="341" spans="2:12" ht="18.75" x14ac:dyDescent="0.25">
      <c r="B341" s="36" t="s">
        <v>404</v>
      </c>
      <c r="C341" s="37" t="s">
        <v>675</v>
      </c>
      <c r="D341" s="38" t="s">
        <v>676</v>
      </c>
      <c r="E341" s="39" t="s">
        <v>102</v>
      </c>
      <c r="F341" s="40">
        <v>16</v>
      </c>
      <c r="G341" s="41"/>
      <c r="H341" s="42"/>
      <c r="I341" s="39">
        <f t="shared" si="7"/>
        <v>0</v>
      </c>
      <c r="J341" s="36" t="s">
        <v>107</v>
      </c>
      <c r="K341" s="39" t="s">
        <v>108</v>
      </c>
      <c r="L341" s="43"/>
    </row>
    <row r="342" spans="2:12" ht="18.75" x14ac:dyDescent="0.25">
      <c r="B342" s="36" t="s">
        <v>404</v>
      </c>
      <c r="C342" s="37" t="s">
        <v>677</v>
      </c>
      <c r="D342" s="38" t="s">
        <v>678</v>
      </c>
      <c r="E342" s="39" t="s">
        <v>102</v>
      </c>
      <c r="F342" s="40">
        <v>2</v>
      </c>
      <c r="G342" s="41"/>
      <c r="H342" s="42"/>
      <c r="I342" s="39">
        <f t="shared" si="7"/>
        <v>0</v>
      </c>
      <c r="J342" s="36" t="s">
        <v>107</v>
      </c>
      <c r="K342" s="39" t="s">
        <v>108</v>
      </c>
      <c r="L342" s="43"/>
    </row>
    <row r="343" spans="2:12" ht="18.75" x14ac:dyDescent="0.25">
      <c r="B343" s="36" t="s">
        <v>404</v>
      </c>
      <c r="C343" s="37" t="s">
        <v>679</v>
      </c>
      <c r="D343" s="38" t="s">
        <v>680</v>
      </c>
      <c r="E343" s="39" t="s">
        <v>102</v>
      </c>
      <c r="F343" s="40">
        <v>11</v>
      </c>
      <c r="G343" s="41"/>
      <c r="H343" s="42"/>
      <c r="I343" s="39">
        <f t="shared" si="7"/>
        <v>0</v>
      </c>
      <c r="J343" s="36" t="s">
        <v>107</v>
      </c>
      <c r="K343" s="39" t="s">
        <v>108</v>
      </c>
      <c r="L343" s="43"/>
    </row>
    <row r="344" spans="2:12" ht="18.75" x14ac:dyDescent="0.25">
      <c r="B344" s="36" t="s">
        <v>404</v>
      </c>
      <c r="C344" s="37" t="s">
        <v>681</v>
      </c>
      <c r="D344" s="38" t="s">
        <v>682</v>
      </c>
      <c r="E344" s="39" t="s">
        <v>102</v>
      </c>
      <c r="F344" s="40">
        <v>1</v>
      </c>
      <c r="G344" s="41"/>
      <c r="H344" s="42"/>
      <c r="I344" s="39">
        <f t="shared" si="7"/>
        <v>0</v>
      </c>
      <c r="J344" s="36" t="s">
        <v>107</v>
      </c>
      <c r="K344" s="39" t="s">
        <v>108</v>
      </c>
      <c r="L344" s="43"/>
    </row>
    <row r="345" spans="2:12" ht="18.75" x14ac:dyDescent="0.25">
      <c r="B345" s="36" t="s">
        <v>404</v>
      </c>
      <c r="C345" s="37" t="s">
        <v>683</v>
      </c>
      <c r="D345" s="38" t="s">
        <v>684</v>
      </c>
      <c r="E345" s="39" t="s">
        <v>102</v>
      </c>
      <c r="F345" s="40">
        <v>11</v>
      </c>
      <c r="G345" s="41"/>
      <c r="H345" s="42"/>
      <c r="I345" s="39">
        <f t="shared" si="7"/>
        <v>0</v>
      </c>
      <c r="J345" s="36" t="s">
        <v>107</v>
      </c>
      <c r="K345" s="39" t="s">
        <v>108</v>
      </c>
      <c r="L345" s="43"/>
    </row>
    <row r="346" spans="2:12" ht="18.75" x14ac:dyDescent="0.25">
      <c r="B346" s="36" t="s">
        <v>404</v>
      </c>
      <c r="C346" s="37" t="s">
        <v>685</v>
      </c>
      <c r="D346" s="38" t="s">
        <v>686</v>
      </c>
      <c r="E346" s="39" t="s">
        <v>102</v>
      </c>
      <c r="F346" s="40">
        <v>18</v>
      </c>
      <c r="G346" s="41"/>
      <c r="H346" s="42"/>
      <c r="I346" s="39">
        <f t="shared" si="7"/>
        <v>0</v>
      </c>
      <c r="J346" s="36" t="s">
        <v>107</v>
      </c>
      <c r="K346" s="39" t="s">
        <v>108</v>
      </c>
      <c r="L346" s="43"/>
    </row>
    <row r="347" spans="2:12" ht="18.75" x14ac:dyDescent="0.25">
      <c r="B347" s="36" t="s">
        <v>404</v>
      </c>
      <c r="C347" s="37" t="s">
        <v>687</v>
      </c>
      <c r="D347" s="38" t="s">
        <v>688</v>
      </c>
      <c r="E347" s="39" t="s">
        <v>102</v>
      </c>
      <c r="F347" s="40">
        <v>4</v>
      </c>
      <c r="G347" s="41"/>
      <c r="H347" s="42"/>
      <c r="I347" s="39">
        <f t="shared" si="7"/>
        <v>0</v>
      </c>
      <c r="J347" s="36" t="s">
        <v>107</v>
      </c>
      <c r="K347" s="39" t="s">
        <v>108</v>
      </c>
      <c r="L347" s="43"/>
    </row>
    <row r="348" spans="2:12" ht="18.75" x14ac:dyDescent="0.25">
      <c r="B348" s="36" t="s">
        <v>404</v>
      </c>
      <c r="C348" s="37" t="s">
        <v>689</v>
      </c>
      <c r="D348" s="38" t="s">
        <v>690</v>
      </c>
      <c r="E348" s="39" t="s">
        <v>102</v>
      </c>
      <c r="F348" s="40">
        <v>1</v>
      </c>
      <c r="G348" s="41"/>
      <c r="H348" s="42"/>
      <c r="I348" s="39">
        <f t="shared" si="7"/>
        <v>0</v>
      </c>
      <c r="J348" s="36" t="s">
        <v>107</v>
      </c>
      <c r="K348" s="39" t="s">
        <v>108</v>
      </c>
      <c r="L348" s="43"/>
    </row>
    <row r="349" spans="2:12" ht="18.75" x14ac:dyDescent="0.25">
      <c r="B349" s="36" t="s">
        <v>404</v>
      </c>
      <c r="C349" s="37" t="s">
        <v>691</v>
      </c>
      <c r="D349" s="38" t="s">
        <v>692</v>
      </c>
      <c r="E349" s="39" t="s">
        <v>60</v>
      </c>
      <c r="F349" s="40">
        <v>5</v>
      </c>
      <c r="G349" s="41"/>
      <c r="H349" s="42"/>
      <c r="I349" s="39">
        <f t="shared" si="7"/>
        <v>0</v>
      </c>
      <c r="J349" s="36" t="s">
        <v>107</v>
      </c>
      <c r="K349" s="39" t="s">
        <v>108</v>
      </c>
      <c r="L349" s="43"/>
    </row>
    <row r="350" spans="2:12" ht="18.75" x14ac:dyDescent="0.25">
      <c r="B350" s="36" t="s">
        <v>404</v>
      </c>
      <c r="C350" s="37" t="s">
        <v>693</v>
      </c>
      <c r="D350" s="38" t="s">
        <v>694</v>
      </c>
      <c r="E350" s="39" t="s">
        <v>102</v>
      </c>
      <c r="F350" s="40">
        <v>46</v>
      </c>
      <c r="G350" s="41"/>
      <c r="H350" s="42"/>
      <c r="I350" s="39">
        <f t="shared" si="7"/>
        <v>0</v>
      </c>
      <c r="J350" s="36" t="s">
        <v>107</v>
      </c>
      <c r="K350" s="39" t="s">
        <v>108</v>
      </c>
      <c r="L350" s="43"/>
    </row>
    <row r="351" spans="2:12" ht="18.75" x14ac:dyDescent="0.25">
      <c r="B351" s="36" t="s">
        <v>404</v>
      </c>
      <c r="C351" s="37" t="s">
        <v>695</v>
      </c>
      <c r="D351" s="38" t="s">
        <v>696</v>
      </c>
      <c r="E351" s="39" t="s">
        <v>102</v>
      </c>
      <c r="F351" s="40">
        <v>2</v>
      </c>
      <c r="G351" s="41"/>
      <c r="H351" s="42"/>
      <c r="I351" s="39">
        <f t="shared" si="7"/>
        <v>0</v>
      </c>
      <c r="J351" s="36" t="s">
        <v>107</v>
      </c>
      <c r="K351" s="39" t="s">
        <v>108</v>
      </c>
      <c r="L351" s="43"/>
    </row>
    <row r="352" spans="2:12" ht="18.75" x14ac:dyDescent="0.25">
      <c r="B352" s="36" t="s">
        <v>404</v>
      </c>
      <c r="C352" s="37" t="s">
        <v>697</v>
      </c>
      <c r="D352" s="38" t="s">
        <v>698</v>
      </c>
      <c r="E352" s="39" t="s">
        <v>102</v>
      </c>
      <c r="F352" s="40">
        <v>3</v>
      </c>
      <c r="G352" s="41"/>
      <c r="H352" s="42"/>
      <c r="I352" s="39">
        <f t="shared" si="7"/>
        <v>0</v>
      </c>
      <c r="J352" s="36" t="s">
        <v>107</v>
      </c>
      <c r="K352" s="39" t="s">
        <v>108</v>
      </c>
      <c r="L352" s="43"/>
    </row>
    <row r="353" spans="2:12" ht="18.75" x14ac:dyDescent="0.25">
      <c r="B353" s="36" t="s">
        <v>404</v>
      </c>
      <c r="C353" s="37" t="s">
        <v>699</v>
      </c>
      <c r="D353" s="38" t="s">
        <v>700</v>
      </c>
      <c r="E353" s="39" t="s">
        <v>60</v>
      </c>
      <c r="F353" s="40">
        <v>44</v>
      </c>
      <c r="G353" s="41"/>
      <c r="H353" s="42"/>
      <c r="I353" s="39">
        <f t="shared" si="7"/>
        <v>0</v>
      </c>
      <c r="J353" s="36" t="s">
        <v>107</v>
      </c>
      <c r="K353" s="39" t="s">
        <v>108</v>
      </c>
      <c r="L353" s="43"/>
    </row>
    <row r="354" spans="2:12" ht="18.75" x14ac:dyDescent="0.25">
      <c r="B354" s="36" t="s">
        <v>404</v>
      </c>
      <c r="C354" s="37" t="s">
        <v>701</v>
      </c>
      <c r="D354" s="38" t="s">
        <v>702</v>
      </c>
      <c r="E354" s="39" t="s">
        <v>102</v>
      </c>
      <c r="F354" s="40">
        <v>7</v>
      </c>
      <c r="G354" s="41"/>
      <c r="H354" s="42"/>
      <c r="I354" s="39">
        <f t="shared" si="7"/>
        <v>0</v>
      </c>
      <c r="J354" s="36" t="s">
        <v>107</v>
      </c>
      <c r="K354" s="39" t="s">
        <v>108</v>
      </c>
      <c r="L354" s="43"/>
    </row>
    <row r="355" spans="2:12" ht="18.75" x14ac:dyDescent="0.25">
      <c r="B355" s="36" t="s">
        <v>404</v>
      </c>
      <c r="C355" s="37" t="s">
        <v>703</v>
      </c>
      <c r="D355" s="38" t="s">
        <v>704</v>
      </c>
      <c r="E355" s="39" t="s">
        <v>102</v>
      </c>
      <c r="F355" s="40">
        <v>4</v>
      </c>
      <c r="G355" s="41"/>
      <c r="H355" s="42"/>
      <c r="I355" s="39">
        <f t="shared" si="7"/>
        <v>0</v>
      </c>
      <c r="J355" s="36" t="s">
        <v>107</v>
      </c>
      <c r="K355" s="39" t="s">
        <v>108</v>
      </c>
      <c r="L355" s="43"/>
    </row>
    <row r="356" spans="2:12" ht="18.75" x14ac:dyDescent="0.25">
      <c r="B356" s="36" t="s">
        <v>404</v>
      </c>
      <c r="C356" s="37" t="s">
        <v>705</v>
      </c>
      <c r="D356" s="38" t="s">
        <v>706</v>
      </c>
      <c r="E356" s="39" t="s">
        <v>102</v>
      </c>
      <c r="F356" s="40">
        <v>18</v>
      </c>
      <c r="G356" s="41"/>
      <c r="H356" s="42"/>
      <c r="I356" s="39">
        <f t="shared" si="7"/>
        <v>0</v>
      </c>
      <c r="J356" s="36" t="s">
        <v>107</v>
      </c>
      <c r="K356" s="39" t="s">
        <v>108</v>
      </c>
      <c r="L356" s="43"/>
    </row>
    <row r="357" spans="2:12" ht="18.75" x14ac:dyDescent="0.25">
      <c r="B357" s="36" t="s">
        <v>404</v>
      </c>
      <c r="C357" s="37" t="s">
        <v>707</v>
      </c>
      <c r="D357" s="38" t="s">
        <v>708</v>
      </c>
      <c r="E357" s="39" t="s">
        <v>102</v>
      </c>
      <c r="F357" s="40">
        <v>1</v>
      </c>
      <c r="G357" s="41"/>
      <c r="H357" s="42"/>
      <c r="I357" s="39">
        <f t="shared" si="7"/>
        <v>0</v>
      </c>
      <c r="J357" s="36" t="s">
        <v>107</v>
      </c>
      <c r="K357" s="39" t="s">
        <v>108</v>
      </c>
      <c r="L357" s="43"/>
    </row>
    <row r="358" spans="2:12" ht="131.25" x14ac:dyDescent="0.25">
      <c r="B358" s="36" t="s">
        <v>709</v>
      </c>
      <c r="C358" s="37"/>
      <c r="D358" s="44" t="s">
        <v>710</v>
      </c>
      <c r="E358" s="39"/>
      <c r="F358" s="40"/>
      <c r="G358" s="41"/>
      <c r="H358" s="42"/>
      <c r="I358" s="39"/>
      <c r="J358" s="36"/>
      <c r="K358" s="39"/>
      <c r="L358" s="43"/>
    </row>
    <row r="359" spans="2:12" ht="18.75" x14ac:dyDescent="0.25">
      <c r="B359" s="36" t="s">
        <v>709</v>
      </c>
      <c r="C359" s="37" t="s">
        <v>711</v>
      </c>
      <c r="D359" s="53" t="s">
        <v>712</v>
      </c>
      <c r="E359" s="39" t="s">
        <v>102</v>
      </c>
      <c r="F359" s="62">
        <v>1</v>
      </c>
      <c r="G359" s="41"/>
      <c r="H359" s="42"/>
      <c r="I359" s="39">
        <f t="shared" ref="I359:I398" si="8">F359*G359</f>
        <v>0</v>
      </c>
      <c r="J359" s="36" t="s">
        <v>107</v>
      </c>
      <c r="K359" s="39" t="s">
        <v>108</v>
      </c>
      <c r="L359" s="43"/>
    </row>
    <row r="360" spans="2:12" ht="18.75" x14ac:dyDescent="0.25">
      <c r="B360" s="36" t="s">
        <v>709</v>
      </c>
      <c r="C360" s="37" t="s">
        <v>713</v>
      </c>
      <c r="D360" s="53" t="s">
        <v>714</v>
      </c>
      <c r="E360" s="39" t="s">
        <v>102</v>
      </c>
      <c r="F360" s="62">
        <v>2</v>
      </c>
      <c r="G360" s="41"/>
      <c r="H360" s="42"/>
      <c r="I360" s="39">
        <f t="shared" si="8"/>
        <v>0</v>
      </c>
      <c r="J360" s="36" t="s">
        <v>107</v>
      </c>
      <c r="K360" s="39" t="s">
        <v>108</v>
      </c>
      <c r="L360" s="43"/>
    </row>
    <row r="361" spans="2:12" ht="18.75" x14ac:dyDescent="0.25">
      <c r="B361" s="36" t="s">
        <v>709</v>
      </c>
      <c r="C361" s="37" t="s">
        <v>715</v>
      </c>
      <c r="D361" s="53" t="s">
        <v>716</v>
      </c>
      <c r="E361" s="39" t="s">
        <v>102</v>
      </c>
      <c r="F361" s="62">
        <v>1</v>
      </c>
      <c r="G361" s="41"/>
      <c r="H361" s="42"/>
      <c r="I361" s="39">
        <f t="shared" si="8"/>
        <v>0</v>
      </c>
      <c r="J361" s="36" t="s">
        <v>107</v>
      </c>
      <c r="K361" s="39" t="s">
        <v>108</v>
      </c>
      <c r="L361" s="43"/>
    </row>
    <row r="362" spans="2:12" ht="18.75" x14ac:dyDescent="0.25">
      <c r="B362" s="36" t="s">
        <v>709</v>
      </c>
      <c r="C362" s="37" t="s">
        <v>717</v>
      </c>
      <c r="D362" s="53" t="s">
        <v>718</v>
      </c>
      <c r="E362" s="39" t="s">
        <v>102</v>
      </c>
      <c r="F362" s="62">
        <v>16</v>
      </c>
      <c r="G362" s="41"/>
      <c r="H362" s="42"/>
      <c r="I362" s="39">
        <f t="shared" si="8"/>
        <v>0</v>
      </c>
      <c r="J362" s="36" t="s">
        <v>107</v>
      </c>
      <c r="K362" s="39" t="s">
        <v>108</v>
      </c>
      <c r="L362" s="43"/>
    </row>
    <row r="363" spans="2:12" ht="18.75" x14ac:dyDescent="0.25">
      <c r="B363" s="36" t="s">
        <v>709</v>
      </c>
      <c r="C363" s="37" t="s">
        <v>719</v>
      </c>
      <c r="D363" s="53" t="s">
        <v>720</v>
      </c>
      <c r="E363" s="39" t="s">
        <v>102</v>
      </c>
      <c r="F363" s="62">
        <v>5</v>
      </c>
      <c r="G363" s="41"/>
      <c r="H363" s="42"/>
      <c r="I363" s="39">
        <f t="shared" si="8"/>
        <v>0</v>
      </c>
      <c r="J363" s="36" t="s">
        <v>107</v>
      </c>
      <c r="K363" s="39" t="s">
        <v>108</v>
      </c>
      <c r="L363" s="43"/>
    </row>
    <row r="364" spans="2:12" ht="18.75" x14ac:dyDescent="0.25">
      <c r="B364" s="36" t="s">
        <v>709</v>
      </c>
      <c r="C364" s="37" t="s">
        <v>721</v>
      </c>
      <c r="D364" s="53" t="s">
        <v>722</v>
      </c>
      <c r="E364" s="39" t="s">
        <v>102</v>
      </c>
      <c r="F364" s="62">
        <v>2</v>
      </c>
      <c r="G364" s="41"/>
      <c r="H364" s="42"/>
      <c r="I364" s="39">
        <f t="shared" si="8"/>
        <v>0</v>
      </c>
      <c r="J364" s="36" t="s">
        <v>107</v>
      </c>
      <c r="K364" s="39" t="s">
        <v>108</v>
      </c>
      <c r="L364" s="43"/>
    </row>
    <row r="365" spans="2:12" ht="18.75" x14ac:dyDescent="0.25">
      <c r="B365" s="36" t="s">
        <v>709</v>
      </c>
      <c r="C365" s="37" t="s">
        <v>723</v>
      </c>
      <c r="D365" s="53" t="s">
        <v>724</v>
      </c>
      <c r="E365" s="39" t="s">
        <v>102</v>
      </c>
      <c r="F365" s="62">
        <v>1</v>
      </c>
      <c r="G365" s="41"/>
      <c r="H365" s="42"/>
      <c r="I365" s="39">
        <f t="shared" si="8"/>
        <v>0</v>
      </c>
      <c r="J365" s="36" t="s">
        <v>107</v>
      </c>
      <c r="K365" s="39" t="s">
        <v>108</v>
      </c>
      <c r="L365" s="43"/>
    </row>
    <row r="366" spans="2:12" ht="18.75" x14ac:dyDescent="0.25">
      <c r="B366" s="36" t="s">
        <v>709</v>
      </c>
      <c r="C366" s="37" t="s">
        <v>725</v>
      </c>
      <c r="D366" s="53" t="s">
        <v>726</v>
      </c>
      <c r="E366" s="39" t="s">
        <v>102</v>
      </c>
      <c r="F366" s="62">
        <v>4</v>
      </c>
      <c r="G366" s="41"/>
      <c r="H366" s="42"/>
      <c r="I366" s="39">
        <f t="shared" si="8"/>
        <v>0</v>
      </c>
      <c r="J366" s="36" t="s">
        <v>107</v>
      </c>
      <c r="K366" s="39" t="s">
        <v>108</v>
      </c>
      <c r="L366" s="43"/>
    </row>
    <row r="367" spans="2:12" ht="18.75" x14ac:dyDescent="0.25">
      <c r="B367" s="36" t="s">
        <v>709</v>
      </c>
      <c r="C367" s="37" t="s">
        <v>727</v>
      </c>
      <c r="D367" s="53" t="s">
        <v>728</v>
      </c>
      <c r="E367" s="39" t="s">
        <v>102</v>
      </c>
      <c r="F367" s="62">
        <v>2</v>
      </c>
      <c r="G367" s="41"/>
      <c r="H367" s="42"/>
      <c r="I367" s="39">
        <f t="shared" si="8"/>
        <v>0</v>
      </c>
      <c r="J367" s="36" t="s">
        <v>107</v>
      </c>
      <c r="K367" s="39" t="s">
        <v>108</v>
      </c>
      <c r="L367" s="43"/>
    </row>
    <row r="368" spans="2:12" ht="18.75" x14ac:dyDescent="0.25">
      <c r="B368" s="36" t="s">
        <v>709</v>
      </c>
      <c r="C368" s="37" t="s">
        <v>729</v>
      </c>
      <c r="D368" s="53" t="s">
        <v>730</v>
      </c>
      <c r="E368" s="39" t="s">
        <v>102</v>
      </c>
      <c r="F368" s="62">
        <v>14</v>
      </c>
      <c r="G368" s="41"/>
      <c r="H368" s="42"/>
      <c r="I368" s="39">
        <f t="shared" si="8"/>
        <v>0</v>
      </c>
      <c r="J368" s="36" t="s">
        <v>107</v>
      </c>
      <c r="K368" s="39" t="s">
        <v>108</v>
      </c>
      <c r="L368" s="43"/>
    </row>
    <row r="369" spans="2:12" ht="18.75" x14ac:dyDescent="0.25">
      <c r="B369" s="36" t="s">
        <v>709</v>
      </c>
      <c r="C369" s="37" t="s">
        <v>731</v>
      </c>
      <c r="D369" s="53" t="s">
        <v>732</v>
      </c>
      <c r="E369" s="39" t="s">
        <v>102</v>
      </c>
      <c r="F369" s="62">
        <v>16</v>
      </c>
      <c r="G369" s="41"/>
      <c r="H369" s="42"/>
      <c r="I369" s="39">
        <f t="shared" si="8"/>
        <v>0</v>
      </c>
      <c r="J369" s="36" t="s">
        <v>107</v>
      </c>
      <c r="K369" s="39" t="s">
        <v>108</v>
      </c>
      <c r="L369" s="43"/>
    </row>
    <row r="370" spans="2:12" ht="18.75" x14ac:dyDescent="0.25">
      <c r="B370" s="36" t="s">
        <v>709</v>
      </c>
      <c r="C370" s="37" t="s">
        <v>733</v>
      </c>
      <c r="D370" s="53" t="s">
        <v>734</v>
      </c>
      <c r="E370" s="39" t="s">
        <v>102</v>
      </c>
      <c r="F370" s="62">
        <v>28</v>
      </c>
      <c r="G370" s="41"/>
      <c r="H370" s="42"/>
      <c r="I370" s="39">
        <f t="shared" si="8"/>
        <v>0</v>
      </c>
      <c r="J370" s="36" t="s">
        <v>107</v>
      </c>
      <c r="K370" s="39" t="s">
        <v>108</v>
      </c>
      <c r="L370" s="43"/>
    </row>
    <row r="371" spans="2:12" ht="18.75" x14ac:dyDescent="0.25">
      <c r="B371" s="36" t="s">
        <v>709</v>
      </c>
      <c r="C371" s="37" t="s">
        <v>735</v>
      </c>
      <c r="D371" s="53" t="s">
        <v>736</v>
      </c>
      <c r="E371" s="39" t="s">
        <v>102</v>
      </c>
      <c r="F371" s="62">
        <v>2</v>
      </c>
      <c r="G371" s="41"/>
      <c r="H371" s="42"/>
      <c r="I371" s="39">
        <f t="shared" si="8"/>
        <v>0</v>
      </c>
      <c r="J371" s="36" t="s">
        <v>107</v>
      </c>
      <c r="K371" s="39" t="s">
        <v>108</v>
      </c>
      <c r="L371" s="43"/>
    </row>
    <row r="372" spans="2:12" ht="18.75" x14ac:dyDescent="0.25">
      <c r="B372" s="36" t="s">
        <v>709</v>
      </c>
      <c r="C372" s="37" t="s">
        <v>737</v>
      </c>
      <c r="D372" s="53" t="s">
        <v>738</v>
      </c>
      <c r="E372" s="39" t="s">
        <v>102</v>
      </c>
      <c r="F372" s="62">
        <v>39</v>
      </c>
      <c r="G372" s="41"/>
      <c r="H372" s="42"/>
      <c r="I372" s="39">
        <f t="shared" si="8"/>
        <v>0</v>
      </c>
      <c r="J372" s="36" t="s">
        <v>107</v>
      </c>
      <c r="K372" s="39" t="s">
        <v>108</v>
      </c>
      <c r="L372" s="43"/>
    </row>
    <row r="373" spans="2:12" ht="18.75" x14ac:dyDescent="0.25">
      <c r="B373" s="36" t="s">
        <v>709</v>
      </c>
      <c r="C373" s="37" t="s">
        <v>739</v>
      </c>
      <c r="D373" s="53" t="s">
        <v>740</v>
      </c>
      <c r="E373" s="39" t="s">
        <v>102</v>
      </c>
      <c r="F373" s="62">
        <v>9</v>
      </c>
      <c r="G373" s="41"/>
      <c r="H373" s="42"/>
      <c r="I373" s="39">
        <f t="shared" si="8"/>
        <v>0</v>
      </c>
      <c r="J373" s="36" t="s">
        <v>107</v>
      </c>
      <c r="K373" s="39" t="s">
        <v>108</v>
      </c>
      <c r="L373" s="43"/>
    </row>
    <row r="374" spans="2:12" ht="18.75" x14ac:dyDescent="0.25">
      <c r="B374" s="36" t="s">
        <v>709</v>
      </c>
      <c r="C374" s="37" t="s">
        <v>741</v>
      </c>
      <c r="D374" s="53" t="s">
        <v>742</v>
      </c>
      <c r="E374" s="39" t="s">
        <v>102</v>
      </c>
      <c r="F374" s="62">
        <v>3</v>
      </c>
      <c r="G374" s="41"/>
      <c r="H374" s="42"/>
      <c r="I374" s="39">
        <f t="shared" si="8"/>
        <v>0</v>
      </c>
      <c r="J374" s="36" t="s">
        <v>107</v>
      </c>
      <c r="K374" s="39" t="s">
        <v>108</v>
      </c>
      <c r="L374" s="43"/>
    </row>
    <row r="375" spans="2:12" ht="18.75" x14ac:dyDescent="0.25">
      <c r="B375" s="36" t="s">
        <v>709</v>
      </c>
      <c r="C375" s="37" t="s">
        <v>743</v>
      </c>
      <c r="D375" s="53" t="s">
        <v>744</v>
      </c>
      <c r="E375" s="39" t="s">
        <v>102</v>
      </c>
      <c r="F375" s="62">
        <v>2</v>
      </c>
      <c r="G375" s="41"/>
      <c r="H375" s="42"/>
      <c r="I375" s="39">
        <f t="shared" si="8"/>
        <v>0</v>
      </c>
      <c r="J375" s="36" t="s">
        <v>107</v>
      </c>
      <c r="K375" s="39" t="s">
        <v>108</v>
      </c>
      <c r="L375" s="43"/>
    </row>
    <row r="376" spans="2:12" ht="18.75" x14ac:dyDescent="0.25">
      <c r="B376" s="36" t="s">
        <v>709</v>
      </c>
      <c r="C376" s="37" t="s">
        <v>745</v>
      </c>
      <c r="D376" s="53" t="s">
        <v>746</v>
      </c>
      <c r="E376" s="39" t="s">
        <v>102</v>
      </c>
      <c r="F376" s="62">
        <v>1</v>
      </c>
      <c r="G376" s="41"/>
      <c r="H376" s="42"/>
      <c r="I376" s="39">
        <f t="shared" si="8"/>
        <v>0</v>
      </c>
      <c r="J376" s="36" t="s">
        <v>107</v>
      </c>
      <c r="K376" s="39" t="s">
        <v>108</v>
      </c>
      <c r="L376" s="43"/>
    </row>
    <row r="377" spans="2:12" ht="18.75" x14ac:dyDescent="0.25">
      <c r="B377" s="36" t="s">
        <v>709</v>
      </c>
      <c r="C377" s="37" t="s">
        <v>747</v>
      </c>
      <c r="D377" s="53" t="s">
        <v>748</v>
      </c>
      <c r="E377" s="39" t="s">
        <v>102</v>
      </c>
      <c r="F377" s="62">
        <v>1</v>
      </c>
      <c r="G377" s="41"/>
      <c r="H377" s="42"/>
      <c r="I377" s="39">
        <f t="shared" si="8"/>
        <v>0</v>
      </c>
      <c r="J377" s="36" t="s">
        <v>107</v>
      </c>
      <c r="K377" s="39" t="s">
        <v>108</v>
      </c>
      <c r="L377" s="43"/>
    </row>
    <row r="378" spans="2:12" ht="18.75" x14ac:dyDescent="0.25">
      <c r="B378" s="36" t="s">
        <v>709</v>
      </c>
      <c r="C378" s="37" t="s">
        <v>749</v>
      </c>
      <c r="D378" s="53" t="s">
        <v>750</v>
      </c>
      <c r="E378" s="39" t="s">
        <v>102</v>
      </c>
      <c r="F378" s="62">
        <v>1</v>
      </c>
      <c r="G378" s="41"/>
      <c r="H378" s="42"/>
      <c r="I378" s="39">
        <f t="shared" si="8"/>
        <v>0</v>
      </c>
      <c r="J378" s="36" t="s">
        <v>107</v>
      </c>
      <c r="K378" s="39" t="s">
        <v>108</v>
      </c>
      <c r="L378" s="43"/>
    </row>
    <row r="379" spans="2:12" ht="18.75" x14ac:dyDescent="0.25">
      <c r="B379" s="36" t="s">
        <v>709</v>
      </c>
      <c r="C379" s="37" t="s">
        <v>751</v>
      </c>
      <c r="D379" s="53" t="s">
        <v>752</v>
      </c>
      <c r="E379" s="39" t="s">
        <v>102</v>
      </c>
      <c r="F379" s="62">
        <v>10</v>
      </c>
      <c r="G379" s="41"/>
      <c r="H379" s="42"/>
      <c r="I379" s="39">
        <f t="shared" si="8"/>
        <v>0</v>
      </c>
      <c r="J379" s="36" t="s">
        <v>107</v>
      </c>
      <c r="K379" s="39" t="s">
        <v>108</v>
      </c>
      <c r="L379" s="43"/>
    </row>
    <row r="380" spans="2:12" ht="18.75" x14ac:dyDescent="0.25">
      <c r="B380" s="36" t="s">
        <v>709</v>
      </c>
      <c r="C380" s="37" t="s">
        <v>753</v>
      </c>
      <c r="D380" s="53" t="s">
        <v>754</v>
      </c>
      <c r="E380" s="39" t="s">
        <v>102</v>
      </c>
      <c r="F380" s="62">
        <v>13</v>
      </c>
      <c r="G380" s="41"/>
      <c r="H380" s="42"/>
      <c r="I380" s="39">
        <f t="shared" si="8"/>
        <v>0</v>
      </c>
      <c r="J380" s="36" t="s">
        <v>107</v>
      </c>
      <c r="K380" s="39" t="s">
        <v>108</v>
      </c>
      <c r="L380" s="43"/>
    </row>
    <row r="381" spans="2:12" ht="18.75" x14ac:dyDescent="0.25">
      <c r="B381" s="36" t="s">
        <v>709</v>
      </c>
      <c r="C381" s="37" t="s">
        <v>755</v>
      </c>
      <c r="D381" s="53" t="s">
        <v>756</v>
      </c>
      <c r="E381" s="39" t="s">
        <v>102</v>
      </c>
      <c r="F381" s="62">
        <v>1</v>
      </c>
      <c r="G381" s="41"/>
      <c r="H381" s="42"/>
      <c r="I381" s="39">
        <f t="shared" si="8"/>
        <v>0</v>
      </c>
      <c r="J381" s="36" t="s">
        <v>107</v>
      </c>
      <c r="K381" s="39" t="s">
        <v>108</v>
      </c>
      <c r="L381" s="43"/>
    </row>
    <row r="382" spans="2:12" ht="18.75" x14ac:dyDescent="0.25">
      <c r="B382" s="36" t="s">
        <v>709</v>
      </c>
      <c r="C382" s="37" t="s">
        <v>757</v>
      </c>
      <c r="D382" s="53" t="s">
        <v>758</v>
      </c>
      <c r="E382" s="39" t="s">
        <v>102</v>
      </c>
      <c r="F382" s="62">
        <v>1</v>
      </c>
      <c r="G382" s="41"/>
      <c r="H382" s="42"/>
      <c r="I382" s="39">
        <f t="shared" si="8"/>
        <v>0</v>
      </c>
      <c r="J382" s="36" t="s">
        <v>107</v>
      </c>
      <c r="K382" s="39" t="s">
        <v>108</v>
      </c>
      <c r="L382" s="43"/>
    </row>
    <row r="383" spans="2:12" ht="18.75" x14ac:dyDescent="0.25">
      <c r="B383" s="36" t="s">
        <v>709</v>
      </c>
      <c r="C383" s="37" t="s">
        <v>759</v>
      </c>
      <c r="D383" s="53" t="s">
        <v>760</v>
      </c>
      <c r="E383" s="39" t="s">
        <v>102</v>
      </c>
      <c r="F383" s="62">
        <v>1</v>
      </c>
      <c r="G383" s="41"/>
      <c r="H383" s="42"/>
      <c r="I383" s="39">
        <f t="shared" si="8"/>
        <v>0</v>
      </c>
      <c r="J383" s="36" t="s">
        <v>107</v>
      </c>
      <c r="K383" s="39" t="s">
        <v>108</v>
      </c>
      <c r="L383" s="43"/>
    </row>
    <row r="384" spans="2:12" ht="18.75" x14ac:dyDescent="0.25">
      <c r="B384" s="36" t="s">
        <v>709</v>
      </c>
      <c r="C384" s="37" t="s">
        <v>761</v>
      </c>
      <c r="D384" s="53" t="s">
        <v>762</v>
      </c>
      <c r="E384" s="39" t="s">
        <v>102</v>
      </c>
      <c r="F384" s="62">
        <v>1</v>
      </c>
      <c r="G384" s="41"/>
      <c r="H384" s="42"/>
      <c r="I384" s="39">
        <f t="shared" si="8"/>
        <v>0</v>
      </c>
      <c r="J384" s="36" t="s">
        <v>107</v>
      </c>
      <c r="K384" s="39" t="s">
        <v>108</v>
      </c>
      <c r="L384" s="43"/>
    </row>
    <row r="385" spans="2:12" ht="18.75" x14ac:dyDescent="0.25">
      <c r="B385" s="36" t="s">
        <v>709</v>
      </c>
      <c r="C385" s="37" t="s">
        <v>763</v>
      </c>
      <c r="D385" s="53" t="s">
        <v>764</v>
      </c>
      <c r="E385" s="39" t="s">
        <v>102</v>
      </c>
      <c r="F385" s="62">
        <v>3</v>
      </c>
      <c r="G385" s="41"/>
      <c r="H385" s="42"/>
      <c r="I385" s="39">
        <f t="shared" si="8"/>
        <v>0</v>
      </c>
      <c r="J385" s="36" t="s">
        <v>107</v>
      </c>
      <c r="K385" s="39" t="s">
        <v>108</v>
      </c>
      <c r="L385" s="43"/>
    </row>
    <row r="386" spans="2:12" ht="18.75" x14ac:dyDescent="0.25">
      <c r="B386" s="36" t="s">
        <v>709</v>
      </c>
      <c r="C386" s="37" t="s">
        <v>765</v>
      </c>
      <c r="D386" s="53" t="s">
        <v>766</v>
      </c>
      <c r="E386" s="39" t="s">
        <v>102</v>
      </c>
      <c r="F386" s="62">
        <v>7</v>
      </c>
      <c r="G386" s="41"/>
      <c r="H386" s="42"/>
      <c r="I386" s="39">
        <f t="shared" si="8"/>
        <v>0</v>
      </c>
      <c r="J386" s="36" t="s">
        <v>107</v>
      </c>
      <c r="K386" s="39" t="s">
        <v>108</v>
      </c>
      <c r="L386" s="43"/>
    </row>
    <row r="387" spans="2:12" ht="18.75" x14ac:dyDescent="0.25">
      <c r="B387" s="36" t="s">
        <v>709</v>
      </c>
      <c r="C387" s="37" t="s">
        <v>767</v>
      </c>
      <c r="D387" s="53" t="s">
        <v>768</v>
      </c>
      <c r="E387" s="39" t="s">
        <v>102</v>
      </c>
      <c r="F387" s="62">
        <v>7</v>
      </c>
      <c r="G387" s="41"/>
      <c r="H387" s="42"/>
      <c r="I387" s="39">
        <f t="shared" si="8"/>
        <v>0</v>
      </c>
      <c r="J387" s="36" t="s">
        <v>107</v>
      </c>
      <c r="K387" s="39" t="s">
        <v>108</v>
      </c>
      <c r="L387" s="43"/>
    </row>
    <row r="388" spans="2:12" ht="18.75" x14ac:dyDescent="0.25">
      <c r="B388" s="36" t="s">
        <v>709</v>
      </c>
      <c r="C388" s="37" t="s">
        <v>769</v>
      </c>
      <c r="D388" s="53" t="s">
        <v>770</v>
      </c>
      <c r="E388" s="39" t="s">
        <v>102</v>
      </c>
      <c r="F388" s="62">
        <v>1</v>
      </c>
      <c r="G388" s="41"/>
      <c r="H388" s="42"/>
      <c r="I388" s="39">
        <f t="shared" si="8"/>
        <v>0</v>
      </c>
      <c r="J388" s="36" t="s">
        <v>107</v>
      </c>
      <c r="K388" s="39" t="s">
        <v>108</v>
      </c>
      <c r="L388" s="43"/>
    </row>
    <row r="389" spans="2:12" ht="18.75" x14ac:dyDescent="0.25">
      <c r="B389" s="36" t="s">
        <v>709</v>
      </c>
      <c r="C389" s="37" t="s">
        <v>771</v>
      </c>
      <c r="D389" s="53" t="s">
        <v>772</v>
      </c>
      <c r="E389" s="39" t="s">
        <v>102</v>
      </c>
      <c r="F389" s="62">
        <v>1</v>
      </c>
      <c r="G389" s="41"/>
      <c r="H389" s="42"/>
      <c r="I389" s="39">
        <f t="shared" si="8"/>
        <v>0</v>
      </c>
      <c r="J389" s="36" t="s">
        <v>107</v>
      </c>
      <c r="K389" s="39" t="s">
        <v>108</v>
      </c>
      <c r="L389" s="43"/>
    </row>
    <row r="390" spans="2:12" ht="18.75" x14ac:dyDescent="0.25">
      <c r="B390" s="36" t="s">
        <v>709</v>
      </c>
      <c r="C390" s="37" t="s">
        <v>773</v>
      </c>
      <c r="D390" s="53" t="s">
        <v>774</v>
      </c>
      <c r="E390" s="39" t="s">
        <v>102</v>
      </c>
      <c r="F390" s="62">
        <v>1</v>
      </c>
      <c r="G390" s="41"/>
      <c r="H390" s="42"/>
      <c r="I390" s="39">
        <f t="shared" si="8"/>
        <v>0</v>
      </c>
      <c r="J390" s="36" t="s">
        <v>107</v>
      </c>
      <c r="K390" s="39" t="s">
        <v>108</v>
      </c>
      <c r="L390" s="43"/>
    </row>
    <row r="391" spans="2:12" ht="18.75" x14ac:dyDescent="0.25">
      <c r="B391" s="36" t="s">
        <v>709</v>
      </c>
      <c r="C391" s="37" t="s">
        <v>775</v>
      </c>
      <c r="D391" s="53" t="s">
        <v>776</v>
      </c>
      <c r="E391" s="39" t="s">
        <v>102</v>
      </c>
      <c r="F391" s="62">
        <v>36</v>
      </c>
      <c r="G391" s="41"/>
      <c r="H391" s="42"/>
      <c r="I391" s="39">
        <f t="shared" si="8"/>
        <v>0</v>
      </c>
      <c r="J391" s="36" t="s">
        <v>107</v>
      </c>
      <c r="K391" s="39" t="s">
        <v>108</v>
      </c>
      <c r="L391" s="43"/>
    </row>
    <row r="392" spans="2:12" ht="18.75" x14ac:dyDescent="0.25">
      <c r="B392" s="36" t="s">
        <v>709</v>
      </c>
      <c r="C392" s="37" t="s">
        <v>777</v>
      </c>
      <c r="D392" s="53" t="s">
        <v>778</v>
      </c>
      <c r="E392" s="39" t="s">
        <v>102</v>
      </c>
      <c r="F392" s="62">
        <v>1</v>
      </c>
      <c r="G392" s="41"/>
      <c r="H392" s="42"/>
      <c r="I392" s="39">
        <f t="shared" si="8"/>
        <v>0</v>
      </c>
      <c r="J392" s="36" t="s">
        <v>107</v>
      </c>
      <c r="K392" s="39" t="s">
        <v>108</v>
      </c>
      <c r="L392" s="43"/>
    </row>
    <row r="393" spans="2:12" ht="18.75" x14ac:dyDescent="0.25">
      <c r="B393" s="36" t="s">
        <v>709</v>
      </c>
      <c r="C393" s="37" t="s">
        <v>779</v>
      </c>
      <c r="D393" s="53" t="s">
        <v>780</v>
      </c>
      <c r="E393" s="39" t="s">
        <v>102</v>
      </c>
      <c r="F393" s="62">
        <v>3</v>
      </c>
      <c r="G393" s="41"/>
      <c r="H393" s="42"/>
      <c r="I393" s="39">
        <f t="shared" si="8"/>
        <v>0</v>
      </c>
      <c r="J393" s="36" t="s">
        <v>107</v>
      </c>
      <c r="K393" s="39" t="s">
        <v>108</v>
      </c>
      <c r="L393" s="43"/>
    </row>
    <row r="394" spans="2:12" ht="18.75" x14ac:dyDescent="0.25">
      <c r="B394" s="36" t="s">
        <v>709</v>
      </c>
      <c r="C394" s="37" t="s">
        <v>781</v>
      </c>
      <c r="D394" s="53" t="s">
        <v>782</v>
      </c>
      <c r="E394" s="39" t="s">
        <v>102</v>
      </c>
      <c r="F394" s="62">
        <v>1</v>
      </c>
      <c r="G394" s="41"/>
      <c r="H394" s="42"/>
      <c r="I394" s="39">
        <f t="shared" si="8"/>
        <v>0</v>
      </c>
      <c r="J394" s="36" t="s">
        <v>107</v>
      </c>
      <c r="K394" s="39" t="s">
        <v>108</v>
      </c>
      <c r="L394" s="43"/>
    </row>
    <row r="395" spans="2:12" ht="18.75" x14ac:dyDescent="0.25">
      <c r="B395" s="36" t="s">
        <v>709</v>
      </c>
      <c r="C395" s="37" t="s">
        <v>783</v>
      </c>
      <c r="D395" s="53" t="s">
        <v>784</v>
      </c>
      <c r="E395" s="39" t="s">
        <v>102</v>
      </c>
      <c r="F395" s="62">
        <v>4</v>
      </c>
      <c r="G395" s="41"/>
      <c r="H395" s="42"/>
      <c r="I395" s="39">
        <f t="shared" si="8"/>
        <v>0</v>
      </c>
      <c r="J395" s="36" t="s">
        <v>107</v>
      </c>
      <c r="K395" s="39" t="s">
        <v>108</v>
      </c>
      <c r="L395" s="43"/>
    </row>
    <row r="396" spans="2:12" ht="18.75" x14ac:dyDescent="0.25">
      <c r="B396" s="36" t="s">
        <v>709</v>
      </c>
      <c r="C396" s="37" t="s">
        <v>785</v>
      </c>
      <c r="D396" s="53" t="s">
        <v>786</v>
      </c>
      <c r="E396" s="39" t="s">
        <v>102</v>
      </c>
      <c r="F396" s="62">
        <v>1</v>
      </c>
      <c r="G396" s="41"/>
      <c r="H396" s="42"/>
      <c r="I396" s="39">
        <f t="shared" si="8"/>
        <v>0</v>
      </c>
      <c r="J396" s="36" t="s">
        <v>107</v>
      </c>
      <c r="K396" s="39" t="s">
        <v>108</v>
      </c>
      <c r="L396" s="43"/>
    </row>
    <row r="397" spans="2:12" ht="18.75" x14ac:dyDescent="0.25">
      <c r="B397" s="36" t="s">
        <v>709</v>
      </c>
      <c r="C397" s="37" t="s">
        <v>787</v>
      </c>
      <c r="D397" s="53" t="s">
        <v>788</v>
      </c>
      <c r="E397" s="39" t="s">
        <v>102</v>
      </c>
      <c r="F397" s="62">
        <v>1</v>
      </c>
      <c r="G397" s="41"/>
      <c r="H397" s="42"/>
      <c r="I397" s="39">
        <f t="shared" si="8"/>
        <v>0</v>
      </c>
      <c r="J397" s="36" t="s">
        <v>107</v>
      </c>
      <c r="K397" s="39" t="s">
        <v>108</v>
      </c>
      <c r="L397" s="43"/>
    </row>
    <row r="398" spans="2:12" ht="18.75" x14ac:dyDescent="0.25">
      <c r="B398" s="36" t="s">
        <v>709</v>
      </c>
      <c r="C398" s="37" t="s">
        <v>789</v>
      </c>
      <c r="D398" s="53" t="s">
        <v>790</v>
      </c>
      <c r="E398" s="39" t="s">
        <v>102</v>
      </c>
      <c r="F398" s="62">
        <v>1</v>
      </c>
      <c r="G398" s="41"/>
      <c r="H398" s="42"/>
      <c r="I398" s="39">
        <f t="shared" si="8"/>
        <v>0</v>
      </c>
      <c r="J398" s="36" t="s">
        <v>107</v>
      </c>
      <c r="K398" s="39" t="s">
        <v>108</v>
      </c>
      <c r="L398" s="43"/>
    </row>
    <row r="399" spans="2:12" ht="131.25" x14ac:dyDescent="0.25">
      <c r="B399" s="36" t="s">
        <v>791</v>
      </c>
      <c r="C399" s="37"/>
      <c r="D399" s="44" t="s">
        <v>792</v>
      </c>
      <c r="E399" s="39"/>
      <c r="F399" s="40"/>
      <c r="G399" s="41"/>
      <c r="H399" s="42"/>
      <c r="I399" s="39"/>
      <c r="J399" s="36"/>
      <c r="K399" s="39"/>
      <c r="L399" s="43"/>
    </row>
    <row r="400" spans="2:12" ht="18.75" x14ac:dyDescent="0.25">
      <c r="B400" s="36" t="s">
        <v>791</v>
      </c>
      <c r="C400" s="37" t="s">
        <v>793</v>
      </c>
      <c r="D400" s="38" t="s">
        <v>794</v>
      </c>
      <c r="E400" s="39" t="s">
        <v>36</v>
      </c>
      <c r="F400" s="40">
        <v>770</v>
      </c>
      <c r="G400" s="41"/>
      <c r="H400" s="42"/>
      <c r="I400" s="39">
        <f>F400*G400</f>
        <v>0</v>
      </c>
      <c r="J400" s="36" t="s">
        <v>107</v>
      </c>
      <c r="K400" s="39" t="s">
        <v>108</v>
      </c>
      <c r="L400" s="43"/>
    </row>
    <row r="401" spans="2:12" ht="75" x14ac:dyDescent="0.25">
      <c r="B401" s="36" t="s">
        <v>791</v>
      </c>
      <c r="C401" s="37"/>
      <c r="D401" s="44" t="s">
        <v>795</v>
      </c>
      <c r="E401" s="39"/>
      <c r="F401" s="40"/>
      <c r="G401" s="41"/>
      <c r="H401" s="42"/>
      <c r="I401" s="39"/>
      <c r="J401" s="36"/>
      <c r="K401" s="39"/>
      <c r="L401" s="43"/>
    </row>
    <row r="402" spans="2:12" ht="18.75" x14ac:dyDescent="0.25">
      <c r="B402" s="36" t="s">
        <v>791</v>
      </c>
      <c r="C402" s="37" t="s">
        <v>796</v>
      </c>
      <c r="D402" s="38" t="s">
        <v>797</v>
      </c>
      <c r="E402" s="39" t="s">
        <v>36</v>
      </c>
      <c r="F402" s="40">
        <v>4235</v>
      </c>
      <c r="G402" s="41"/>
      <c r="H402" s="42"/>
      <c r="I402" s="39">
        <f>F402*G402</f>
        <v>0</v>
      </c>
      <c r="J402" s="36" t="s">
        <v>107</v>
      </c>
      <c r="K402" s="39" t="s">
        <v>108</v>
      </c>
      <c r="L402" s="43"/>
    </row>
    <row r="403" spans="2:12" ht="93.75" x14ac:dyDescent="0.25">
      <c r="B403" s="36" t="s">
        <v>798</v>
      </c>
      <c r="C403" s="37"/>
      <c r="D403" s="44" t="s">
        <v>799</v>
      </c>
      <c r="E403" s="39"/>
      <c r="F403" s="40"/>
      <c r="G403" s="41"/>
      <c r="H403" s="42"/>
      <c r="I403" s="39"/>
      <c r="J403" s="36"/>
      <c r="K403" s="39"/>
      <c r="L403" s="43"/>
    </row>
    <row r="404" spans="2:12" ht="18.75" x14ac:dyDescent="0.25">
      <c r="B404" s="63" t="s">
        <v>798</v>
      </c>
      <c r="C404" s="37" t="s">
        <v>800</v>
      </c>
      <c r="D404" s="64" t="s">
        <v>801</v>
      </c>
      <c r="E404" s="65" t="s">
        <v>29</v>
      </c>
      <c r="F404" s="66">
        <v>2148</v>
      </c>
      <c r="G404" s="41"/>
      <c r="H404" s="67"/>
      <c r="I404" s="68">
        <f>F404*G404</f>
        <v>0</v>
      </c>
      <c r="J404" s="36" t="s">
        <v>107</v>
      </c>
      <c r="K404" s="39" t="s">
        <v>108</v>
      </c>
      <c r="L404" s="43"/>
    </row>
    <row r="405" spans="2:12" ht="36" customHeight="1" x14ac:dyDescent="0.25">
      <c r="B405" s="69" t="s">
        <v>802</v>
      </c>
      <c r="C405" s="69"/>
      <c r="D405" s="69"/>
      <c r="E405" s="69"/>
      <c r="F405" s="69"/>
      <c r="G405" s="69"/>
      <c r="H405" s="69"/>
      <c r="I405" s="70">
        <f>SUM(I8:I404)</f>
        <v>0</v>
      </c>
      <c r="J405" s="71"/>
      <c r="K405" s="70"/>
      <c r="L405" s="72"/>
    </row>
    <row r="406" spans="2:12" ht="36" customHeight="1" x14ac:dyDescent="0.25">
      <c r="B406" s="73"/>
      <c r="C406" s="74"/>
      <c r="D406" s="75" t="s">
        <v>803</v>
      </c>
      <c r="E406" s="74"/>
      <c r="F406" s="74"/>
      <c r="G406" s="74"/>
      <c r="H406" s="74"/>
      <c r="I406" s="76"/>
      <c r="J406" s="73"/>
      <c r="K406" s="76"/>
      <c r="L406" s="77"/>
    </row>
    <row r="407" spans="2:12" ht="150" x14ac:dyDescent="0.25">
      <c r="B407" s="78" t="s">
        <v>804</v>
      </c>
      <c r="C407" s="29"/>
      <c r="D407" s="30" t="s">
        <v>805</v>
      </c>
      <c r="E407" s="31"/>
      <c r="F407" s="32"/>
      <c r="G407" s="33"/>
      <c r="H407" s="34"/>
      <c r="I407" s="31"/>
      <c r="J407" s="78"/>
      <c r="K407" s="31"/>
      <c r="L407" s="79"/>
    </row>
    <row r="408" spans="2:12" ht="37.5" x14ac:dyDescent="0.25">
      <c r="B408" s="80" t="s">
        <v>804</v>
      </c>
      <c r="C408" s="37" t="s">
        <v>806</v>
      </c>
      <c r="D408" s="38" t="s">
        <v>807</v>
      </c>
      <c r="E408" s="81" t="s">
        <v>102</v>
      </c>
      <c r="F408" s="40">
        <v>11</v>
      </c>
      <c r="G408" s="41"/>
      <c r="H408" s="42" t="s">
        <v>57</v>
      </c>
      <c r="I408" s="39">
        <f>F408*G408</f>
        <v>0</v>
      </c>
      <c r="J408" s="45">
        <v>2283</v>
      </c>
      <c r="K408" s="39" t="s">
        <v>808</v>
      </c>
      <c r="L408" s="46"/>
    </row>
    <row r="409" spans="2:12" ht="37.5" x14ac:dyDescent="0.25">
      <c r="B409" s="80" t="s">
        <v>804</v>
      </c>
      <c r="C409" s="37" t="s">
        <v>809</v>
      </c>
      <c r="D409" s="38" t="s">
        <v>810</v>
      </c>
      <c r="E409" s="81" t="s">
        <v>102</v>
      </c>
      <c r="F409" s="40">
        <v>7</v>
      </c>
      <c r="G409" s="41"/>
      <c r="H409" s="42" t="s">
        <v>57</v>
      </c>
      <c r="I409" s="39">
        <f>F409*G409</f>
        <v>0</v>
      </c>
      <c r="J409" s="45" t="s">
        <v>107</v>
      </c>
      <c r="K409" s="39" t="s">
        <v>108</v>
      </c>
      <c r="L409" s="46"/>
    </row>
    <row r="410" spans="2:12" ht="318.75" x14ac:dyDescent="0.25">
      <c r="B410" s="80" t="s">
        <v>811</v>
      </c>
      <c r="C410" s="37"/>
      <c r="D410" s="44" t="s">
        <v>812</v>
      </c>
      <c r="E410" s="39"/>
      <c r="F410" s="40"/>
      <c r="G410" s="41"/>
      <c r="H410" s="42"/>
      <c r="I410" s="39"/>
      <c r="J410" s="80"/>
      <c r="K410" s="39"/>
      <c r="L410" s="82"/>
    </row>
    <row r="411" spans="2:12" ht="206.25" x14ac:dyDescent="0.25">
      <c r="B411" s="80" t="s">
        <v>813</v>
      </c>
      <c r="C411" s="37"/>
      <c r="D411" s="44" t="s">
        <v>814</v>
      </c>
      <c r="E411" s="39"/>
      <c r="F411" s="40"/>
      <c r="G411" s="41"/>
      <c r="H411" s="42"/>
      <c r="I411" s="39"/>
      <c r="J411" s="80"/>
      <c r="K411" s="39"/>
      <c r="L411" s="82"/>
    </row>
    <row r="412" spans="2:12" ht="18.75" x14ac:dyDescent="0.25">
      <c r="B412" s="80" t="s">
        <v>813</v>
      </c>
      <c r="C412" s="37" t="s">
        <v>815</v>
      </c>
      <c r="D412" s="83" t="s">
        <v>816</v>
      </c>
      <c r="E412" s="81" t="s">
        <v>60</v>
      </c>
      <c r="F412" s="40">
        <v>10</v>
      </c>
      <c r="G412" s="41"/>
      <c r="H412" s="42" t="s">
        <v>57</v>
      </c>
      <c r="I412" s="39">
        <f>F412*G412</f>
        <v>0</v>
      </c>
      <c r="J412" s="45">
        <v>2054</v>
      </c>
      <c r="K412" s="39" t="s">
        <v>30</v>
      </c>
      <c r="L412" s="46"/>
    </row>
    <row r="413" spans="2:12" ht="187.5" x14ac:dyDescent="0.25">
      <c r="B413" s="80" t="s">
        <v>813</v>
      </c>
      <c r="C413" s="37"/>
      <c r="D413" s="44" t="s">
        <v>817</v>
      </c>
      <c r="E413" s="39"/>
      <c r="F413" s="40"/>
      <c r="G413" s="41"/>
      <c r="H413" s="42"/>
      <c r="I413" s="39"/>
      <c r="J413" s="80"/>
      <c r="K413" s="39"/>
      <c r="L413" s="82"/>
    </row>
    <row r="414" spans="2:12" ht="18.75" x14ac:dyDescent="0.25">
      <c r="B414" s="80" t="s">
        <v>813</v>
      </c>
      <c r="C414" s="37" t="s">
        <v>818</v>
      </c>
      <c r="D414" s="83" t="s">
        <v>819</v>
      </c>
      <c r="E414" s="81" t="s">
        <v>60</v>
      </c>
      <c r="F414" s="40">
        <v>640</v>
      </c>
      <c r="G414" s="41"/>
      <c r="H414" s="42" t="s">
        <v>57</v>
      </c>
      <c r="I414" s="39">
        <f t="shared" ref="I414:I421" si="9">F414*G414</f>
        <v>0</v>
      </c>
      <c r="J414" s="45" t="s">
        <v>107</v>
      </c>
      <c r="K414" s="39" t="s">
        <v>108</v>
      </c>
      <c r="L414" s="46"/>
    </row>
    <row r="415" spans="2:12" ht="18.75" x14ac:dyDescent="0.25">
      <c r="B415" s="80" t="s">
        <v>813</v>
      </c>
      <c r="C415" s="37" t="s">
        <v>820</v>
      </c>
      <c r="D415" s="83" t="s">
        <v>821</v>
      </c>
      <c r="E415" s="81" t="s">
        <v>60</v>
      </c>
      <c r="F415" s="40">
        <v>60</v>
      </c>
      <c r="G415" s="41"/>
      <c r="H415" s="42" t="s">
        <v>57</v>
      </c>
      <c r="I415" s="39">
        <f t="shared" si="9"/>
        <v>0</v>
      </c>
      <c r="J415" s="45" t="s">
        <v>107</v>
      </c>
      <c r="K415" s="39" t="s">
        <v>108</v>
      </c>
      <c r="L415" s="46"/>
    </row>
    <row r="416" spans="2:12" ht="18.75" x14ac:dyDescent="0.25">
      <c r="B416" s="80" t="s">
        <v>813</v>
      </c>
      <c r="C416" s="37" t="s">
        <v>822</v>
      </c>
      <c r="D416" s="83" t="s">
        <v>823</v>
      </c>
      <c r="E416" s="81" t="s">
        <v>60</v>
      </c>
      <c r="F416" s="40">
        <v>70</v>
      </c>
      <c r="G416" s="41"/>
      <c r="H416" s="42" t="s">
        <v>57</v>
      </c>
      <c r="I416" s="39">
        <f t="shared" si="9"/>
        <v>0</v>
      </c>
      <c r="J416" s="45" t="s">
        <v>107</v>
      </c>
      <c r="K416" s="39" t="s">
        <v>108</v>
      </c>
      <c r="L416" s="46"/>
    </row>
    <row r="417" spans="2:12" ht="18.75" x14ac:dyDescent="0.25">
      <c r="B417" s="80" t="s">
        <v>813</v>
      </c>
      <c r="C417" s="37" t="s">
        <v>824</v>
      </c>
      <c r="D417" s="83" t="s">
        <v>825</v>
      </c>
      <c r="E417" s="81" t="s">
        <v>60</v>
      </c>
      <c r="F417" s="40">
        <v>150</v>
      </c>
      <c r="G417" s="41"/>
      <c r="H417" s="42" t="s">
        <v>57</v>
      </c>
      <c r="I417" s="39">
        <f t="shared" si="9"/>
        <v>0</v>
      </c>
      <c r="J417" s="45" t="s">
        <v>107</v>
      </c>
      <c r="K417" s="39" t="s">
        <v>108</v>
      </c>
      <c r="L417" s="46"/>
    </row>
    <row r="418" spans="2:12" ht="18.75" x14ac:dyDescent="0.25">
      <c r="B418" s="80" t="s">
        <v>813</v>
      </c>
      <c r="C418" s="37" t="s">
        <v>826</v>
      </c>
      <c r="D418" s="83" t="s">
        <v>827</v>
      </c>
      <c r="E418" s="81" t="s">
        <v>60</v>
      </c>
      <c r="F418" s="40">
        <v>20</v>
      </c>
      <c r="G418" s="41"/>
      <c r="H418" s="42" t="s">
        <v>57</v>
      </c>
      <c r="I418" s="39">
        <f t="shared" si="9"/>
        <v>0</v>
      </c>
      <c r="J418" s="45" t="s">
        <v>107</v>
      </c>
      <c r="K418" s="39" t="s">
        <v>108</v>
      </c>
      <c r="L418" s="46"/>
    </row>
    <row r="419" spans="2:12" ht="18.75" x14ac:dyDescent="0.25">
      <c r="B419" s="80" t="s">
        <v>813</v>
      </c>
      <c r="C419" s="37" t="s">
        <v>828</v>
      </c>
      <c r="D419" s="83" t="s">
        <v>829</v>
      </c>
      <c r="E419" s="81" t="s">
        <v>60</v>
      </c>
      <c r="F419" s="40">
        <v>40</v>
      </c>
      <c r="G419" s="41"/>
      <c r="H419" s="42" t="s">
        <v>57</v>
      </c>
      <c r="I419" s="39">
        <f t="shared" si="9"/>
        <v>0</v>
      </c>
      <c r="J419" s="45" t="s">
        <v>107</v>
      </c>
      <c r="K419" s="39" t="s">
        <v>108</v>
      </c>
      <c r="L419" s="46"/>
    </row>
    <row r="420" spans="2:12" ht="18.75" x14ac:dyDescent="0.25">
      <c r="B420" s="80" t="s">
        <v>813</v>
      </c>
      <c r="C420" s="37" t="s">
        <v>830</v>
      </c>
      <c r="D420" s="83" t="s">
        <v>831</v>
      </c>
      <c r="E420" s="81" t="s">
        <v>60</v>
      </c>
      <c r="F420" s="40">
        <v>120</v>
      </c>
      <c r="G420" s="41"/>
      <c r="H420" s="42" t="s">
        <v>57</v>
      </c>
      <c r="I420" s="39">
        <f t="shared" si="9"/>
        <v>0</v>
      </c>
      <c r="J420" s="45" t="s">
        <v>107</v>
      </c>
      <c r="K420" s="39" t="s">
        <v>108</v>
      </c>
      <c r="L420" s="46"/>
    </row>
    <row r="421" spans="2:12" ht="18.75" x14ac:dyDescent="0.25">
      <c r="B421" s="80" t="s">
        <v>813</v>
      </c>
      <c r="C421" s="37" t="s">
        <v>832</v>
      </c>
      <c r="D421" s="83" t="s">
        <v>816</v>
      </c>
      <c r="E421" s="81" t="s">
        <v>60</v>
      </c>
      <c r="F421" s="40">
        <v>125</v>
      </c>
      <c r="G421" s="41"/>
      <c r="H421" s="42" t="s">
        <v>57</v>
      </c>
      <c r="I421" s="39">
        <f t="shared" si="9"/>
        <v>0</v>
      </c>
      <c r="J421" s="45" t="s">
        <v>107</v>
      </c>
      <c r="K421" s="39" t="s">
        <v>108</v>
      </c>
      <c r="L421" s="46"/>
    </row>
    <row r="422" spans="2:12" ht="131.25" x14ac:dyDescent="0.25">
      <c r="B422" s="80" t="s">
        <v>813</v>
      </c>
      <c r="C422" s="37"/>
      <c r="D422" s="44" t="s">
        <v>833</v>
      </c>
      <c r="E422" s="39"/>
      <c r="F422" s="40"/>
      <c r="G422" s="41"/>
      <c r="H422" s="42"/>
      <c r="I422" s="39"/>
      <c r="J422" s="80"/>
      <c r="K422" s="39"/>
      <c r="L422" s="82"/>
    </row>
    <row r="423" spans="2:12" ht="18.75" x14ac:dyDescent="0.25">
      <c r="B423" s="80" t="s">
        <v>813</v>
      </c>
      <c r="C423" s="37" t="s">
        <v>834</v>
      </c>
      <c r="D423" s="83" t="s">
        <v>825</v>
      </c>
      <c r="E423" s="81" t="s">
        <v>60</v>
      </c>
      <c r="F423" s="40">
        <v>5</v>
      </c>
      <c r="G423" s="41"/>
      <c r="H423" s="42" t="s">
        <v>57</v>
      </c>
      <c r="I423" s="39">
        <f>F423*G423</f>
        <v>0</v>
      </c>
      <c r="J423" s="45">
        <v>2062</v>
      </c>
      <c r="K423" s="39" t="s">
        <v>30</v>
      </c>
      <c r="L423" s="46"/>
    </row>
    <row r="424" spans="2:12" ht="18.75" x14ac:dyDescent="0.25">
      <c r="B424" s="80" t="s">
        <v>813</v>
      </c>
      <c r="C424" s="37"/>
      <c r="D424" s="44" t="s">
        <v>835</v>
      </c>
      <c r="E424" s="39"/>
      <c r="F424" s="40"/>
      <c r="G424" s="41"/>
      <c r="H424" s="42"/>
      <c r="I424" s="39"/>
      <c r="J424" s="80"/>
      <c r="K424" s="39"/>
      <c r="L424" s="82"/>
    </row>
    <row r="425" spans="2:12" ht="37.5" x14ac:dyDescent="0.25">
      <c r="B425" s="80" t="s">
        <v>813</v>
      </c>
      <c r="C425" s="37" t="s">
        <v>836</v>
      </c>
      <c r="D425" s="84" t="s">
        <v>837</v>
      </c>
      <c r="E425" s="39" t="s">
        <v>102</v>
      </c>
      <c r="F425" s="40">
        <v>1</v>
      </c>
      <c r="G425" s="41"/>
      <c r="H425" s="42" t="s">
        <v>57</v>
      </c>
      <c r="I425" s="39">
        <f t="shared" ref="I425:I438" si="10">F425*G425</f>
        <v>0</v>
      </c>
      <c r="J425" s="45" t="s">
        <v>107</v>
      </c>
      <c r="K425" s="39" t="s">
        <v>108</v>
      </c>
      <c r="L425" s="46"/>
    </row>
    <row r="426" spans="2:12" ht="56.25" x14ac:dyDescent="0.25">
      <c r="B426" s="80" t="s">
        <v>813</v>
      </c>
      <c r="C426" s="37" t="s">
        <v>838</v>
      </c>
      <c r="D426" s="84" t="s">
        <v>839</v>
      </c>
      <c r="E426" s="39" t="s">
        <v>102</v>
      </c>
      <c r="F426" s="40">
        <v>1</v>
      </c>
      <c r="G426" s="41"/>
      <c r="H426" s="42" t="s">
        <v>57</v>
      </c>
      <c r="I426" s="39">
        <f t="shared" si="10"/>
        <v>0</v>
      </c>
      <c r="J426" s="45" t="s">
        <v>107</v>
      </c>
      <c r="K426" s="39" t="s">
        <v>108</v>
      </c>
      <c r="L426" s="46"/>
    </row>
    <row r="427" spans="2:12" ht="37.5" x14ac:dyDescent="0.25">
      <c r="B427" s="80" t="s">
        <v>813</v>
      </c>
      <c r="C427" s="37" t="s">
        <v>840</v>
      </c>
      <c r="D427" s="84" t="s">
        <v>841</v>
      </c>
      <c r="E427" s="39" t="s">
        <v>102</v>
      </c>
      <c r="F427" s="40">
        <v>7</v>
      </c>
      <c r="G427" s="41"/>
      <c r="H427" s="42" t="s">
        <v>57</v>
      </c>
      <c r="I427" s="39">
        <f t="shared" si="10"/>
        <v>0</v>
      </c>
      <c r="J427" s="45" t="s">
        <v>107</v>
      </c>
      <c r="K427" s="39" t="s">
        <v>108</v>
      </c>
      <c r="L427" s="46"/>
    </row>
    <row r="428" spans="2:12" ht="18.75" x14ac:dyDescent="0.25">
      <c r="B428" s="80" t="s">
        <v>813</v>
      </c>
      <c r="C428" s="37" t="s">
        <v>842</v>
      </c>
      <c r="D428" s="84" t="s">
        <v>843</v>
      </c>
      <c r="E428" s="39" t="s">
        <v>102</v>
      </c>
      <c r="F428" s="40">
        <v>4</v>
      </c>
      <c r="G428" s="41"/>
      <c r="H428" s="42" t="s">
        <v>57</v>
      </c>
      <c r="I428" s="39">
        <f t="shared" si="10"/>
        <v>0</v>
      </c>
      <c r="J428" s="45" t="s">
        <v>107</v>
      </c>
      <c r="K428" s="39" t="s">
        <v>108</v>
      </c>
      <c r="L428" s="46"/>
    </row>
    <row r="429" spans="2:12" ht="18.75" x14ac:dyDescent="0.25">
      <c r="B429" s="80" t="s">
        <v>813</v>
      </c>
      <c r="C429" s="37" t="s">
        <v>844</v>
      </c>
      <c r="D429" s="84" t="s">
        <v>845</v>
      </c>
      <c r="E429" s="39" t="s">
        <v>102</v>
      </c>
      <c r="F429" s="40">
        <v>1</v>
      </c>
      <c r="G429" s="41"/>
      <c r="H429" s="42" t="s">
        <v>57</v>
      </c>
      <c r="I429" s="39">
        <f t="shared" si="10"/>
        <v>0</v>
      </c>
      <c r="J429" s="45" t="s">
        <v>107</v>
      </c>
      <c r="K429" s="39" t="s">
        <v>108</v>
      </c>
      <c r="L429" s="46"/>
    </row>
    <row r="430" spans="2:12" ht="18.75" x14ac:dyDescent="0.25">
      <c r="B430" s="80" t="s">
        <v>813</v>
      </c>
      <c r="C430" s="37"/>
      <c r="D430" s="44" t="s">
        <v>846</v>
      </c>
      <c r="E430" s="39"/>
      <c r="F430" s="40"/>
      <c r="G430" s="41"/>
      <c r="H430" s="42"/>
      <c r="I430" s="39">
        <f t="shared" si="10"/>
        <v>0</v>
      </c>
      <c r="J430" s="80"/>
      <c r="K430" s="39"/>
      <c r="L430" s="82"/>
    </row>
    <row r="431" spans="2:12" ht="37.5" x14ac:dyDescent="0.25">
      <c r="B431" s="80" t="s">
        <v>813</v>
      </c>
      <c r="C431" s="37" t="s">
        <v>847</v>
      </c>
      <c r="D431" s="84" t="s">
        <v>848</v>
      </c>
      <c r="E431" s="39" t="s">
        <v>102</v>
      </c>
      <c r="F431" s="40">
        <v>42</v>
      </c>
      <c r="G431" s="41"/>
      <c r="H431" s="42" t="s">
        <v>57</v>
      </c>
      <c r="I431" s="39">
        <f t="shared" si="10"/>
        <v>0</v>
      </c>
      <c r="J431" s="45" t="s">
        <v>107</v>
      </c>
      <c r="K431" s="39" t="s">
        <v>108</v>
      </c>
      <c r="L431" s="46"/>
    </row>
    <row r="432" spans="2:12" ht="37.5" x14ac:dyDescent="0.25">
      <c r="B432" s="80" t="s">
        <v>813</v>
      </c>
      <c r="C432" s="37" t="s">
        <v>849</v>
      </c>
      <c r="D432" s="84" t="s">
        <v>850</v>
      </c>
      <c r="E432" s="39" t="s">
        <v>102</v>
      </c>
      <c r="F432" s="85">
        <v>21</v>
      </c>
      <c r="G432" s="41"/>
      <c r="H432" s="42" t="s">
        <v>57</v>
      </c>
      <c r="I432" s="39">
        <f t="shared" si="10"/>
        <v>0</v>
      </c>
      <c r="J432" s="45" t="s">
        <v>107</v>
      </c>
      <c r="K432" s="39" t="s">
        <v>108</v>
      </c>
      <c r="L432" s="46"/>
    </row>
    <row r="433" spans="2:12" ht="37.5" x14ac:dyDescent="0.25">
      <c r="B433" s="80" t="s">
        <v>813</v>
      </c>
      <c r="C433" s="37" t="s">
        <v>851</v>
      </c>
      <c r="D433" s="84" t="s">
        <v>852</v>
      </c>
      <c r="E433" s="39" t="s">
        <v>102</v>
      </c>
      <c r="F433" s="85">
        <v>18</v>
      </c>
      <c r="G433" s="41"/>
      <c r="H433" s="42" t="s">
        <v>57</v>
      </c>
      <c r="I433" s="39">
        <f t="shared" si="10"/>
        <v>0</v>
      </c>
      <c r="J433" s="45" t="s">
        <v>107</v>
      </c>
      <c r="K433" s="39" t="s">
        <v>108</v>
      </c>
      <c r="L433" s="46"/>
    </row>
    <row r="434" spans="2:12" ht="18.75" x14ac:dyDescent="0.25">
      <c r="B434" s="80" t="s">
        <v>813</v>
      </c>
      <c r="C434" s="37" t="s">
        <v>853</v>
      </c>
      <c r="D434" s="84" t="s">
        <v>854</v>
      </c>
      <c r="E434" s="39" t="s">
        <v>102</v>
      </c>
      <c r="F434" s="85">
        <v>1</v>
      </c>
      <c r="G434" s="41"/>
      <c r="H434" s="42" t="s">
        <v>57</v>
      </c>
      <c r="I434" s="39">
        <f t="shared" si="10"/>
        <v>0</v>
      </c>
      <c r="J434" s="45" t="s">
        <v>107</v>
      </c>
      <c r="K434" s="39" t="s">
        <v>108</v>
      </c>
      <c r="L434" s="46"/>
    </row>
    <row r="435" spans="2:12" ht="37.5" x14ac:dyDescent="0.25">
      <c r="B435" s="80" t="s">
        <v>813</v>
      </c>
      <c r="C435" s="37" t="s">
        <v>851</v>
      </c>
      <c r="D435" s="84" t="s">
        <v>855</v>
      </c>
      <c r="E435" s="39" t="s">
        <v>102</v>
      </c>
      <c r="F435" s="85">
        <v>1</v>
      </c>
      <c r="G435" s="41"/>
      <c r="H435" s="42" t="s">
        <v>57</v>
      </c>
      <c r="I435" s="39">
        <f t="shared" si="10"/>
        <v>0</v>
      </c>
      <c r="J435" s="45" t="s">
        <v>107</v>
      </c>
      <c r="K435" s="39" t="s">
        <v>108</v>
      </c>
      <c r="L435" s="46"/>
    </row>
    <row r="436" spans="2:12" ht="37.5" x14ac:dyDescent="0.25">
      <c r="B436" s="80" t="s">
        <v>813</v>
      </c>
      <c r="C436" s="37" t="s">
        <v>856</v>
      </c>
      <c r="D436" s="84" t="s">
        <v>857</v>
      </c>
      <c r="E436" s="39" t="s">
        <v>102</v>
      </c>
      <c r="F436" s="85">
        <v>93</v>
      </c>
      <c r="G436" s="41"/>
      <c r="H436" s="42" t="s">
        <v>57</v>
      </c>
      <c r="I436" s="39">
        <f t="shared" si="10"/>
        <v>0</v>
      </c>
      <c r="J436" s="45" t="s">
        <v>107</v>
      </c>
      <c r="K436" s="39" t="s">
        <v>108</v>
      </c>
      <c r="L436" s="46"/>
    </row>
    <row r="437" spans="2:12" ht="56.25" x14ac:dyDescent="0.25">
      <c r="B437" s="80" t="s">
        <v>813</v>
      </c>
      <c r="C437" s="37" t="s">
        <v>858</v>
      </c>
      <c r="D437" s="86" t="s">
        <v>859</v>
      </c>
      <c r="E437" s="39" t="s">
        <v>102</v>
      </c>
      <c r="F437" s="85">
        <v>76</v>
      </c>
      <c r="G437" s="41"/>
      <c r="H437" s="87" t="s">
        <v>57</v>
      </c>
      <c r="I437" s="39">
        <f t="shared" si="10"/>
        <v>0</v>
      </c>
      <c r="J437" s="45" t="s">
        <v>107</v>
      </c>
      <c r="K437" s="39" t="s">
        <v>108</v>
      </c>
      <c r="L437" s="46"/>
    </row>
    <row r="438" spans="2:12" ht="56.25" x14ac:dyDescent="0.25">
      <c r="B438" s="80" t="s">
        <v>813</v>
      </c>
      <c r="C438" s="37" t="s">
        <v>860</v>
      </c>
      <c r="D438" s="84" t="s">
        <v>861</v>
      </c>
      <c r="E438" s="39" t="s">
        <v>102</v>
      </c>
      <c r="F438" s="40">
        <v>24</v>
      </c>
      <c r="G438" s="41"/>
      <c r="H438" s="42" t="s">
        <v>57</v>
      </c>
      <c r="I438" s="39">
        <f t="shared" si="10"/>
        <v>0</v>
      </c>
      <c r="J438" s="45" t="s">
        <v>107</v>
      </c>
      <c r="K438" s="39" t="s">
        <v>108</v>
      </c>
      <c r="L438" s="46"/>
    </row>
    <row r="439" spans="2:12" ht="187.5" x14ac:dyDescent="0.25">
      <c r="B439" s="80" t="s">
        <v>813</v>
      </c>
      <c r="C439" s="37"/>
      <c r="D439" s="44" t="s">
        <v>862</v>
      </c>
      <c r="E439" s="39"/>
      <c r="F439" s="40"/>
      <c r="G439" s="41"/>
      <c r="H439" s="42"/>
      <c r="I439" s="39"/>
      <c r="J439" s="80"/>
      <c r="K439" s="39"/>
      <c r="L439" s="82"/>
    </row>
    <row r="440" spans="2:12" ht="18.75" x14ac:dyDescent="0.25">
      <c r="B440" s="80" t="s">
        <v>813</v>
      </c>
      <c r="C440" s="37" t="s">
        <v>863</v>
      </c>
      <c r="D440" s="83" t="s">
        <v>864</v>
      </c>
      <c r="E440" s="39" t="s">
        <v>102</v>
      </c>
      <c r="F440" s="40">
        <v>1</v>
      </c>
      <c r="G440" s="41"/>
      <c r="H440" s="42" t="s">
        <v>57</v>
      </c>
      <c r="I440" s="39">
        <f>F440*G440</f>
        <v>0</v>
      </c>
      <c r="J440" s="45" t="s">
        <v>107</v>
      </c>
      <c r="K440" s="39" t="s">
        <v>108</v>
      </c>
      <c r="L440" s="46"/>
    </row>
    <row r="441" spans="2:12" ht="168.75" x14ac:dyDescent="0.25">
      <c r="B441" s="80" t="s">
        <v>865</v>
      </c>
      <c r="C441" s="37"/>
      <c r="D441" s="44" t="s">
        <v>866</v>
      </c>
      <c r="E441" s="39"/>
      <c r="F441" s="40"/>
      <c r="G441" s="41"/>
      <c r="H441" s="42"/>
      <c r="I441" s="39"/>
      <c r="J441" s="80"/>
      <c r="K441" s="39"/>
      <c r="L441" s="82"/>
    </row>
    <row r="442" spans="2:12" ht="18.75" x14ac:dyDescent="0.25">
      <c r="B442" s="80" t="s">
        <v>865</v>
      </c>
      <c r="C442" s="37" t="s">
        <v>867</v>
      </c>
      <c r="D442" s="83" t="s">
        <v>868</v>
      </c>
      <c r="E442" s="39" t="s">
        <v>102</v>
      </c>
      <c r="F442" s="40">
        <v>7</v>
      </c>
      <c r="G442" s="41"/>
      <c r="H442" s="42" t="s">
        <v>57</v>
      </c>
      <c r="I442" s="39">
        <f>F442*G442</f>
        <v>0</v>
      </c>
      <c r="J442" s="45">
        <v>2057</v>
      </c>
      <c r="K442" s="39" t="s">
        <v>30</v>
      </c>
      <c r="L442" s="46"/>
    </row>
    <row r="443" spans="2:12" ht="187.5" x14ac:dyDescent="0.25">
      <c r="B443" s="80" t="s">
        <v>869</v>
      </c>
      <c r="C443" s="37"/>
      <c r="D443" s="88" t="s">
        <v>870</v>
      </c>
      <c r="E443" s="39"/>
      <c r="F443" s="40"/>
      <c r="G443" s="41"/>
      <c r="H443" s="42"/>
      <c r="I443" s="39"/>
      <c r="J443" s="80"/>
      <c r="K443" s="39"/>
      <c r="L443" s="82"/>
    </row>
    <row r="444" spans="2:12" ht="37.5" x14ac:dyDescent="0.25">
      <c r="B444" s="89">
        <v>212200</v>
      </c>
      <c r="C444" s="37" t="s">
        <v>871</v>
      </c>
      <c r="D444" s="83" t="s">
        <v>872</v>
      </c>
      <c r="E444" s="39" t="s">
        <v>102</v>
      </c>
      <c r="F444" s="40">
        <v>1</v>
      </c>
      <c r="G444" s="41"/>
      <c r="H444" s="42" t="s">
        <v>57</v>
      </c>
      <c r="I444" s="39">
        <f>F444*G444</f>
        <v>0</v>
      </c>
      <c r="J444" s="45" t="s">
        <v>107</v>
      </c>
      <c r="K444" s="39" t="s">
        <v>108</v>
      </c>
      <c r="L444" s="46"/>
    </row>
    <row r="445" spans="2:12" ht="37.5" x14ac:dyDescent="0.25">
      <c r="B445" s="89">
        <v>212200</v>
      </c>
      <c r="C445" s="37" t="s">
        <v>873</v>
      </c>
      <c r="D445" s="83" t="s">
        <v>874</v>
      </c>
      <c r="E445" s="39" t="s">
        <v>102</v>
      </c>
      <c r="F445" s="40">
        <v>1</v>
      </c>
      <c r="G445" s="41"/>
      <c r="H445" s="42" t="s">
        <v>57</v>
      </c>
      <c r="I445" s="39">
        <f>F445*G445</f>
        <v>0</v>
      </c>
      <c r="J445" s="45" t="s">
        <v>107</v>
      </c>
      <c r="K445" s="39" t="s">
        <v>108</v>
      </c>
      <c r="L445" s="46"/>
    </row>
    <row r="446" spans="2:12" ht="37.5" x14ac:dyDescent="0.25">
      <c r="B446" s="89">
        <v>212200</v>
      </c>
      <c r="C446" s="37" t="s">
        <v>875</v>
      </c>
      <c r="D446" s="84" t="s">
        <v>876</v>
      </c>
      <c r="E446" s="39" t="s">
        <v>102</v>
      </c>
      <c r="F446" s="40">
        <v>1</v>
      </c>
      <c r="G446" s="41"/>
      <c r="H446" s="42" t="s">
        <v>57</v>
      </c>
      <c r="I446" s="39">
        <f>F446*G446</f>
        <v>0</v>
      </c>
      <c r="J446" s="45" t="s">
        <v>107</v>
      </c>
      <c r="K446" s="39" t="s">
        <v>108</v>
      </c>
      <c r="L446" s="46"/>
    </row>
    <row r="447" spans="2:12" ht="37.5" x14ac:dyDescent="0.25">
      <c r="B447" s="89">
        <v>212200</v>
      </c>
      <c r="C447" s="37" t="s">
        <v>877</v>
      </c>
      <c r="D447" s="84" t="s">
        <v>878</v>
      </c>
      <c r="E447" s="39" t="s">
        <v>102</v>
      </c>
      <c r="F447" s="40">
        <v>1</v>
      </c>
      <c r="G447" s="41"/>
      <c r="H447" s="42" t="s">
        <v>57</v>
      </c>
      <c r="I447" s="39">
        <f>F447*G447</f>
        <v>0</v>
      </c>
      <c r="J447" s="45" t="s">
        <v>107</v>
      </c>
      <c r="K447" s="39" t="s">
        <v>108</v>
      </c>
      <c r="L447" s="46"/>
    </row>
    <row r="448" spans="2:12" ht="37.5" x14ac:dyDescent="0.25">
      <c r="B448" s="89">
        <v>212200</v>
      </c>
      <c r="C448" s="37" t="s">
        <v>879</v>
      </c>
      <c r="D448" s="84" t="s">
        <v>880</v>
      </c>
      <c r="E448" s="39" t="s">
        <v>102</v>
      </c>
      <c r="F448" s="40">
        <v>1</v>
      </c>
      <c r="G448" s="41"/>
      <c r="H448" s="42" t="s">
        <v>57</v>
      </c>
      <c r="I448" s="39">
        <f>F448*G448</f>
        <v>0</v>
      </c>
      <c r="J448" s="45" t="s">
        <v>107</v>
      </c>
      <c r="K448" s="39" t="s">
        <v>108</v>
      </c>
      <c r="L448" s="46"/>
    </row>
    <row r="449" spans="2:12" ht="300" x14ac:dyDescent="0.25">
      <c r="B449" s="36" t="s">
        <v>881</v>
      </c>
      <c r="C449" s="37"/>
      <c r="D449" s="44" t="s">
        <v>882</v>
      </c>
      <c r="E449" s="39"/>
      <c r="F449" s="40"/>
      <c r="G449" s="41"/>
      <c r="H449" s="42"/>
      <c r="I449" s="39"/>
      <c r="J449" s="36"/>
      <c r="K449" s="39"/>
      <c r="L449" s="43"/>
    </row>
    <row r="450" spans="2:12" ht="150" x14ac:dyDescent="0.25">
      <c r="B450" s="36" t="s">
        <v>883</v>
      </c>
      <c r="C450" s="37"/>
      <c r="D450" s="44" t="s">
        <v>884</v>
      </c>
      <c r="E450" s="39"/>
      <c r="F450" s="40"/>
      <c r="G450" s="41"/>
      <c r="H450" s="42"/>
      <c r="I450" s="39"/>
      <c r="J450" s="36"/>
      <c r="K450" s="39"/>
      <c r="L450" s="43"/>
    </row>
    <row r="451" spans="2:12" ht="37.5" x14ac:dyDescent="0.25">
      <c r="B451" s="80" t="s">
        <v>883</v>
      </c>
      <c r="C451" s="37" t="s">
        <v>885</v>
      </c>
      <c r="D451" s="38" t="s">
        <v>886</v>
      </c>
      <c r="E451" s="81" t="s">
        <v>102</v>
      </c>
      <c r="F451" s="40">
        <v>5</v>
      </c>
      <c r="G451" s="41"/>
      <c r="H451" s="42" t="s">
        <v>57</v>
      </c>
      <c r="I451" s="39">
        <f t="shared" ref="I451:I456" si="11">F451*G451</f>
        <v>0</v>
      </c>
      <c r="J451" s="45">
        <v>2058</v>
      </c>
      <c r="K451" s="39" t="s">
        <v>30</v>
      </c>
      <c r="L451" s="46"/>
    </row>
    <row r="452" spans="2:12" ht="18.75" x14ac:dyDescent="0.25">
      <c r="B452" s="80" t="s">
        <v>883</v>
      </c>
      <c r="C452" s="37" t="s">
        <v>887</v>
      </c>
      <c r="D452" s="38" t="s">
        <v>888</v>
      </c>
      <c r="E452" s="81" t="s">
        <v>102</v>
      </c>
      <c r="F452" s="40">
        <v>8</v>
      </c>
      <c r="G452" s="41"/>
      <c r="H452" s="42" t="s">
        <v>57</v>
      </c>
      <c r="I452" s="39">
        <f t="shared" si="11"/>
        <v>0</v>
      </c>
      <c r="J452" s="45">
        <v>2058</v>
      </c>
      <c r="K452" s="39" t="s">
        <v>30</v>
      </c>
      <c r="L452" s="46"/>
    </row>
    <row r="453" spans="2:12" ht="18.75" x14ac:dyDescent="0.25">
      <c r="B453" s="80" t="s">
        <v>883</v>
      </c>
      <c r="C453" s="37" t="s">
        <v>889</v>
      </c>
      <c r="D453" s="38" t="s">
        <v>890</v>
      </c>
      <c r="E453" s="81" t="s">
        <v>102</v>
      </c>
      <c r="F453" s="40">
        <v>1</v>
      </c>
      <c r="G453" s="41"/>
      <c r="H453" s="42" t="s">
        <v>57</v>
      </c>
      <c r="I453" s="39">
        <f t="shared" si="11"/>
        <v>0</v>
      </c>
      <c r="J453" s="45">
        <v>2058</v>
      </c>
      <c r="K453" s="39" t="s">
        <v>30</v>
      </c>
      <c r="L453" s="46"/>
    </row>
    <row r="454" spans="2:12" ht="18.75" x14ac:dyDescent="0.25">
      <c r="B454" s="80" t="s">
        <v>883</v>
      </c>
      <c r="C454" s="37" t="s">
        <v>891</v>
      </c>
      <c r="D454" s="38" t="s">
        <v>892</v>
      </c>
      <c r="E454" s="81" t="s">
        <v>102</v>
      </c>
      <c r="F454" s="40">
        <v>1</v>
      </c>
      <c r="G454" s="41"/>
      <c r="H454" s="42" t="s">
        <v>57</v>
      </c>
      <c r="I454" s="39">
        <f t="shared" si="11"/>
        <v>0</v>
      </c>
      <c r="J454" s="45">
        <v>2058</v>
      </c>
      <c r="K454" s="39" t="s">
        <v>30</v>
      </c>
      <c r="L454" s="46"/>
    </row>
    <row r="455" spans="2:12" ht="18.75" x14ac:dyDescent="0.25">
      <c r="B455" s="80" t="s">
        <v>883</v>
      </c>
      <c r="C455" s="37" t="s">
        <v>893</v>
      </c>
      <c r="D455" s="38" t="s">
        <v>894</v>
      </c>
      <c r="E455" s="81" t="s">
        <v>102</v>
      </c>
      <c r="F455" s="40">
        <v>1</v>
      </c>
      <c r="G455" s="41"/>
      <c r="H455" s="42" t="s">
        <v>57</v>
      </c>
      <c r="I455" s="39">
        <f t="shared" si="11"/>
        <v>0</v>
      </c>
      <c r="J455" s="45">
        <v>2058</v>
      </c>
      <c r="K455" s="39" t="s">
        <v>30</v>
      </c>
      <c r="L455" s="46"/>
    </row>
    <row r="456" spans="2:12" ht="18.75" x14ac:dyDescent="0.25">
      <c r="B456" s="80" t="s">
        <v>883</v>
      </c>
      <c r="C456" s="37" t="s">
        <v>895</v>
      </c>
      <c r="D456" s="38" t="s">
        <v>896</v>
      </c>
      <c r="E456" s="81" t="s">
        <v>102</v>
      </c>
      <c r="F456" s="40">
        <v>3</v>
      </c>
      <c r="G456" s="41"/>
      <c r="H456" s="42" t="s">
        <v>57</v>
      </c>
      <c r="I456" s="39">
        <f t="shared" si="11"/>
        <v>0</v>
      </c>
      <c r="J456" s="45">
        <v>2058</v>
      </c>
      <c r="K456" s="39" t="s">
        <v>30</v>
      </c>
      <c r="L456" s="46"/>
    </row>
    <row r="457" spans="2:12" ht="225" x14ac:dyDescent="0.25">
      <c r="B457" s="80" t="s">
        <v>897</v>
      </c>
      <c r="C457" s="37"/>
      <c r="D457" s="44" t="s">
        <v>898</v>
      </c>
      <c r="E457" s="39"/>
      <c r="F457" s="40"/>
      <c r="G457" s="41"/>
      <c r="H457" s="42"/>
      <c r="I457" s="39"/>
      <c r="J457" s="80"/>
      <c r="K457" s="39"/>
      <c r="L457" s="82"/>
    </row>
    <row r="458" spans="2:12" ht="37.5" x14ac:dyDescent="0.25">
      <c r="B458" s="80" t="s">
        <v>897</v>
      </c>
      <c r="C458" s="37" t="s">
        <v>899</v>
      </c>
      <c r="D458" s="38" t="s">
        <v>900</v>
      </c>
      <c r="E458" s="81" t="s">
        <v>102</v>
      </c>
      <c r="F458" s="40">
        <v>16</v>
      </c>
      <c r="G458" s="41"/>
      <c r="H458" s="42" t="s">
        <v>57</v>
      </c>
      <c r="I458" s="39">
        <f>F458*G458</f>
        <v>0</v>
      </c>
      <c r="J458" s="45" t="s">
        <v>107</v>
      </c>
      <c r="K458" s="39" t="s">
        <v>108</v>
      </c>
      <c r="L458" s="46"/>
    </row>
    <row r="459" spans="2:12" ht="37.5" x14ac:dyDescent="0.25">
      <c r="B459" s="80" t="s">
        <v>897</v>
      </c>
      <c r="C459" s="37" t="s">
        <v>901</v>
      </c>
      <c r="D459" s="38" t="s">
        <v>902</v>
      </c>
      <c r="E459" s="81" t="s">
        <v>102</v>
      </c>
      <c r="F459" s="40">
        <v>5</v>
      </c>
      <c r="G459" s="41"/>
      <c r="H459" s="42" t="s">
        <v>57</v>
      </c>
      <c r="I459" s="39">
        <f>F459*G459</f>
        <v>0</v>
      </c>
      <c r="J459" s="45" t="s">
        <v>107</v>
      </c>
      <c r="K459" s="39" t="s">
        <v>108</v>
      </c>
      <c r="L459" s="46"/>
    </row>
    <row r="460" spans="2:12" ht="37.5" x14ac:dyDescent="0.25">
      <c r="B460" s="80" t="s">
        <v>897</v>
      </c>
      <c r="C460" s="37" t="s">
        <v>903</v>
      </c>
      <c r="D460" s="38" t="s">
        <v>904</v>
      </c>
      <c r="E460" s="81" t="s">
        <v>102</v>
      </c>
      <c r="F460" s="40">
        <v>18</v>
      </c>
      <c r="G460" s="41"/>
      <c r="H460" s="42" t="s">
        <v>57</v>
      </c>
      <c r="I460" s="39">
        <f>F460*G460</f>
        <v>0</v>
      </c>
      <c r="J460" s="45" t="s">
        <v>107</v>
      </c>
      <c r="K460" s="39" t="s">
        <v>108</v>
      </c>
      <c r="L460" s="46"/>
    </row>
    <row r="461" spans="2:12" ht="37.5" x14ac:dyDescent="0.25">
      <c r="B461" s="80" t="s">
        <v>897</v>
      </c>
      <c r="C461" s="37" t="s">
        <v>905</v>
      </c>
      <c r="D461" s="83" t="s">
        <v>906</v>
      </c>
      <c r="E461" s="81" t="s">
        <v>102</v>
      </c>
      <c r="F461" s="40">
        <v>1</v>
      </c>
      <c r="G461" s="41"/>
      <c r="H461" s="42" t="s">
        <v>57</v>
      </c>
      <c r="I461" s="39">
        <f>F461*G461</f>
        <v>0</v>
      </c>
      <c r="J461" s="45" t="s">
        <v>107</v>
      </c>
      <c r="K461" s="39" t="s">
        <v>108</v>
      </c>
      <c r="L461" s="46"/>
    </row>
    <row r="462" spans="2:12" ht="37.5" x14ac:dyDescent="0.25">
      <c r="B462" s="80" t="s">
        <v>897</v>
      </c>
      <c r="C462" s="37" t="s">
        <v>907</v>
      </c>
      <c r="D462" s="38" t="s">
        <v>908</v>
      </c>
      <c r="E462" s="81" t="s">
        <v>102</v>
      </c>
      <c r="F462" s="40">
        <v>11</v>
      </c>
      <c r="G462" s="41"/>
      <c r="H462" s="42" t="s">
        <v>57</v>
      </c>
      <c r="I462" s="39">
        <f>F462*G462</f>
        <v>0</v>
      </c>
      <c r="J462" s="45" t="s">
        <v>107</v>
      </c>
      <c r="K462" s="39" t="s">
        <v>108</v>
      </c>
      <c r="L462" s="46"/>
    </row>
    <row r="463" spans="2:12" ht="281.25" x14ac:dyDescent="0.25">
      <c r="B463" s="80">
        <v>221316</v>
      </c>
      <c r="C463" s="37"/>
      <c r="D463" s="44" t="s">
        <v>909</v>
      </c>
      <c r="E463" s="39"/>
      <c r="F463" s="40"/>
      <c r="G463" s="41"/>
      <c r="H463" s="42"/>
      <c r="I463" s="39"/>
      <c r="J463" s="80"/>
      <c r="K463" s="39"/>
      <c r="L463" s="82"/>
    </row>
    <row r="464" spans="2:12" ht="18.75" x14ac:dyDescent="0.25">
      <c r="B464" s="80">
        <v>221316</v>
      </c>
      <c r="C464" s="37" t="s">
        <v>910</v>
      </c>
      <c r="D464" s="38" t="s">
        <v>825</v>
      </c>
      <c r="E464" s="81" t="s">
        <v>60</v>
      </c>
      <c r="F464" s="40">
        <v>90</v>
      </c>
      <c r="G464" s="41"/>
      <c r="H464" s="42" t="s">
        <v>57</v>
      </c>
      <c r="I464" s="39">
        <f>F464*G464</f>
        <v>0</v>
      </c>
      <c r="J464" s="45">
        <v>2064</v>
      </c>
      <c r="K464" s="39" t="s">
        <v>30</v>
      </c>
      <c r="L464" s="46"/>
    </row>
    <row r="465" spans="2:12" ht="18.75" x14ac:dyDescent="0.25">
      <c r="B465" s="80">
        <v>221316</v>
      </c>
      <c r="C465" s="37" t="s">
        <v>911</v>
      </c>
      <c r="D465" s="38" t="s">
        <v>829</v>
      </c>
      <c r="E465" s="81" t="s">
        <v>60</v>
      </c>
      <c r="F465" s="40">
        <v>290</v>
      </c>
      <c r="G465" s="41"/>
      <c r="H465" s="42" t="s">
        <v>57</v>
      </c>
      <c r="I465" s="39">
        <f>F465*G465</f>
        <v>0</v>
      </c>
      <c r="J465" s="45">
        <v>2064</v>
      </c>
      <c r="K465" s="39" t="s">
        <v>30</v>
      </c>
      <c r="L465" s="46"/>
    </row>
    <row r="466" spans="2:12" ht="18.75" x14ac:dyDescent="0.25">
      <c r="B466" s="80">
        <v>221316</v>
      </c>
      <c r="C466" s="37" t="s">
        <v>912</v>
      </c>
      <c r="D466" s="38" t="s">
        <v>831</v>
      </c>
      <c r="E466" s="81" t="s">
        <v>60</v>
      </c>
      <c r="F466" s="40">
        <v>175</v>
      </c>
      <c r="G466" s="41"/>
      <c r="H466" s="42" t="s">
        <v>57</v>
      </c>
      <c r="I466" s="39">
        <f>F466*G466</f>
        <v>0</v>
      </c>
      <c r="J466" s="45">
        <v>2064</v>
      </c>
      <c r="K466" s="39" t="s">
        <v>30</v>
      </c>
      <c r="L466" s="46"/>
    </row>
    <row r="467" spans="2:12" ht="75" x14ac:dyDescent="0.25">
      <c r="B467" s="80">
        <v>221316</v>
      </c>
      <c r="C467" s="37"/>
      <c r="D467" s="44" t="s">
        <v>913</v>
      </c>
      <c r="E467" s="39"/>
      <c r="F467" s="40"/>
      <c r="G467" s="41"/>
      <c r="H467" s="42"/>
      <c r="I467" s="39"/>
      <c r="J467" s="80"/>
      <c r="K467" s="39"/>
      <c r="L467" s="82"/>
    </row>
    <row r="468" spans="2:12" ht="18.75" x14ac:dyDescent="0.25">
      <c r="B468" s="80">
        <v>221316</v>
      </c>
      <c r="C468" s="37" t="s">
        <v>914</v>
      </c>
      <c r="D468" s="38" t="s">
        <v>825</v>
      </c>
      <c r="E468" s="81" t="s">
        <v>60</v>
      </c>
      <c r="F468" s="40">
        <v>125</v>
      </c>
      <c r="G468" s="41"/>
      <c r="H468" s="42" t="s">
        <v>57</v>
      </c>
      <c r="I468" s="39">
        <f>F468*G468</f>
        <v>0</v>
      </c>
      <c r="J468" s="45">
        <v>2065</v>
      </c>
      <c r="K468" s="39" t="s">
        <v>30</v>
      </c>
      <c r="L468" s="46"/>
    </row>
    <row r="469" spans="2:12" ht="56.25" x14ac:dyDescent="0.25">
      <c r="B469" s="80">
        <v>221316</v>
      </c>
      <c r="C469" s="37"/>
      <c r="D469" s="44" t="s">
        <v>915</v>
      </c>
      <c r="E469" s="39"/>
      <c r="F469" s="40"/>
      <c r="G469" s="41"/>
      <c r="H469" s="42"/>
      <c r="I469" s="39"/>
      <c r="J469" s="80"/>
      <c r="K469" s="39"/>
      <c r="L469" s="82"/>
    </row>
    <row r="470" spans="2:12" ht="18.75" x14ac:dyDescent="0.25">
      <c r="B470" s="80">
        <v>221316</v>
      </c>
      <c r="C470" s="37" t="s">
        <v>916</v>
      </c>
      <c r="D470" s="38" t="s">
        <v>825</v>
      </c>
      <c r="E470" s="81" t="s">
        <v>60</v>
      </c>
      <c r="F470" s="40">
        <v>30</v>
      </c>
      <c r="G470" s="41"/>
      <c r="H470" s="42" t="s">
        <v>57</v>
      </c>
      <c r="I470" s="39">
        <f>F470*G470</f>
        <v>0</v>
      </c>
      <c r="J470" s="45">
        <v>2065</v>
      </c>
      <c r="K470" s="39" t="s">
        <v>30</v>
      </c>
      <c r="L470" s="46"/>
    </row>
    <row r="471" spans="2:12" ht="75" x14ac:dyDescent="0.25">
      <c r="B471" s="80">
        <v>221316</v>
      </c>
      <c r="C471" s="37"/>
      <c r="D471" s="44" t="s">
        <v>917</v>
      </c>
      <c r="E471" s="39"/>
      <c r="F471" s="40"/>
      <c r="G471" s="41"/>
      <c r="H471" s="42"/>
      <c r="I471" s="39"/>
      <c r="J471" s="80"/>
      <c r="K471" s="39"/>
      <c r="L471" s="82"/>
    </row>
    <row r="472" spans="2:12" ht="18.75" x14ac:dyDescent="0.25">
      <c r="B472" s="80">
        <v>221316</v>
      </c>
      <c r="C472" s="37" t="s">
        <v>918</v>
      </c>
      <c r="D472" s="38" t="s">
        <v>825</v>
      </c>
      <c r="E472" s="81" t="s">
        <v>60</v>
      </c>
      <c r="F472" s="40">
        <v>275</v>
      </c>
      <c r="G472" s="41"/>
      <c r="H472" s="42" t="s">
        <v>57</v>
      </c>
      <c r="I472" s="39">
        <f>F472*G472</f>
        <v>0</v>
      </c>
      <c r="J472" s="45">
        <v>2065</v>
      </c>
      <c r="K472" s="39" t="s">
        <v>30</v>
      </c>
      <c r="L472" s="46"/>
    </row>
    <row r="473" spans="2:12" ht="75" x14ac:dyDescent="0.25">
      <c r="B473" s="80">
        <v>221316</v>
      </c>
      <c r="C473" s="37"/>
      <c r="D473" s="44" t="s">
        <v>919</v>
      </c>
      <c r="E473" s="39"/>
      <c r="F473" s="40"/>
      <c r="G473" s="41"/>
      <c r="H473" s="42"/>
      <c r="I473" s="39"/>
      <c r="J473" s="80"/>
      <c r="K473" s="39"/>
      <c r="L473" s="82"/>
    </row>
    <row r="474" spans="2:12" ht="18.75" x14ac:dyDescent="0.25">
      <c r="B474" s="80">
        <v>221316</v>
      </c>
      <c r="C474" s="37" t="s">
        <v>920</v>
      </c>
      <c r="D474" s="38" t="s">
        <v>829</v>
      </c>
      <c r="E474" s="81" t="s">
        <v>60</v>
      </c>
      <c r="F474" s="40">
        <v>15</v>
      </c>
      <c r="G474" s="41"/>
      <c r="H474" s="42" t="s">
        <v>57</v>
      </c>
      <c r="I474" s="39">
        <f>F474*G474</f>
        <v>0</v>
      </c>
      <c r="J474" s="45">
        <v>2064</v>
      </c>
      <c r="K474" s="39" t="s">
        <v>30</v>
      </c>
      <c r="L474" s="46"/>
    </row>
    <row r="475" spans="2:12" ht="18.75" x14ac:dyDescent="0.25">
      <c r="B475" s="80">
        <v>221316</v>
      </c>
      <c r="C475" s="37" t="s">
        <v>921</v>
      </c>
      <c r="D475" s="38" t="s">
        <v>831</v>
      </c>
      <c r="E475" s="81" t="s">
        <v>60</v>
      </c>
      <c r="F475" s="40">
        <v>25</v>
      </c>
      <c r="G475" s="41"/>
      <c r="H475" s="42" t="s">
        <v>57</v>
      </c>
      <c r="I475" s="39">
        <f>F475*G475</f>
        <v>0</v>
      </c>
      <c r="J475" s="45">
        <v>2064</v>
      </c>
      <c r="K475" s="39" t="s">
        <v>30</v>
      </c>
      <c r="L475" s="46"/>
    </row>
    <row r="476" spans="2:12" ht="18.75" x14ac:dyDescent="0.25">
      <c r="B476" s="80">
        <v>221316</v>
      </c>
      <c r="C476" s="37" t="s">
        <v>922</v>
      </c>
      <c r="D476" s="38" t="s">
        <v>816</v>
      </c>
      <c r="E476" s="81" t="s">
        <v>60</v>
      </c>
      <c r="F476" s="40">
        <v>20</v>
      </c>
      <c r="G476" s="41"/>
      <c r="H476" s="42" t="s">
        <v>57</v>
      </c>
      <c r="I476" s="39">
        <f>F476*G476</f>
        <v>0</v>
      </c>
      <c r="J476" s="45">
        <v>2064</v>
      </c>
      <c r="K476" s="39" t="s">
        <v>30</v>
      </c>
      <c r="L476" s="46"/>
    </row>
    <row r="477" spans="2:12" ht="75" x14ac:dyDescent="0.25">
      <c r="B477" s="80">
        <v>221316</v>
      </c>
      <c r="C477" s="37"/>
      <c r="D477" s="44" t="s">
        <v>923</v>
      </c>
      <c r="E477" s="39"/>
      <c r="F477" s="40"/>
      <c r="G477" s="41"/>
      <c r="H477" s="42"/>
      <c r="I477" s="39"/>
      <c r="J477" s="80"/>
      <c r="K477" s="39"/>
      <c r="L477" s="82"/>
    </row>
    <row r="478" spans="2:12" ht="18.75" x14ac:dyDescent="0.25">
      <c r="B478" s="80">
        <v>221316</v>
      </c>
      <c r="C478" s="37" t="s">
        <v>924</v>
      </c>
      <c r="D478" s="38" t="s">
        <v>825</v>
      </c>
      <c r="E478" s="81" t="s">
        <v>60</v>
      </c>
      <c r="F478" s="40">
        <v>100</v>
      </c>
      <c r="G478" s="41"/>
      <c r="H478" s="42" t="s">
        <v>57</v>
      </c>
      <c r="I478" s="39">
        <f>F478*G478</f>
        <v>0</v>
      </c>
      <c r="J478" s="45">
        <v>2065</v>
      </c>
      <c r="K478" s="39" t="s">
        <v>30</v>
      </c>
      <c r="L478" s="46"/>
    </row>
    <row r="479" spans="2:12" ht="75" x14ac:dyDescent="0.25">
      <c r="B479" s="80">
        <v>221316</v>
      </c>
      <c r="C479" s="37"/>
      <c r="D479" s="44" t="s">
        <v>925</v>
      </c>
      <c r="E479" s="39"/>
      <c r="F479" s="40"/>
      <c r="G479" s="41"/>
      <c r="H479" s="42"/>
      <c r="I479" s="39"/>
      <c r="J479" s="80"/>
      <c r="K479" s="39"/>
      <c r="L479" s="82"/>
    </row>
    <row r="480" spans="2:12" ht="18.75" x14ac:dyDescent="0.25">
      <c r="B480" s="80">
        <v>221316</v>
      </c>
      <c r="C480" s="37" t="s">
        <v>926</v>
      </c>
      <c r="D480" s="38" t="s">
        <v>927</v>
      </c>
      <c r="E480" s="81" t="s">
        <v>60</v>
      </c>
      <c r="F480" s="40">
        <v>40</v>
      </c>
      <c r="G480" s="41"/>
      <c r="H480" s="42" t="s">
        <v>57</v>
      </c>
      <c r="I480" s="39">
        <f>F480*G480</f>
        <v>0</v>
      </c>
      <c r="J480" s="45">
        <v>2065</v>
      </c>
      <c r="K480" s="39" t="s">
        <v>30</v>
      </c>
      <c r="L480" s="46"/>
    </row>
    <row r="481" spans="2:12" ht="18.75" x14ac:dyDescent="0.25">
      <c r="B481" s="80">
        <v>221316</v>
      </c>
      <c r="C481" s="37" t="s">
        <v>928</v>
      </c>
      <c r="D481" s="38" t="s">
        <v>825</v>
      </c>
      <c r="E481" s="81" t="s">
        <v>60</v>
      </c>
      <c r="F481" s="40">
        <v>45</v>
      </c>
      <c r="G481" s="41"/>
      <c r="H481" s="42" t="s">
        <v>57</v>
      </c>
      <c r="I481" s="39">
        <f>F481*G481</f>
        <v>0</v>
      </c>
      <c r="J481" s="45">
        <v>2065</v>
      </c>
      <c r="K481" s="39" t="s">
        <v>30</v>
      </c>
      <c r="L481" s="46"/>
    </row>
    <row r="482" spans="2:12" ht="18.75" x14ac:dyDescent="0.25">
      <c r="B482" s="80" t="s">
        <v>929</v>
      </c>
      <c r="C482" s="37"/>
      <c r="D482" s="44" t="s">
        <v>930</v>
      </c>
      <c r="E482" s="39"/>
      <c r="F482" s="40"/>
      <c r="G482" s="41"/>
      <c r="H482" s="42"/>
      <c r="I482" s="39"/>
      <c r="J482" s="80"/>
      <c r="K482" s="39"/>
      <c r="L482" s="82"/>
    </row>
    <row r="483" spans="2:12" ht="18.75" x14ac:dyDescent="0.25">
      <c r="B483" s="80" t="s">
        <v>929</v>
      </c>
      <c r="C483" s="37" t="s">
        <v>931</v>
      </c>
      <c r="D483" s="38" t="s">
        <v>932</v>
      </c>
      <c r="E483" s="81" t="s">
        <v>102</v>
      </c>
      <c r="F483" s="40">
        <v>30</v>
      </c>
      <c r="G483" s="41"/>
      <c r="H483" s="42" t="s">
        <v>57</v>
      </c>
      <c r="I483" s="39">
        <f t="shared" ref="I483:I495" si="12">F483*G483</f>
        <v>0</v>
      </c>
      <c r="J483" s="45" t="s">
        <v>107</v>
      </c>
      <c r="K483" s="39" t="s">
        <v>108</v>
      </c>
      <c r="L483" s="46"/>
    </row>
    <row r="484" spans="2:12" ht="18.75" x14ac:dyDescent="0.25">
      <c r="B484" s="80" t="s">
        <v>929</v>
      </c>
      <c r="C484" s="37" t="s">
        <v>933</v>
      </c>
      <c r="D484" s="38" t="s">
        <v>934</v>
      </c>
      <c r="E484" s="81" t="s">
        <v>102</v>
      </c>
      <c r="F484" s="40">
        <v>12</v>
      </c>
      <c r="G484" s="41"/>
      <c r="H484" s="42" t="s">
        <v>57</v>
      </c>
      <c r="I484" s="39">
        <f t="shared" si="12"/>
        <v>0</v>
      </c>
      <c r="J484" s="45" t="s">
        <v>107</v>
      </c>
      <c r="K484" s="39" t="s">
        <v>108</v>
      </c>
      <c r="L484" s="46"/>
    </row>
    <row r="485" spans="2:12" ht="18.75" x14ac:dyDescent="0.25">
      <c r="B485" s="80" t="s">
        <v>929</v>
      </c>
      <c r="C485" s="37" t="s">
        <v>935</v>
      </c>
      <c r="D485" s="38" t="s">
        <v>936</v>
      </c>
      <c r="E485" s="81" t="s">
        <v>102</v>
      </c>
      <c r="F485" s="40">
        <v>1</v>
      </c>
      <c r="G485" s="41"/>
      <c r="H485" s="42" t="s">
        <v>57</v>
      </c>
      <c r="I485" s="39">
        <f t="shared" si="12"/>
        <v>0</v>
      </c>
      <c r="J485" s="45" t="s">
        <v>107</v>
      </c>
      <c r="K485" s="39" t="s">
        <v>108</v>
      </c>
      <c r="L485" s="46"/>
    </row>
    <row r="486" spans="2:12" ht="18.75" x14ac:dyDescent="0.25">
      <c r="B486" s="80" t="s">
        <v>929</v>
      </c>
      <c r="C486" s="37" t="s">
        <v>937</v>
      </c>
      <c r="D486" s="38" t="s">
        <v>938</v>
      </c>
      <c r="E486" s="81" t="s">
        <v>102</v>
      </c>
      <c r="F486" s="40">
        <v>28</v>
      </c>
      <c r="G486" s="41"/>
      <c r="H486" s="42" t="s">
        <v>57</v>
      </c>
      <c r="I486" s="39">
        <f t="shared" si="12"/>
        <v>0</v>
      </c>
      <c r="J486" s="45" t="s">
        <v>107</v>
      </c>
      <c r="K486" s="39" t="s">
        <v>108</v>
      </c>
      <c r="L486" s="46"/>
    </row>
    <row r="487" spans="2:12" ht="18.75" x14ac:dyDescent="0.25">
      <c r="B487" s="80" t="s">
        <v>929</v>
      </c>
      <c r="C487" s="37" t="s">
        <v>939</v>
      </c>
      <c r="D487" s="38" t="s">
        <v>940</v>
      </c>
      <c r="E487" s="81" t="s">
        <v>102</v>
      </c>
      <c r="F487" s="40">
        <v>12</v>
      </c>
      <c r="G487" s="41"/>
      <c r="H487" s="42" t="s">
        <v>57</v>
      </c>
      <c r="I487" s="39">
        <f t="shared" si="12"/>
        <v>0</v>
      </c>
      <c r="J487" s="45" t="s">
        <v>107</v>
      </c>
      <c r="K487" s="39" t="s">
        <v>108</v>
      </c>
      <c r="L487" s="46"/>
    </row>
    <row r="488" spans="2:12" ht="18.75" x14ac:dyDescent="0.25">
      <c r="B488" s="80" t="s">
        <v>929</v>
      </c>
      <c r="C488" s="37" t="s">
        <v>941</v>
      </c>
      <c r="D488" s="38" t="s">
        <v>942</v>
      </c>
      <c r="E488" s="81" t="s">
        <v>102</v>
      </c>
      <c r="F488" s="40">
        <v>8</v>
      </c>
      <c r="G488" s="41"/>
      <c r="H488" s="42" t="s">
        <v>57</v>
      </c>
      <c r="I488" s="39">
        <f t="shared" si="12"/>
        <v>0</v>
      </c>
      <c r="J488" s="45" t="s">
        <v>107</v>
      </c>
      <c r="K488" s="39" t="s">
        <v>108</v>
      </c>
      <c r="L488" s="46"/>
    </row>
    <row r="489" spans="2:12" ht="18.75" x14ac:dyDescent="0.25">
      <c r="B489" s="80" t="s">
        <v>929</v>
      </c>
      <c r="C489" s="37" t="s">
        <v>943</v>
      </c>
      <c r="D489" s="38" t="s">
        <v>944</v>
      </c>
      <c r="E489" s="81" t="s">
        <v>102</v>
      </c>
      <c r="F489" s="40">
        <v>2</v>
      </c>
      <c r="G489" s="41"/>
      <c r="H489" s="42" t="s">
        <v>57</v>
      </c>
      <c r="I489" s="39">
        <f t="shared" si="12"/>
        <v>0</v>
      </c>
      <c r="J489" s="45" t="s">
        <v>107</v>
      </c>
      <c r="K489" s="39" t="s">
        <v>108</v>
      </c>
      <c r="L489" s="46"/>
    </row>
    <row r="490" spans="2:12" ht="18.75" x14ac:dyDescent="0.25">
      <c r="B490" s="80" t="s">
        <v>929</v>
      </c>
      <c r="C490" s="37" t="s">
        <v>945</v>
      </c>
      <c r="D490" s="38" t="s">
        <v>946</v>
      </c>
      <c r="E490" s="81" t="s">
        <v>102</v>
      </c>
      <c r="F490" s="40">
        <v>5</v>
      </c>
      <c r="G490" s="41"/>
      <c r="H490" s="42" t="s">
        <v>57</v>
      </c>
      <c r="I490" s="39">
        <f t="shared" si="12"/>
        <v>0</v>
      </c>
      <c r="J490" s="45" t="s">
        <v>107</v>
      </c>
      <c r="K490" s="39" t="s">
        <v>108</v>
      </c>
      <c r="L490" s="46"/>
    </row>
    <row r="491" spans="2:12" ht="18.75" x14ac:dyDescent="0.25">
      <c r="B491" s="80" t="s">
        <v>929</v>
      </c>
      <c r="C491" s="37" t="s">
        <v>947</v>
      </c>
      <c r="D491" s="38" t="s">
        <v>948</v>
      </c>
      <c r="E491" s="81" t="s">
        <v>102</v>
      </c>
      <c r="F491" s="40">
        <v>2</v>
      </c>
      <c r="G491" s="41"/>
      <c r="H491" s="42" t="s">
        <v>57</v>
      </c>
      <c r="I491" s="39">
        <f t="shared" si="12"/>
        <v>0</v>
      </c>
      <c r="J491" s="45" t="s">
        <v>107</v>
      </c>
      <c r="K491" s="39" t="s">
        <v>108</v>
      </c>
      <c r="L491" s="46"/>
    </row>
    <row r="492" spans="2:12" ht="18.75" x14ac:dyDescent="0.25">
      <c r="B492" s="80" t="s">
        <v>929</v>
      </c>
      <c r="C492" s="37" t="s">
        <v>949</v>
      </c>
      <c r="D492" s="38" t="s">
        <v>950</v>
      </c>
      <c r="E492" s="81" t="s">
        <v>102</v>
      </c>
      <c r="F492" s="40">
        <v>1</v>
      </c>
      <c r="G492" s="41"/>
      <c r="H492" s="42" t="s">
        <v>57</v>
      </c>
      <c r="I492" s="39">
        <f t="shared" si="12"/>
        <v>0</v>
      </c>
      <c r="J492" s="45" t="s">
        <v>107</v>
      </c>
      <c r="K492" s="39" t="s">
        <v>108</v>
      </c>
      <c r="L492" s="46"/>
    </row>
    <row r="493" spans="2:12" ht="18.75" x14ac:dyDescent="0.25">
      <c r="B493" s="80" t="s">
        <v>929</v>
      </c>
      <c r="C493" s="37" t="s">
        <v>951</v>
      </c>
      <c r="D493" s="38" t="s">
        <v>952</v>
      </c>
      <c r="E493" s="81" t="s">
        <v>102</v>
      </c>
      <c r="F493" s="40">
        <v>4</v>
      </c>
      <c r="G493" s="41"/>
      <c r="H493" s="42" t="s">
        <v>57</v>
      </c>
      <c r="I493" s="39">
        <f t="shared" si="12"/>
        <v>0</v>
      </c>
      <c r="J493" s="45" t="s">
        <v>107</v>
      </c>
      <c r="K493" s="39" t="s">
        <v>108</v>
      </c>
      <c r="L493" s="46"/>
    </row>
    <row r="494" spans="2:12" ht="18.75" x14ac:dyDescent="0.25">
      <c r="B494" s="80" t="s">
        <v>929</v>
      </c>
      <c r="C494" s="37" t="s">
        <v>953</v>
      </c>
      <c r="D494" s="38" t="s">
        <v>954</v>
      </c>
      <c r="E494" s="81" t="s">
        <v>102</v>
      </c>
      <c r="F494" s="40">
        <v>3</v>
      </c>
      <c r="G494" s="41"/>
      <c r="H494" s="42" t="s">
        <v>57</v>
      </c>
      <c r="I494" s="39">
        <f t="shared" si="12"/>
        <v>0</v>
      </c>
      <c r="J494" s="45" t="s">
        <v>107</v>
      </c>
      <c r="K494" s="39" t="s">
        <v>108</v>
      </c>
      <c r="L494" s="46"/>
    </row>
    <row r="495" spans="2:12" ht="18.75" x14ac:dyDescent="0.25">
      <c r="B495" s="80" t="s">
        <v>929</v>
      </c>
      <c r="C495" s="37" t="s">
        <v>955</v>
      </c>
      <c r="D495" s="38" t="s">
        <v>956</v>
      </c>
      <c r="E495" s="81" t="s">
        <v>102</v>
      </c>
      <c r="F495" s="40">
        <v>50</v>
      </c>
      <c r="G495" s="41"/>
      <c r="H495" s="42" t="s">
        <v>57</v>
      </c>
      <c r="I495" s="39">
        <f t="shared" si="12"/>
        <v>0</v>
      </c>
      <c r="J495" s="45" t="s">
        <v>107</v>
      </c>
      <c r="K495" s="39" t="s">
        <v>108</v>
      </c>
      <c r="L495" s="46"/>
    </row>
    <row r="496" spans="2:12" ht="168.75" x14ac:dyDescent="0.25">
      <c r="B496" s="36" t="s">
        <v>957</v>
      </c>
      <c r="C496" s="37"/>
      <c r="D496" s="44" t="s">
        <v>958</v>
      </c>
      <c r="E496" s="39"/>
      <c r="F496" s="40"/>
      <c r="G496" s="41"/>
      <c r="H496" s="42"/>
      <c r="I496" s="39"/>
      <c r="J496" s="36"/>
      <c r="K496" s="39"/>
      <c r="L496" s="43"/>
    </row>
    <row r="497" spans="2:12" ht="18.75" x14ac:dyDescent="0.25">
      <c r="B497" s="80" t="s">
        <v>957</v>
      </c>
      <c r="C497" s="37" t="s">
        <v>959</v>
      </c>
      <c r="D497" s="38" t="s">
        <v>960</v>
      </c>
      <c r="E497" s="81" t="s">
        <v>102</v>
      </c>
      <c r="F497" s="40">
        <v>2</v>
      </c>
      <c r="G497" s="41"/>
      <c r="H497" s="42" t="s">
        <v>57</v>
      </c>
      <c r="I497" s="39">
        <f>F497*G497</f>
        <v>0</v>
      </c>
      <c r="J497" s="90">
        <v>2063</v>
      </c>
      <c r="K497" s="39" t="s">
        <v>30</v>
      </c>
      <c r="L497" s="91"/>
    </row>
    <row r="498" spans="2:12" ht="131.25" x14ac:dyDescent="0.25">
      <c r="B498" s="36" t="s">
        <v>961</v>
      </c>
      <c r="C498" s="37"/>
      <c r="D498" s="44" t="s">
        <v>962</v>
      </c>
      <c r="E498" s="39"/>
      <c r="F498" s="40"/>
      <c r="G498" s="41"/>
      <c r="H498" s="42"/>
      <c r="I498" s="39"/>
      <c r="J498" s="36"/>
      <c r="K498" s="39"/>
      <c r="L498" s="43"/>
    </row>
    <row r="499" spans="2:12" ht="56.25" x14ac:dyDescent="0.25">
      <c r="B499" s="80" t="s">
        <v>961</v>
      </c>
      <c r="C499" s="37" t="s">
        <v>963</v>
      </c>
      <c r="D499" s="38" t="s">
        <v>964</v>
      </c>
      <c r="E499" s="81" t="s">
        <v>102</v>
      </c>
      <c r="F499" s="40">
        <v>1</v>
      </c>
      <c r="G499" s="41"/>
      <c r="H499" s="42" t="s">
        <v>57</v>
      </c>
      <c r="I499" s="39">
        <f>F499*G499</f>
        <v>0</v>
      </c>
      <c r="J499" s="45" t="s">
        <v>107</v>
      </c>
      <c r="K499" s="39" t="s">
        <v>108</v>
      </c>
      <c r="L499" s="46"/>
    </row>
    <row r="500" spans="2:12" ht="262.5" x14ac:dyDescent="0.25">
      <c r="B500" s="36" t="s">
        <v>965</v>
      </c>
      <c r="C500" s="37"/>
      <c r="D500" s="44" t="s">
        <v>966</v>
      </c>
      <c r="E500" s="39"/>
      <c r="F500" s="40"/>
      <c r="G500" s="41"/>
      <c r="H500" s="42"/>
      <c r="I500" s="39"/>
      <c r="J500" s="36"/>
      <c r="K500" s="39"/>
      <c r="L500" s="43"/>
    </row>
    <row r="501" spans="2:12" ht="18.75" x14ac:dyDescent="0.25">
      <c r="B501" s="36" t="s">
        <v>965</v>
      </c>
      <c r="C501" s="37" t="s">
        <v>967</v>
      </c>
      <c r="D501" s="38" t="s">
        <v>825</v>
      </c>
      <c r="E501" s="81" t="s">
        <v>60</v>
      </c>
      <c r="F501" s="40">
        <v>15</v>
      </c>
      <c r="G501" s="41"/>
      <c r="H501" s="42" t="s">
        <v>57</v>
      </c>
      <c r="I501" s="39">
        <f>F501*G501</f>
        <v>0</v>
      </c>
      <c r="J501" s="45">
        <v>2104</v>
      </c>
      <c r="K501" s="39" t="s">
        <v>30</v>
      </c>
      <c r="L501" s="46"/>
    </row>
    <row r="502" spans="2:12" ht="18.75" x14ac:dyDescent="0.25">
      <c r="B502" s="36" t="s">
        <v>965</v>
      </c>
      <c r="C502" s="37" t="s">
        <v>968</v>
      </c>
      <c r="D502" s="38" t="s">
        <v>969</v>
      </c>
      <c r="E502" s="81" t="s">
        <v>60</v>
      </c>
      <c r="F502" s="40">
        <v>15</v>
      </c>
      <c r="G502" s="41"/>
      <c r="H502" s="42" t="s">
        <v>57</v>
      </c>
      <c r="I502" s="39">
        <f>F502*G502</f>
        <v>0</v>
      </c>
      <c r="J502" s="45">
        <v>2104</v>
      </c>
      <c r="K502" s="39" t="s">
        <v>30</v>
      </c>
      <c r="L502" s="46"/>
    </row>
    <row r="503" spans="2:12" ht="131.25" x14ac:dyDescent="0.25">
      <c r="B503" s="36" t="s">
        <v>965</v>
      </c>
      <c r="C503" s="37"/>
      <c r="D503" s="44" t="s">
        <v>970</v>
      </c>
      <c r="E503" s="39"/>
      <c r="F503" s="40"/>
      <c r="G503" s="41"/>
      <c r="H503" s="42"/>
      <c r="I503" s="39"/>
      <c r="J503" s="36"/>
      <c r="K503" s="39"/>
      <c r="L503" s="43"/>
    </row>
    <row r="504" spans="2:12" ht="18.75" x14ac:dyDescent="0.25">
      <c r="B504" s="36" t="s">
        <v>965</v>
      </c>
      <c r="C504" s="37" t="s">
        <v>971</v>
      </c>
      <c r="D504" s="38" t="s">
        <v>972</v>
      </c>
      <c r="E504" s="81" t="s">
        <v>60</v>
      </c>
      <c r="F504" s="40">
        <v>200</v>
      </c>
      <c r="G504" s="41"/>
      <c r="H504" s="42" t="s">
        <v>57</v>
      </c>
      <c r="I504" s="39">
        <f t="shared" ref="I504:I511" si="13">F504*G504</f>
        <v>0</v>
      </c>
      <c r="J504" s="45">
        <v>2062</v>
      </c>
      <c r="K504" s="39" t="s">
        <v>30</v>
      </c>
      <c r="L504" s="46"/>
    </row>
    <row r="505" spans="2:12" ht="18.75" x14ac:dyDescent="0.25">
      <c r="B505" s="36" t="s">
        <v>965</v>
      </c>
      <c r="C505" s="37" t="s">
        <v>973</v>
      </c>
      <c r="D505" s="38" t="s">
        <v>927</v>
      </c>
      <c r="E505" s="81" t="s">
        <v>60</v>
      </c>
      <c r="F505" s="40">
        <v>320</v>
      </c>
      <c r="G505" s="41"/>
      <c r="H505" s="42" t="s">
        <v>57</v>
      </c>
      <c r="I505" s="39">
        <f t="shared" si="13"/>
        <v>0</v>
      </c>
      <c r="J505" s="45">
        <v>2062</v>
      </c>
      <c r="K505" s="39" t="s">
        <v>30</v>
      </c>
      <c r="L505" s="46"/>
    </row>
    <row r="506" spans="2:12" ht="18.75" x14ac:dyDescent="0.25">
      <c r="B506" s="36" t="s">
        <v>965</v>
      </c>
      <c r="C506" s="37" t="s">
        <v>974</v>
      </c>
      <c r="D506" s="38" t="s">
        <v>819</v>
      </c>
      <c r="E506" s="81" t="s">
        <v>60</v>
      </c>
      <c r="F506" s="40">
        <v>180</v>
      </c>
      <c r="G506" s="41"/>
      <c r="H506" s="42" t="s">
        <v>57</v>
      </c>
      <c r="I506" s="39">
        <f t="shared" si="13"/>
        <v>0</v>
      </c>
      <c r="J506" s="45">
        <v>2062</v>
      </c>
      <c r="K506" s="39" t="s">
        <v>30</v>
      </c>
      <c r="L506" s="46"/>
    </row>
    <row r="507" spans="2:12" ht="18.75" x14ac:dyDescent="0.25">
      <c r="B507" s="36" t="s">
        <v>965</v>
      </c>
      <c r="C507" s="37" t="s">
        <v>975</v>
      </c>
      <c r="D507" s="38" t="s">
        <v>821</v>
      </c>
      <c r="E507" s="81" t="s">
        <v>60</v>
      </c>
      <c r="F507" s="40">
        <v>170</v>
      </c>
      <c r="G507" s="41"/>
      <c r="H507" s="42" t="s">
        <v>57</v>
      </c>
      <c r="I507" s="39">
        <f t="shared" si="13"/>
        <v>0</v>
      </c>
      <c r="J507" s="45">
        <v>2062</v>
      </c>
      <c r="K507" s="39" t="s">
        <v>30</v>
      </c>
      <c r="L507" s="46"/>
    </row>
    <row r="508" spans="2:12" ht="18.75" x14ac:dyDescent="0.25">
      <c r="B508" s="36" t="s">
        <v>965</v>
      </c>
      <c r="C508" s="37" t="s">
        <v>976</v>
      </c>
      <c r="D508" s="38" t="s">
        <v>823</v>
      </c>
      <c r="E508" s="81" t="s">
        <v>60</v>
      </c>
      <c r="F508" s="40">
        <v>120</v>
      </c>
      <c r="G508" s="41"/>
      <c r="H508" s="42" t="s">
        <v>57</v>
      </c>
      <c r="I508" s="39">
        <f t="shared" si="13"/>
        <v>0</v>
      </c>
      <c r="J508" s="45">
        <v>2062</v>
      </c>
      <c r="K508" s="39" t="s">
        <v>30</v>
      </c>
      <c r="L508" s="46"/>
    </row>
    <row r="509" spans="2:12" ht="18.75" x14ac:dyDescent="0.25">
      <c r="B509" s="36" t="s">
        <v>965</v>
      </c>
      <c r="C509" s="37" t="s">
        <v>977</v>
      </c>
      <c r="D509" s="38" t="s">
        <v>825</v>
      </c>
      <c r="E509" s="81" t="s">
        <v>60</v>
      </c>
      <c r="F509" s="40">
        <v>150</v>
      </c>
      <c r="G509" s="41"/>
      <c r="H509" s="42" t="s">
        <v>57</v>
      </c>
      <c r="I509" s="39">
        <f t="shared" si="13"/>
        <v>0</v>
      </c>
      <c r="J509" s="45">
        <v>2062</v>
      </c>
      <c r="K509" s="39" t="s">
        <v>30</v>
      </c>
      <c r="L509" s="46"/>
    </row>
    <row r="510" spans="2:12" ht="18.75" x14ac:dyDescent="0.25">
      <c r="B510" s="36" t="s">
        <v>965</v>
      </c>
      <c r="C510" s="37" t="s">
        <v>978</v>
      </c>
      <c r="D510" s="38" t="s">
        <v>827</v>
      </c>
      <c r="E510" s="81" t="s">
        <v>60</v>
      </c>
      <c r="F510" s="40">
        <v>30</v>
      </c>
      <c r="G510" s="41"/>
      <c r="H510" s="42" t="s">
        <v>57</v>
      </c>
      <c r="I510" s="39">
        <f t="shared" si="13"/>
        <v>0</v>
      </c>
      <c r="J510" s="45">
        <v>2062</v>
      </c>
      <c r="K510" s="39" t="s">
        <v>30</v>
      </c>
      <c r="L510" s="46"/>
    </row>
    <row r="511" spans="2:12" ht="18.75" x14ac:dyDescent="0.25">
      <c r="B511" s="36" t="s">
        <v>965</v>
      </c>
      <c r="C511" s="37" t="s">
        <v>979</v>
      </c>
      <c r="D511" s="38" t="s">
        <v>969</v>
      </c>
      <c r="E511" s="81" t="s">
        <v>60</v>
      </c>
      <c r="F511" s="40">
        <v>15</v>
      </c>
      <c r="G511" s="41"/>
      <c r="H511" s="42" t="s">
        <v>57</v>
      </c>
      <c r="I511" s="39">
        <f t="shared" si="13"/>
        <v>0</v>
      </c>
      <c r="J511" s="45">
        <v>2062</v>
      </c>
      <c r="K511" s="39" t="s">
        <v>30</v>
      </c>
      <c r="L511" s="46"/>
    </row>
    <row r="512" spans="2:12" ht="93.75" x14ac:dyDescent="0.25">
      <c r="B512" s="36" t="s">
        <v>965</v>
      </c>
      <c r="C512" s="37"/>
      <c r="D512" s="44" t="s">
        <v>980</v>
      </c>
      <c r="E512" s="39"/>
      <c r="F512" s="40"/>
      <c r="G512" s="41"/>
      <c r="H512" s="42"/>
      <c r="I512" s="39"/>
      <c r="J512" s="36"/>
      <c r="K512" s="39"/>
      <c r="L512" s="43"/>
    </row>
    <row r="513" spans="2:12" ht="18.75" x14ac:dyDescent="0.25">
      <c r="B513" s="36" t="s">
        <v>965</v>
      </c>
      <c r="C513" s="37" t="s">
        <v>981</v>
      </c>
      <c r="D513" s="38" t="s">
        <v>972</v>
      </c>
      <c r="E513" s="81" t="s">
        <v>60</v>
      </c>
      <c r="F513" s="40">
        <v>580</v>
      </c>
      <c r="G513" s="41"/>
      <c r="H513" s="42" t="s">
        <v>57</v>
      </c>
      <c r="I513" s="39">
        <f t="shared" ref="I513:I518" si="14">F513*G513</f>
        <v>0</v>
      </c>
      <c r="J513" s="45">
        <v>2062</v>
      </c>
      <c r="K513" s="39" t="s">
        <v>30</v>
      </c>
      <c r="L513" s="46"/>
    </row>
    <row r="514" spans="2:12" ht="18.75" x14ac:dyDescent="0.25">
      <c r="B514" s="36" t="s">
        <v>965</v>
      </c>
      <c r="C514" s="37" t="s">
        <v>982</v>
      </c>
      <c r="D514" s="38" t="s">
        <v>927</v>
      </c>
      <c r="E514" s="81" t="s">
        <v>60</v>
      </c>
      <c r="F514" s="40">
        <v>350</v>
      </c>
      <c r="G514" s="41"/>
      <c r="H514" s="42" t="s">
        <v>57</v>
      </c>
      <c r="I514" s="39">
        <f t="shared" si="14"/>
        <v>0</v>
      </c>
      <c r="J514" s="45">
        <v>2062</v>
      </c>
      <c r="K514" s="39" t="s">
        <v>30</v>
      </c>
      <c r="L514" s="46"/>
    </row>
    <row r="515" spans="2:12" ht="18.75" x14ac:dyDescent="0.25">
      <c r="B515" s="36" t="s">
        <v>965</v>
      </c>
      <c r="C515" s="37" t="s">
        <v>983</v>
      </c>
      <c r="D515" s="38" t="s">
        <v>819</v>
      </c>
      <c r="E515" s="81" t="s">
        <v>60</v>
      </c>
      <c r="F515" s="40">
        <v>195</v>
      </c>
      <c r="G515" s="41"/>
      <c r="H515" s="42" t="s">
        <v>57</v>
      </c>
      <c r="I515" s="39">
        <f t="shared" si="14"/>
        <v>0</v>
      </c>
      <c r="J515" s="45">
        <v>2062</v>
      </c>
      <c r="K515" s="39" t="s">
        <v>30</v>
      </c>
      <c r="L515" s="46"/>
    </row>
    <row r="516" spans="2:12" ht="18.75" x14ac:dyDescent="0.25">
      <c r="B516" s="36" t="s">
        <v>965</v>
      </c>
      <c r="C516" s="37" t="s">
        <v>984</v>
      </c>
      <c r="D516" s="38" t="s">
        <v>821</v>
      </c>
      <c r="E516" s="81" t="s">
        <v>60</v>
      </c>
      <c r="F516" s="40">
        <v>50</v>
      </c>
      <c r="G516" s="41"/>
      <c r="H516" s="42" t="s">
        <v>57</v>
      </c>
      <c r="I516" s="39">
        <f t="shared" si="14"/>
        <v>0</v>
      </c>
      <c r="J516" s="45">
        <v>2062</v>
      </c>
      <c r="K516" s="39" t="s">
        <v>30</v>
      </c>
      <c r="L516" s="46"/>
    </row>
    <row r="517" spans="2:12" ht="18.75" x14ac:dyDescent="0.25">
      <c r="B517" s="36" t="s">
        <v>965</v>
      </c>
      <c r="C517" s="37" t="s">
        <v>985</v>
      </c>
      <c r="D517" s="38" t="s">
        <v>823</v>
      </c>
      <c r="E517" s="81" t="s">
        <v>60</v>
      </c>
      <c r="F517" s="40">
        <v>60</v>
      </c>
      <c r="G517" s="41"/>
      <c r="H517" s="42" t="s">
        <v>57</v>
      </c>
      <c r="I517" s="39">
        <f t="shared" si="14"/>
        <v>0</v>
      </c>
      <c r="J517" s="45">
        <v>2062</v>
      </c>
      <c r="K517" s="39" t="s">
        <v>30</v>
      </c>
      <c r="L517" s="46"/>
    </row>
    <row r="518" spans="2:12" ht="18.75" x14ac:dyDescent="0.25">
      <c r="B518" s="36" t="s">
        <v>965</v>
      </c>
      <c r="C518" s="37" t="s">
        <v>986</v>
      </c>
      <c r="D518" s="38" t="s">
        <v>825</v>
      </c>
      <c r="E518" s="81" t="s">
        <v>60</v>
      </c>
      <c r="F518" s="40">
        <v>35</v>
      </c>
      <c r="G518" s="41"/>
      <c r="H518" s="42" t="s">
        <v>57</v>
      </c>
      <c r="I518" s="39">
        <f t="shared" si="14"/>
        <v>0</v>
      </c>
      <c r="J518" s="45">
        <v>2062</v>
      </c>
      <c r="K518" s="39" t="s">
        <v>30</v>
      </c>
      <c r="L518" s="46"/>
    </row>
    <row r="519" spans="2:12" ht="18.75" x14ac:dyDescent="0.25">
      <c r="B519" s="36"/>
      <c r="C519" s="37"/>
      <c r="D519" s="44" t="s">
        <v>930</v>
      </c>
      <c r="E519" s="39"/>
      <c r="F519" s="40"/>
      <c r="G519" s="41"/>
      <c r="H519" s="42"/>
      <c r="I519" s="39"/>
      <c r="J519" s="36"/>
      <c r="K519" s="39"/>
      <c r="L519" s="43"/>
    </row>
    <row r="520" spans="2:12" ht="18.75" x14ac:dyDescent="0.25">
      <c r="B520" s="36">
        <v>221113</v>
      </c>
      <c r="C520" s="37" t="s">
        <v>987</v>
      </c>
      <c r="D520" s="38" t="s">
        <v>988</v>
      </c>
      <c r="E520" s="81" t="s">
        <v>102</v>
      </c>
      <c r="F520" s="40">
        <v>153</v>
      </c>
      <c r="G520" s="41"/>
      <c r="H520" s="42" t="s">
        <v>57</v>
      </c>
      <c r="I520" s="39">
        <f t="shared" ref="I520:I530" si="15">F520*G520</f>
        <v>0</v>
      </c>
      <c r="J520" s="45">
        <v>2061</v>
      </c>
      <c r="K520" s="39" t="s">
        <v>30</v>
      </c>
      <c r="L520" s="46"/>
    </row>
    <row r="521" spans="2:12" ht="18.75" x14ac:dyDescent="0.25">
      <c r="B521" s="36">
        <v>221113</v>
      </c>
      <c r="C521" s="37" t="s">
        <v>989</v>
      </c>
      <c r="D521" s="38" t="s">
        <v>990</v>
      </c>
      <c r="E521" s="81" t="s">
        <v>102</v>
      </c>
      <c r="F521" s="40">
        <v>96</v>
      </c>
      <c r="G521" s="41"/>
      <c r="H521" s="42" t="s">
        <v>57</v>
      </c>
      <c r="I521" s="39">
        <f t="shared" si="15"/>
        <v>0</v>
      </c>
      <c r="J521" s="45">
        <v>2061</v>
      </c>
      <c r="K521" s="39" t="s">
        <v>30</v>
      </c>
      <c r="L521" s="46"/>
    </row>
    <row r="522" spans="2:12" ht="18.75" x14ac:dyDescent="0.25">
      <c r="B522" s="36">
        <v>221113</v>
      </c>
      <c r="C522" s="37" t="s">
        <v>991</v>
      </c>
      <c r="D522" s="38" t="s">
        <v>992</v>
      </c>
      <c r="E522" s="81" t="s">
        <v>102</v>
      </c>
      <c r="F522" s="40">
        <v>36</v>
      </c>
      <c r="G522" s="41"/>
      <c r="H522" s="42" t="s">
        <v>57</v>
      </c>
      <c r="I522" s="39">
        <f t="shared" si="15"/>
        <v>0</v>
      </c>
      <c r="J522" s="45">
        <v>2061</v>
      </c>
      <c r="K522" s="39" t="s">
        <v>30</v>
      </c>
      <c r="L522" s="46"/>
    </row>
    <row r="523" spans="2:12" ht="18.75" x14ac:dyDescent="0.25">
      <c r="B523" s="36">
        <v>221113</v>
      </c>
      <c r="C523" s="37" t="s">
        <v>993</v>
      </c>
      <c r="D523" s="38" t="s">
        <v>994</v>
      </c>
      <c r="E523" s="81" t="s">
        <v>102</v>
      </c>
      <c r="F523" s="40">
        <v>15</v>
      </c>
      <c r="G523" s="41"/>
      <c r="H523" s="42" t="s">
        <v>57</v>
      </c>
      <c r="I523" s="39">
        <f t="shared" si="15"/>
        <v>0</v>
      </c>
      <c r="J523" s="45">
        <v>2061</v>
      </c>
      <c r="K523" s="39" t="s">
        <v>30</v>
      </c>
      <c r="L523" s="46"/>
    </row>
    <row r="524" spans="2:12" ht="18.75" x14ac:dyDescent="0.25">
      <c r="B524" s="36">
        <v>221113</v>
      </c>
      <c r="C524" s="37" t="s">
        <v>995</v>
      </c>
      <c r="D524" s="38" t="s">
        <v>996</v>
      </c>
      <c r="E524" s="81" t="s">
        <v>102</v>
      </c>
      <c r="F524" s="40">
        <v>6</v>
      </c>
      <c r="G524" s="41"/>
      <c r="H524" s="42" t="s">
        <v>57</v>
      </c>
      <c r="I524" s="39">
        <f t="shared" si="15"/>
        <v>0</v>
      </c>
      <c r="J524" s="45">
        <v>2061</v>
      </c>
      <c r="K524" s="39" t="s">
        <v>30</v>
      </c>
      <c r="L524" s="46"/>
    </row>
    <row r="525" spans="2:12" ht="18.75" x14ac:dyDescent="0.25">
      <c r="B525" s="36">
        <v>221113</v>
      </c>
      <c r="C525" s="37" t="s">
        <v>997</v>
      </c>
      <c r="D525" s="38" t="s">
        <v>998</v>
      </c>
      <c r="E525" s="81" t="s">
        <v>102</v>
      </c>
      <c r="F525" s="40">
        <v>3</v>
      </c>
      <c r="G525" s="41"/>
      <c r="H525" s="42" t="s">
        <v>57</v>
      </c>
      <c r="I525" s="39">
        <f t="shared" si="15"/>
        <v>0</v>
      </c>
      <c r="J525" s="45">
        <v>2061</v>
      </c>
      <c r="K525" s="39" t="s">
        <v>30</v>
      </c>
      <c r="L525" s="46"/>
    </row>
    <row r="526" spans="2:12" ht="18.75" x14ac:dyDescent="0.25">
      <c r="B526" s="36">
        <v>221113</v>
      </c>
      <c r="C526" s="37" t="s">
        <v>999</v>
      </c>
      <c r="D526" s="38" t="s">
        <v>1000</v>
      </c>
      <c r="E526" s="81" t="s">
        <v>102</v>
      </c>
      <c r="F526" s="40">
        <v>59</v>
      </c>
      <c r="G526" s="41"/>
      <c r="H526" s="42" t="s">
        <v>57</v>
      </c>
      <c r="I526" s="39">
        <f t="shared" si="15"/>
        <v>0</v>
      </c>
      <c r="J526" s="45">
        <v>2061</v>
      </c>
      <c r="K526" s="39" t="s">
        <v>30</v>
      </c>
      <c r="L526" s="46"/>
    </row>
    <row r="527" spans="2:12" ht="18.75" x14ac:dyDescent="0.25">
      <c r="B527" s="36" t="s">
        <v>1001</v>
      </c>
      <c r="C527" s="37" t="s">
        <v>1002</v>
      </c>
      <c r="D527" s="38" t="s">
        <v>1003</v>
      </c>
      <c r="E527" s="81" t="s">
        <v>102</v>
      </c>
      <c r="F527" s="40">
        <v>59</v>
      </c>
      <c r="G527" s="41"/>
      <c r="H527" s="42" t="s">
        <v>57</v>
      </c>
      <c r="I527" s="39">
        <f t="shared" si="15"/>
        <v>0</v>
      </c>
      <c r="J527" s="45">
        <v>2061</v>
      </c>
      <c r="K527" s="39" t="s">
        <v>30</v>
      </c>
      <c r="L527" s="46"/>
    </row>
    <row r="528" spans="2:12" ht="18.75" x14ac:dyDescent="0.25">
      <c r="B528" s="36" t="s">
        <v>1001</v>
      </c>
      <c r="C528" s="37" t="s">
        <v>1004</v>
      </c>
      <c r="D528" s="38" t="s">
        <v>1005</v>
      </c>
      <c r="E528" s="81" t="s">
        <v>102</v>
      </c>
      <c r="F528" s="40">
        <v>11</v>
      </c>
      <c r="G528" s="41"/>
      <c r="H528" s="42" t="s">
        <v>57</v>
      </c>
      <c r="I528" s="39">
        <f t="shared" si="15"/>
        <v>0</v>
      </c>
      <c r="J528" s="45">
        <v>2061</v>
      </c>
      <c r="K528" s="39" t="s">
        <v>30</v>
      </c>
      <c r="L528" s="46"/>
    </row>
    <row r="529" spans="2:12" ht="18.75" x14ac:dyDescent="0.25">
      <c r="B529" s="36" t="s">
        <v>1001</v>
      </c>
      <c r="C529" s="37" t="s">
        <v>1006</v>
      </c>
      <c r="D529" s="38" t="s">
        <v>1007</v>
      </c>
      <c r="E529" s="81" t="s">
        <v>102</v>
      </c>
      <c r="F529" s="40">
        <v>4</v>
      </c>
      <c r="G529" s="41"/>
      <c r="H529" s="42" t="s">
        <v>57</v>
      </c>
      <c r="I529" s="39">
        <f t="shared" si="15"/>
        <v>0</v>
      </c>
      <c r="J529" s="45">
        <v>2061</v>
      </c>
      <c r="K529" s="39" t="s">
        <v>30</v>
      </c>
      <c r="L529" s="46"/>
    </row>
    <row r="530" spans="2:12" s="93" customFormat="1" ht="18.75" x14ac:dyDescent="0.25">
      <c r="B530" s="36" t="s">
        <v>1001</v>
      </c>
      <c r="C530" s="37" t="s">
        <v>1008</v>
      </c>
      <c r="D530" s="38" t="s">
        <v>1009</v>
      </c>
      <c r="E530" s="92" t="s">
        <v>1010</v>
      </c>
      <c r="F530" s="40">
        <v>12</v>
      </c>
      <c r="G530" s="41"/>
      <c r="H530" s="42" t="s">
        <v>57</v>
      </c>
      <c r="I530" s="39">
        <f t="shared" si="15"/>
        <v>0</v>
      </c>
      <c r="J530" s="45">
        <v>2061</v>
      </c>
      <c r="K530" s="39" t="s">
        <v>30</v>
      </c>
      <c r="L530" s="46"/>
    </row>
    <row r="531" spans="2:12" ht="168.75" x14ac:dyDescent="0.25">
      <c r="B531" s="94">
        <v>226000</v>
      </c>
      <c r="C531" s="37"/>
      <c r="D531" s="44" t="s">
        <v>1011</v>
      </c>
      <c r="E531" s="39"/>
      <c r="F531" s="40"/>
      <c r="G531" s="41"/>
      <c r="H531" s="42"/>
      <c r="I531" s="39"/>
      <c r="J531" s="94"/>
      <c r="K531" s="39"/>
      <c r="L531" s="95"/>
    </row>
    <row r="532" spans="2:12" ht="112.5" x14ac:dyDescent="0.25">
      <c r="B532" s="94">
        <v>226113</v>
      </c>
      <c r="C532" s="37"/>
      <c r="D532" s="44" t="s">
        <v>1012</v>
      </c>
      <c r="E532" s="39"/>
      <c r="F532" s="40"/>
      <c r="G532" s="41"/>
      <c r="H532" s="42"/>
      <c r="I532" s="39"/>
      <c r="J532" s="94"/>
      <c r="K532" s="39"/>
      <c r="L532" s="95"/>
    </row>
    <row r="533" spans="2:12" ht="18.75" x14ac:dyDescent="0.25">
      <c r="B533" s="36" t="s">
        <v>1013</v>
      </c>
      <c r="C533" s="37" t="s">
        <v>1014</v>
      </c>
      <c r="D533" s="38" t="s">
        <v>972</v>
      </c>
      <c r="E533" s="81" t="s">
        <v>60</v>
      </c>
      <c r="F533" s="40">
        <v>190</v>
      </c>
      <c r="G533" s="41"/>
      <c r="H533" s="42" t="s">
        <v>57</v>
      </c>
      <c r="I533" s="39">
        <f>F533*G533</f>
        <v>0</v>
      </c>
      <c r="J533" s="90" t="s">
        <v>107</v>
      </c>
      <c r="K533" s="39" t="s">
        <v>108</v>
      </c>
      <c r="L533" s="91"/>
    </row>
    <row r="534" spans="2:12" ht="18.75" x14ac:dyDescent="0.25">
      <c r="B534" s="36" t="s">
        <v>1013</v>
      </c>
      <c r="C534" s="37" t="s">
        <v>1015</v>
      </c>
      <c r="D534" s="38" t="s">
        <v>1016</v>
      </c>
      <c r="E534" s="81" t="s">
        <v>60</v>
      </c>
      <c r="F534" s="40">
        <v>75</v>
      </c>
      <c r="G534" s="41"/>
      <c r="H534" s="42" t="s">
        <v>57</v>
      </c>
      <c r="I534" s="39">
        <f>F534*G534</f>
        <v>0</v>
      </c>
      <c r="J534" s="90" t="s">
        <v>107</v>
      </c>
      <c r="K534" s="39" t="s">
        <v>108</v>
      </c>
      <c r="L534" s="91"/>
    </row>
    <row r="535" spans="2:12" ht="112.5" x14ac:dyDescent="0.25">
      <c r="B535" s="36" t="s">
        <v>1017</v>
      </c>
      <c r="C535" s="37"/>
      <c r="D535" s="44" t="s">
        <v>1018</v>
      </c>
      <c r="E535" s="39"/>
      <c r="F535" s="40"/>
      <c r="G535" s="41"/>
      <c r="H535" s="42"/>
      <c r="I535" s="39"/>
      <c r="J535" s="36"/>
      <c r="K535" s="39"/>
      <c r="L535" s="43"/>
    </row>
    <row r="536" spans="2:12" ht="18.75" x14ac:dyDescent="0.25">
      <c r="B536" s="36" t="s">
        <v>1017</v>
      </c>
      <c r="C536" s="37" t="s">
        <v>1019</v>
      </c>
      <c r="D536" s="38" t="s">
        <v>1016</v>
      </c>
      <c r="E536" s="81" t="s">
        <v>60</v>
      </c>
      <c r="F536" s="40">
        <v>115</v>
      </c>
      <c r="G536" s="41"/>
      <c r="H536" s="42" t="s">
        <v>57</v>
      </c>
      <c r="I536" s="39">
        <f>F536*G536</f>
        <v>0</v>
      </c>
      <c r="J536" s="90" t="s">
        <v>107</v>
      </c>
      <c r="K536" s="39" t="s">
        <v>108</v>
      </c>
      <c r="L536" s="91"/>
    </row>
    <row r="537" spans="2:12" ht="18.75" x14ac:dyDescent="0.25">
      <c r="B537" s="36" t="s">
        <v>1017</v>
      </c>
      <c r="C537" s="37" t="s">
        <v>1020</v>
      </c>
      <c r="D537" s="38" t="s">
        <v>1021</v>
      </c>
      <c r="E537" s="81" t="s">
        <v>60</v>
      </c>
      <c r="F537" s="40">
        <v>85</v>
      </c>
      <c r="G537" s="41"/>
      <c r="H537" s="42" t="s">
        <v>57</v>
      </c>
      <c r="I537" s="39">
        <f>F537*G537</f>
        <v>0</v>
      </c>
      <c r="J537" s="90" t="s">
        <v>107</v>
      </c>
      <c r="K537" s="39" t="s">
        <v>108</v>
      </c>
      <c r="L537" s="91"/>
    </row>
    <row r="538" spans="2:12" ht="18.75" x14ac:dyDescent="0.25">
      <c r="B538" s="36" t="s">
        <v>1017</v>
      </c>
      <c r="C538" s="37" t="s">
        <v>1022</v>
      </c>
      <c r="D538" s="38" t="s">
        <v>1023</v>
      </c>
      <c r="E538" s="81" t="s">
        <v>60</v>
      </c>
      <c r="F538" s="40">
        <v>35</v>
      </c>
      <c r="G538" s="41"/>
      <c r="H538" s="42" t="s">
        <v>57</v>
      </c>
      <c r="I538" s="39">
        <f>F538*G538</f>
        <v>0</v>
      </c>
      <c r="J538" s="90" t="s">
        <v>107</v>
      </c>
      <c r="K538" s="39" t="s">
        <v>108</v>
      </c>
      <c r="L538" s="91"/>
    </row>
    <row r="539" spans="2:12" ht="18.75" x14ac:dyDescent="0.25">
      <c r="B539" s="36" t="s">
        <v>1017</v>
      </c>
      <c r="C539" s="37" t="s">
        <v>1024</v>
      </c>
      <c r="D539" s="38" t="s">
        <v>1025</v>
      </c>
      <c r="E539" s="81" t="s">
        <v>60</v>
      </c>
      <c r="F539" s="40">
        <v>40</v>
      </c>
      <c r="G539" s="41"/>
      <c r="H539" s="42" t="s">
        <v>57</v>
      </c>
      <c r="I539" s="39">
        <f>F539*G539</f>
        <v>0</v>
      </c>
      <c r="J539" s="90" t="s">
        <v>107</v>
      </c>
      <c r="K539" s="39" t="s">
        <v>108</v>
      </c>
      <c r="L539" s="91"/>
    </row>
    <row r="540" spans="2:12" ht="93.75" x14ac:dyDescent="0.25">
      <c r="B540" s="36" t="s">
        <v>1026</v>
      </c>
      <c r="C540" s="37"/>
      <c r="D540" s="44" t="s">
        <v>1027</v>
      </c>
      <c r="E540" s="81"/>
      <c r="F540" s="40"/>
      <c r="G540" s="41"/>
      <c r="H540" s="42"/>
      <c r="I540" s="39"/>
      <c r="J540" s="36"/>
      <c r="K540" s="39"/>
      <c r="L540" s="43"/>
    </row>
    <row r="541" spans="2:12" ht="18.75" x14ac:dyDescent="0.25">
      <c r="B541" s="36" t="s">
        <v>1026</v>
      </c>
      <c r="C541" s="37" t="s">
        <v>1028</v>
      </c>
      <c r="D541" s="38" t="s">
        <v>1023</v>
      </c>
      <c r="E541" s="81" t="s">
        <v>60</v>
      </c>
      <c r="F541" s="40">
        <v>100</v>
      </c>
      <c r="G541" s="41"/>
      <c r="H541" s="42" t="s">
        <v>57</v>
      </c>
      <c r="I541" s="39">
        <f>F541*G541</f>
        <v>0</v>
      </c>
      <c r="J541" s="90" t="s">
        <v>107</v>
      </c>
      <c r="K541" s="39" t="s">
        <v>108</v>
      </c>
      <c r="L541" s="91"/>
    </row>
    <row r="542" spans="2:12" ht="131.25" x14ac:dyDescent="0.25">
      <c r="B542" s="36" t="s">
        <v>1029</v>
      </c>
      <c r="C542" s="37"/>
      <c r="D542" s="44" t="s">
        <v>1030</v>
      </c>
      <c r="E542" s="39"/>
      <c r="F542" s="40"/>
      <c r="G542" s="41"/>
      <c r="H542" s="42"/>
      <c r="I542" s="39"/>
      <c r="J542" s="36"/>
      <c r="K542" s="39"/>
      <c r="L542" s="43"/>
    </row>
    <row r="543" spans="2:12" ht="18.75" x14ac:dyDescent="0.25">
      <c r="B543" s="36" t="s">
        <v>1029</v>
      </c>
      <c r="C543" s="37" t="s">
        <v>1031</v>
      </c>
      <c r="D543" s="38" t="s">
        <v>972</v>
      </c>
      <c r="E543" s="81" t="s">
        <v>60</v>
      </c>
      <c r="F543" s="40">
        <v>90</v>
      </c>
      <c r="G543" s="41"/>
      <c r="H543" s="42" t="s">
        <v>57</v>
      </c>
      <c r="I543" s="39">
        <f>F543*G543</f>
        <v>0</v>
      </c>
      <c r="J543" s="90" t="s">
        <v>107</v>
      </c>
      <c r="K543" s="39" t="s">
        <v>108</v>
      </c>
      <c r="L543" s="91"/>
    </row>
    <row r="544" spans="2:12" ht="112.5" x14ac:dyDescent="0.25">
      <c r="B544" s="36" t="s">
        <v>1029</v>
      </c>
      <c r="C544" s="37"/>
      <c r="D544" s="44" t="s">
        <v>1032</v>
      </c>
      <c r="E544" s="39"/>
      <c r="F544" s="40"/>
      <c r="G544" s="41"/>
      <c r="H544" s="42"/>
      <c r="I544" s="39"/>
      <c r="J544" s="36"/>
      <c r="K544" s="39"/>
      <c r="L544" s="43"/>
    </row>
    <row r="545" spans="2:12" ht="18.75" x14ac:dyDescent="0.25">
      <c r="B545" s="36" t="s">
        <v>1029</v>
      </c>
      <c r="C545" s="37" t="s">
        <v>1033</v>
      </c>
      <c r="D545" s="38" t="s">
        <v>972</v>
      </c>
      <c r="E545" s="81" t="s">
        <v>60</v>
      </c>
      <c r="F545" s="40">
        <v>265</v>
      </c>
      <c r="G545" s="41"/>
      <c r="H545" s="42" t="s">
        <v>57</v>
      </c>
      <c r="I545" s="39">
        <f>F545*G545</f>
        <v>0</v>
      </c>
      <c r="J545" s="90" t="s">
        <v>107</v>
      </c>
      <c r="K545" s="39" t="s">
        <v>108</v>
      </c>
      <c r="L545" s="91"/>
    </row>
    <row r="546" spans="2:12" ht="187.5" x14ac:dyDescent="0.25">
      <c r="B546" s="36" t="s">
        <v>1034</v>
      </c>
      <c r="C546" s="37"/>
      <c r="D546" s="44" t="s">
        <v>1035</v>
      </c>
      <c r="E546" s="39"/>
      <c r="F546" s="40"/>
      <c r="G546" s="41"/>
      <c r="H546" s="42"/>
      <c r="I546" s="39"/>
      <c r="J546" s="36"/>
      <c r="K546" s="39"/>
      <c r="L546" s="43"/>
    </row>
    <row r="547" spans="2:12" ht="56.25" x14ac:dyDescent="0.25">
      <c r="B547" s="36" t="s">
        <v>1034</v>
      </c>
      <c r="C547" s="37" t="s">
        <v>1036</v>
      </c>
      <c r="D547" s="38" t="s">
        <v>1037</v>
      </c>
      <c r="E547" s="81" t="s">
        <v>1038</v>
      </c>
      <c r="F547" s="40">
        <v>1</v>
      </c>
      <c r="G547" s="41"/>
      <c r="H547" s="42" t="s">
        <v>57</v>
      </c>
      <c r="I547" s="39">
        <f>F547*G547</f>
        <v>0</v>
      </c>
      <c r="J547" s="90" t="s">
        <v>107</v>
      </c>
      <c r="K547" s="39" t="s">
        <v>108</v>
      </c>
      <c r="L547" s="91"/>
    </row>
    <row r="548" spans="2:12" ht="168.75" x14ac:dyDescent="0.25">
      <c r="B548" s="36" t="s">
        <v>1026</v>
      </c>
      <c r="C548" s="37"/>
      <c r="D548" s="44" t="s">
        <v>1039</v>
      </c>
      <c r="E548" s="39"/>
      <c r="F548" s="40"/>
      <c r="G548" s="41"/>
      <c r="H548" s="42"/>
      <c r="I548" s="39"/>
      <c r="J548" s="36"/>
      <c r="K548" s="39"/>
      <c r="L548" s="43"/>
    </row>
    <row r="549" spans="2:12" ht="37.5" x14ac:dyDescent="0.25">
      <c r="B549" s="36" t="s">
        <v>1026</v>
      </c>
      <c r="C549" s="37" t="s">
        <v>1028</v>
      </c>
      <c r="D549" s="96" t="s">
        <v>1040</v>
      </c>
      <c r="E549" s="81" t="s">
        <v>102</v>
      </c>
      <c r="F549" s="40">
        <v>1</v>
      </c>
      <c r="G549" s="41"/>
      <c r="H549" s="42" t="s">
        <v>57</v>
      </c>
      <c r="I549" s="39">
        <f>F549*G549</f>
        <v>0</v>
      </c>
      <c r="J549" s="90" t="s">
        <v>107</v>
      </c>
      <c r="K549" s="39" t="s">
        <v>108</v>
      </c>
      <c r="L549" s="91"/>
    </row>
    <row r="550" spans="2:12" ht="168.75" x14ac:dyDescent="0.25">
      <c r="B550" s="36" t="s">
        <v>1041</v>
      </c>
      <c r="C550" s="37"/>
      <c r="D550" s="44" t="s">
        <v>1042</v>
      </c>
      <c r="E550" s="39"/>
      <c r="F550" s="40"/>
      <c r="G550" s="41"/>
      <c r="H550" s="42"/>
      <c r="I550" s="39"/>
      <c r="J550" s="36"/>
      <c r="K550" s="39"/>
      <c r="L550" s="43"/>
    </row>
    <row r="551" spans="2:12" ht="37.5" x14ac:dyDescent="0.25">
      <c r="B551" s="36" t="s">
        <v>1041</v>
      </c>
      <c r="C551" s="37" t="s">
        <v>1043</v>
      </c>
      <c r="D551" s="96" t="s">
        <v>1044</v>
      </c>
      <c r="E551" s="81" t="s">
        <v>1038</v>
      </c>
      <c r="F551" s="40">
        <v>1</v>
      </c>
      <c r="G551" s="41"/>
      <c r="H551" s="42" t="s">
        <v>57</v>
      </c>
      <c r="I551" s="39">
        <f>F551*G551</f>
        <v>0</v>
      </c>
      <c r="J551" s="90" t="s">
        <v>107</v>
      </c>
      <c r="K551" s="39" t="s">
        <v>108</v>
      </c>
      <c r="L551" s="91"/>
    </row>
    <row r="552" spans="2:12" ht="150" x14ac:dyDescent="0.25">
      <c r="B552" s="36" t="s">
        <v>1045</v>
      </c>
      <c r="C552" s="37"/>
      <c r="D552" s="44" t="s">
        <v>1046</v>
      </c>
      <c r="E552" s="39"/>
      <c r="F552" s="40"/>
      <c r="G552" s="41"/>
      <c r="H552" s="42"/>
      <c r="I552" s="39"/>
      <c r="J552" s="36"/>
      <c r="K552" s="39"/>
      <c r="L552" s="43"/>
    </row>
    <row r="553" spans="2:12" ht="18.75" x14ac:dyDescent="0.25">
      <c r="B553" s="94">
        <v>226113</v>
      </c>
      <c r="C553" s="37" t="s">
        <v>1014</v>
      </c>
      <c r="D553" s="96" t="s">
        <v>1047</v>
      </c>
      <c r="E553" s="81" t="s">
        <v>102</v>
      </c>
      <c r="F553" s="40">
        <v>27</v>
      </c>
      <c r="G553" s="41"/>
      <c r="H553" s="42" t="s">
        <v>57</v>
      </c>
      <c r="I553" s="39">
        <f>F553*G553</f>
        <v>0</v>
      </c>
      <c r="J553" s="90" t="s">
        <v>107</v>
      </c>
      <c r="K553" s="39" t="s">
        <v>108</v>
      </c>
      <c r="L553" s="91"/>
    </row>
    <row r="554" spans="2:12" ht="18.75" x14ac:dyDescent="0.25">
      <c r="B554" s="94">
        <v>226213</v>
      </c>
      <c r="C554" s="37" t="s">
        <v>1019</v>
      </c>
      <c r="D554" s="96" t="s">
        <v>1048</v>
      </c>
      <c r="E554" s="81" t="s">
        <v>102</v>
      </c>
      <c r="F554" s="40">
        <v>27</v>
      </c>
      <c r="G554" s="41"/>
      <c r="H554" s="42" t="s">
        <v>57</v>
      </c>
      <c r="I554" s="39">
        <f>F554*G554</f>
        <v>0</v>
      </c>
      <c r="J554" s="90" t="s">
        <v>107</v>
      </c>
      <c r="K554" s="39" t="s">
        <v>108</v>
      </c>
      <c r="L554" s="91"/>
    </row>
    <row r="555" spans="2:12" ht="18.75" x14ac:dyDescent="0.25">
      <c r="B555" s="94">
        <v>226223</v>
      </c>
      <c r="C555" s="37" t="s">
        <v>1028</v>
      </c>
      <c r="D555" s="96" t="s">
        <v>1049</v>
      </c>
      <c r="E555" s="81" t="s">
        <v>102</v>
      </c>
      <c r="F555" s="40">
        <v>1</v>
      </c>
      <c r="G555" s="41"/>
      <c r="H555" s="42" t="s">
        <v>57</v>
      </c>
      <c r="I555" s="39">
        <f>F555*G555</f>
        <v>0</v>
      </c>
      <c r="J555" s="90" t="s">
        <v>107</v>
      </c>
      <c r="K555" s="39" t="s">
        <v>108</v>
      </c>
      <c r="L555" s="91"/>
    </row>
    <row r="556" spans="2:12" ht="18.75" x14ac:dyDescent="0.25">
      <c r="B556" s="94">
        <v>226313</v>
      </c>
      <c r="C556" s="37" t="s">
        <v>1031</v>
      </c>
      <c r="D556" s="96" t="s">
        <v>1050</v>
      </c>
      <c r="E556" s="81" t="s">
        <v>102</v>
      </c>
      <c r="F556" s="40">
        <v>27</v>
      </c>
      <c r="G556" s="41"/>
      <c r="H556" s="42" t="s">
        <v>57</v>
      </c>
      <c r="I556" s="39">
        <f>F556*G556</f>
        <v>0</v>
      </c>
      <c r="J556" s="90" t="s">
        <v>107</v>
      </c>
      <c r="K556" s="39" t="s">
        <v>108</v>
      </c>
      <c r="L556" s="91"/>
    </row>
    <row r="557" spans="2:12" ht="18.75" x14ac:dyDescent="0.25">
      <c r="B557" s="94">
        <v>226313</v>
      </c>
      <c r="C557" s="37" t="s">
        <v>1033</v>
      </c>
      <c r="D557" s="96" t="s">
        <v>1051</v>
      </c>
      <c r="E557" s="81" t="s">
        <v>102</v>
      </c>
      <c r="F557" s="40">
        <v>1</v>
      </c>
      <c r="G557" s="41"/>
      <c r="H557" s="42" t="s">
        <v>57</v>
      </c>
      <c r="I557" s="39">
        <f>F557*G557</f>
        <v>0</v>
      </c>
      <c r="J557" s="90" t="s">
        <v>107</v>
      </c>
      <c r="K557" s="39" t="s">
        <v>108</v>
      </c>
      <c r="L557" s="91"/>
    </row>
    <row r="558" spans="2:12" ht="18.75" x14ac:dyDescent="0.25">
      <c r="B558" s="94">
        <v>226313</v>
      </c>
      <c r="C558" s="37"/>
      <c r="D558" s="44" t="s">
        <v>930</v>
      </c>
      <c r="E558" s="39"/>
      <c r="F558" s="40"/>
      <c r="G558" s="41"/>
      <c r="H558" s="42"/>
      <c r="I558" s="39"/>
      <c r="J558" s="90"/>
      <c r="K558" s="39"/>
      <c r="L558" s="91"/>
    </row>
    <row r="559" spans="2:12" ht="37.5" x14ac:dyDescent="0.25">
      <c r="B559" s="94">
        <v>226313</v>
      </c>
      <c r="C559" s="37" t="s">
        <v>1052</v>
      </c>
      <c r="D559" s="97" t="s">
        <v>1053</v>
      </c>
      <c r="E559" s="81" t="s">
        <v>102</v>
      </c>
      <c r="F559" s="40">
        <v>23</v>
      </c>
      <c r="G559" s="41"/>
      <c r="H559" s="42" t="s">
        <v>57</v>
      </c>
      <c r="I559" s="39">
        <f>F559*G559</f>
        <v>0</v>
      </c>
      <c r="J559" s="90" t="s">
        <v>107</v>
      </c>
      <c r="K559" s="39" t="s">
        <v>108</v>
      </c>
      <c r="L559" s="91"/>
    </row>
    <row r="560" spans="2:12" ht="37.5" x14ac:dyDescent="0.25">
      <c r="B560" s="94">
        <v>226313</v>
      </c>
      <c r="C560" s="37" t="s">
        <v>1054</v>
      </c>
      <c r="D560" s="38" t="s">
        <v>1055</v>
      </c>
      <c r="E560" s="81" t="s">
        <v>102</v>
      </c>
      <c r="F560" s="40">
        <v>4</v>
      </c>
      <c r="G560" s="41"/>
      <c r="H560" s="42" t="s">
        <v>57</v>
      </c>
      <c r="I560" s="39">
        <f>F560*G560</f>
        <v>0</v>
      </c>
      <c r="J560" s="90" t="s">
        <v>107</v>
      </c>
      <c r="K560" s="39" t="s">
        <v>108</v>
      </c>
      <c r="L560" s="91"/>
    </row>
    <row r="561" spans="2:12" ht="37.5" x14ac:dyDescent="0.25">
      <c r="B561" s="94">
        <v>226313</v>
      </c>
      <c r="C561" s="37" t="s">
        <v>1056</v>
      </c>
      <c r="D561" s="38" t="s">
        <v>1057</v>
      </c>
      <c r="E561" s="81" t="s">
        <v>102</v>
      </c>
      <c r="F561" s="40">
        <v>7</v>
      </c>
      <c r="G561" s="41"/>
      <c r="H561" s="42" t="s">
        <v>57</v>
      </c>
      <c r="I561" s="39">
        <f>F561*G561</f>
        <v>0</v>
      </c>
      <c r="J561" s="90" t="s">
        <v>107</v>
      </c>
      <c r="K561" s="39" t="s">
        <v>108</v>
      </c>
      <c r="L561" s="91"/>
    </row>
    <row r="562" spans="2:12" ht="37.5" x14ac:dyDescent="0.25">
      <c r="B562" s="94">
        <v>226313</v>
      </c>
      <c r="C562" s="37" t="s">
        <v>1058</v>
      </c>
      <c r="D562" s="38" t="s">
        <v>1059</v>
      </c>
      <c r="E562" s="81" t="s">
        <v>102</v>
      </c>
      <c r="F562" s="40">
        <v>1</v>
      </c>
      <c r="G562" s="41"/>
      <c r="H562" s="42" t="s">
        <v>57</v>
      </c>
      <c r="I562" s="39">
        <f>F562*G562</f>
        <v>0</v>
      </c>
      <c r="J562" s="90" t="s">
        <v>107</v>
      </c>
      <c r="K562" s="39" t="s">
        <v>108</v>
      </c>
      <c r="L562" s="91"/>
    </row>
    <row r="563" spans="2:12" ht="131.25" x14ac:dyDescent="0.25">
      <c r="B563" s="94">
        <v>226000</v>
      </c>
      <c r="C563" s="37"/>
      <c r="D563" s="44" t="s">
        <v>1060</v>
      </c>
      <c r="E563" s="81"/>
      <c r="F563" s="40"/>
      <c r="G563" s="41"/>
      <c r="H563" s="42"/>
      <c r="I563" s="39"/>
      <c r="J563" s="94"/>
      <c r="K563" s="39"/>
      <c r="L563" s="95"/>
    </row>
    <row r="564" spans="2:12" ht="18.75" x14ac:dyDescent="0.25">
      <c r="B564" s="94">
        <v>226313</v>
      </c>
      <c r="C564" s="37" t="s">
        <v>1061</v>
      </c>
      <c r="D564" s="98" t="s">
        <v>1062</v>
      </c>
      <c r="E564" s="81" t="s">
        <v>102</v>
      </c>
      <c r="F564" s="40">
        <v>24</v>
      </c>
      <c r="G564" s="41"/>
      <c r="H564" s="42" t="s">
        <v>57</v>
      </c>
      <c r="I564" s="39">
        <f>F564*G564</f>
        <v>0</v>
      </c>
      <c r="J564" s="90" t="s">
        <v>107</v>
      </c>
      <c r="K564" s="39" t="s">
        <v>108</v>
      </c>
      <c r="L564" s="91"/>
    </row>
    <row r="565" spans="2:12" ht="18.75" x14ac:dyDescent="0.25">
      <c r="B565" s="94">
        <v>226313</v>
      </c>
      <c r="C565" s="37" t="s">
        <v>1063</v>
      </c>
      <c r="D565" s="98" t="s">
        <v>1064</v>
      </c>
      <c r="E565" s="81" t="s">
        <v>102</v>
      </c>
      <c r="F565" s="40">
        <v>6</v>
      </c>
      <c r="G565" s="41"/>
      <c r="H565" s="42" t="s">
        <v>57</v>
      </c>
      <c r="I565" s="39">
        <f>F565*G565</f>
        <v>0</v>
      </c>
      <c r="J565" s="90" t="s">
        <v>107</v>
      </c>
      <c r="K565" s="39" t="s">
        <v>108</v>
      </c>
      <c r="L565" s="91"/>
    </row>
    <row r="566" spans="2:12" ht="18.75" x14ac:dyDescent="0.25">
      <c r="B566" s="94">
        <v>226113</v>
      </c>
      <c r="C566" s="37" t="s">
        <v>1014</v>
      </c>
      <c r="D566" s="98" t="s">
        <v>1065</v>
      </c>
      <c r="E566" s="81" t="s">
        <v>102</v>
      </c>
      <c r="F566" s="40">
        <v>8</v>
      </c>
      <c r="G566" s="41"/>
      <c r="H566" s="42" t="s">
        <v>57</v>
      </c>
      <c r="I566" s="39">
        <f>F566*G566</f>
        <v>0</v>
      </c>
      <c r="J566" s="90" t="s">
        <v>107</v>
      </c>
      <c r="K566" s="39" t="s">
        <v>108</v>
      </c>
      <c r="L566" s="91"/>
    </row>
    <row r="567" spans="2:12" ht="150" x14ac:dyDescent="0.25">
      <c r="B567" s="36" t="s">
        <v>1066</v>
      </c>
      <c r="C567" s="37"/>
      <c r="D567" s="44" t="s">
        <v>1067</v>
      </c>
      <c r="E567" s="39"/>
      <c r="F567" s="40"/>
      <c r="G567" s="41"/>
      <c r="H567" s="42"/>
      <c r="I567" s="39"/>
      <c r="J567" s="36"/>
      <c r="K567" s="39"/>
      <c r="L567" s="43"/>
    </row>
    <row r="568" spans="2:12" ht="37.5" x14ac:dyDescent="0.25">
      <c r="B568" s="94">
        <v>221313</v>
      </c>
      <c r="C568" s="37" t="s">
        <v>1068</v>
      </c>
      <c r="D568" s="38" t="s">
        <v>1069</v>
      </c>
      <c r="E568" s="81" t="s">
        <v>102</v>
      </c>
      <c r="F568" s="40">
        <v>8</v>
      </c>
      <c r="G568" s="41"/>
      <c r="H568" s="42" t="s">
        <v>57</v>
      </c>
      <c r="I568" s="39">
        <f>F568*G568</f>
        <v>0</v>
      </c>
      <c r="J568" s="45">
        <v>2002</v>
      </c>
      <c r="K568" s="39" t="s">
        <v>30</v>
      </c>
      <c r="L568" s="46"/>
    </row>
    <row r="569" spans="2:12" ht="300" x14ac:dyDescent="0.25">
      <c r="B569" s="36" t="s">
        <v>1070</v>
      </c>
      <c r="C569" s="37"/>
      <c r="D569" s="44" t="s">
        <v>1071</v>
      </c>
      <c r="E569" s="39"/>
      <c r="F569" s="40"/>
      <c r="G569" s="41"/>
      <c r="H569" s="42"/>
      <c r="I569" s="39"/>
      <c r="J569" s="36"/>
      <c r="K569" s="39"/>
      <c r="L569" s="43"/>
    </row>
    <row r="570" spans="2:12" ht="206.25" x14ac:dyDescent="0.25">
      <c r="B570" s="36" t="s">
        <v>1072</v>
      </c>
      <c r="C570" s="37"/>
      <c r="D570" s="99" t="s">
        <v>1073</v>
      </c>
      <c r="E570" s="39"/>
      <c r="F570" s="40"/>
      <c r="G570" s="41"/>
      <c r="H570" s="42"/>
      <c r="I570" s="39"/>
      <c r="J570" s="36"/>
      <c r="K570" s="39"/>
      <c r="L570" s="43"/>
    </row>
    <row r="571" spans="2:12" ht="18.75" x14ac:dyDescent="0.25">
      <c r="B571" s="36" t="s">
        <v>1072</v>
      </c>
      <c r="C571" s="37" t="s">
        <v>1074</v>
      </c>
      <c r="D571" s="38" t="s">
        <v>1075</v>
      </c>
      <c r="E571" s="81" t="s">
        <v>102</v>
      </c>
      <c r="F571" s="40">
        <v>1</v>
      </c>
      <c r="G571" s="41"/>
      <c r="H571" s="42" t="s">
        <v>57</v>
      </c>
      <c r="I571" s="39">
        <f>F571*G571</f>
        <v>0</v>
      </c>
      <c r="J571" s="45">
        <v>2078</v>
      </c>
      <c r="K571" s="100" t="s">
        <v>30</v>
      </c>
      <c r="L571" s="46"/>
    </row>
    <row r="572" spans="2:12" ht="18.75" x14ac:dyDescent="0.25">
      <c r="B572" s="36" t="s">
        <v>1072</v>
      </c>
      <c r="C572" s="37" t="s">
        <v>1076</v>
      </c>
      <c r="D572" s="38" t="s">
        <v>1077</v>
      </c>
      <c r="E572" s="81" t="s">
        <v>102</v>
      </c>
      <c r="F572" s="40">
        <v>1</v>
      </c>
      <c r="G572" s="41"/>
      <c r="H572" s="42" t="s">
        <v>57</v>
      </c>
      <c r="I572" s="39">
        <f>F572*G572</f>
        <v>0</v>
      </c>
      <c r="J572" s="45">
        <v>2078</v>
      </c>
      <c r="K572" s="100" t="s">
        <v>30</v>
      </c>
      <c r="L572" s="46"/>
    </row>
    <row r="573" spans="2:12" ht="18.75" x14ac:dyDescent="0.25">
      <c r="B573" s="36" t="s">
        <v>1072</v>
      </c>
      <c r="C573" s="37" t="s">
        <v>1078</v>
      </c>
      <c r="D573" s="38" t="s">
        <v>1079</v>
      </c>
      <c r="E573" s="81" t="s">
        <v>102</v>
      </c>
      <c r="F573" s="40">
        <v>1</v>
      </c>
      <c r="G573" s="41"/>
      <c r="H573" s="42" t="s">
        <v>57</v>
      </c>
      <c r="I573" s="39">
        <f>F573*G573</f>
        <v>0</v>
      </c>
      <c r="J573" s="45">
        <v>2078</v>
      </c>
      <c r="K573" s="100" t="s">
        <v>30</v>
      </c>
      <c r="L573" s="46"/>
    </row>
    <row r="574" spans="2:12" ht="150" x14ac:dyDescent="0.25">
      <c r="B574" s="36" t="s">
        <v>1080</v>
      </c>
      <c r="C574" s="37"/>
      <c r="D574" s="99" t="s">
        <v>1081</v>
      </c>
      <c r="E574" s="39"/>
      <c r="F574" s="40"/>
      <c r="G574" s="41"/>
      <c r="H574" s="42"/>
      <c r="I574" s="39"/>
      <c r="J574" s="36"/>
      <c r="K574" s="39"/>
      <c r="L574" s="43"/>
    </row>
    <row r="575" spans="2:12" ht="18.75" x14ac:dyDescent="0.25">
      <c r="B575" s="36" t="s">
        <v>1080</v>
      </c>
      <c r="C575" s="37" t="s">
        <v>1082</v>
      </c>
      <c r="D575" s="38" t="s">
        <v>1083</v>
      </c>
      <c r="E575" s="81" t="s">
        <v>102</v>
      </c>
      <c r="F575" s="40">
        <v>1</v>
      </c>
      <c r="G575" s="41"/>
      <c r="H575" s="42" t="s">
        <v>57</v>
      </c>
      <c r="I575" s="39">
        <f>F575*G575</f>
        <v>0</v>
      </c>
      <c r="J575" s="45">
        <v>2068</v>
      </c>
      <c r="K575" s="100" t="s">
        <v>30</v>
      </c>
      <c r="L575" s="46"/>
    </row>
    <row r="576" spans="2:12" ht="18.75" x14ac:dyDescent="0.25">
      <c r="B576" s="36" t="s">
        <v>1080</v>
      </c>
      <c r="C576" s="37" t="s">
        <v>1084</v>
      </c>
      <c r="D576" s="38" t="s">
        <v>1085</v>
      </c>
      <c r="E576" s="81" t="s">
        <v>102</v>
      </c>
      <c r="F576" s="40">
        <v>1</v>
      </c>
      <c r="G576" s="41"/>
      <c r="H576" s="42" t="s">
        <v>57</v>
      </c>
      <c r="I576" s="39">
        <f>F576*G576</f>
        <v>0</v>
      </c>
      <c r="J576" s="45">
        <v>2068</v>
      </c>
      <c r="K576" s="100" t="s">
        <v>30</v>
      </c>
      <c r="L576" s="46"/>
    </row>
    <row r="577" spans="2:12" ht="18.75" x14ac:dyDescent="0.25">
      <c r="B577" s="36" t="s">
        <v>1080</v>
      </c>
      <c r="C577" s="37" t="s">
        <v>1086</v>
      </c>
      <c r="D577" s="38" t="s">
        <v>1087</v>
      </c>
      <c r="E577" s="81" t="s">
        <v>102</v>
      </c>
      <c r="F577" s="40">
        <v>1</v>
      </c>
      <c r="G577" s="41"/>
      <c r="H577" s="42" t="s">
        <v>57</v>
      </c>
      <c r="I577" s="39">
        <f>F577*G577</f>
        <v>0</v>
      </c>
      <c r="J577" s="45">
        <v>2068</v>
      </c>
      <c r="K577" s="100" t="s">
        <v>30</v>
      </c>
      <c r="L577" s="46"/>
    </row>
    <row r="578" spans="2:12" ht="18.75" x14ac:dyDescent="0.25">
      <c r="B578" s="36" t="s">
        <v>1080</v>
      </c>
      <c r="C578" s="37" t="s">
        <v>1088</v>
      </c>
      <c r="D578" s="38" t="s">
        <v>1089</v>
      </c>
      <c r="E578" s="81" t="s">
        <v>102</v>
      </c>
      <c r="F578" s="40">
        <v>1</v>
      </c>
      <c r="G578" s="41"/>
      <c r="H578" s="42" t="s">
        <v>57</v>
      </c>
      <c r="I578" s="39">
        <f>F578*G578</f>
        <v>0</v>
      </c>
      <c r="J578" s="45">
        <v>2068</v>
      </c>
      <c r="K578" s="100" t="s">
        <v>30</v>
      </c>
      <c r="L578" s="46"/>
    </row>
    <row r="579" spans="2:12" ht="18.75" x14ac:dyDescent="0.25">
      <c r="B579" s="36" t="s">
        <v>1080</v>
      </c>
      <c r="C579" s="37" t="s">
        <v>1090</v>
      </c>
      <c r="D579" s="38" t="s">
        <v>1091</v>
      </c>
      <c r="E579" s="81" t="s">
        <v>102</v>
      </c>
      <c r="F579" s="40">
        <v>1</v>
      </c>
      <c r="G579" s="41"/>
      <c r="H579" s="42" t="s">
        <v>57</v>
      </c>
      <c r="I579" s="39">
        <f>F579*G579</f>
        <v>0</v>
      </c>
      <c r="J579" s="45">
        <v>2068</v>
      </c>
      <c r="K579" s="100" t="s">
        <v>30</v>
      </c>
      <c r="L579" s="46"/>
    </row>
    <row r="580" spans="2:12" ht="168.75" x14ac:dyDescent="0.25">
      <c r="B580" s="36" t="s">
        <v>1092</v>
      </c>
      <c r="C580" s="37"/>
      <c r="D580" s="99" t="s">
        <v>1093</v>
      </c>
      <c r="E580" s="39"/>
      <c r="F580" s="40"/>
      <c r="G580" s="41"/>
      <c r="H580" s="42"/>
      <c r="I580" s="39"/>
      <c r="J580" s="36"/>
      <c r="K580" s="39"/>
      <c r="L580" s="43"/>
    </row>
    <row r="581" spans="2:12" ht="18.75" x14ac:dyDescent="0.25">
      <c r="B581" s="36" t="s">
        <v>1092</v>
      </c>
      <c r="C581" s="37" t="s">
        <v>1094</v>
      </c>
      <c r="D581" s="38" t="s">
        <v>1095</v>
      </c>
      <c r="E581" s="81" t="s">
        <v>102</v>
      </c>
      <c r="F581" s="40">
        <v>3</v>
      </c>
      <c r="G581" s="41"/>
      <c r="H581" s="42" t="s">
        <v>57</v>
      </c>
      <c r="I581" s="39">
        <f>F581*G581</f>
        <v>0</v>
      </c>
      <c r="J581" s="45">
        <v>2078</v>
      </c>
      <c r="K581" s="100" t="s">
        <v>30</v>
      </c>
      <c r="L581" s="46"/>
    </row>
    <row r="582" spans="2:12" ht="18.75" x14ac:dyDescent="0.25">
      <c r="B582" s="36" t="s">
        <v>1092</v>
      </c>
      <c r="C582" s="37" t="s">
        <v>1096</v>
      </c>
      <c r="D582" s="38" t="s">
        <v>1097</v>
      </c>
      <c r="E582" s="81" t="s">
        <v>102</v>
      </c>
      <c r="F582" s="40">
        <v>1</v>
      </c>
      <c r="G582" s="41"/>
      <c r="H582" s="42" t="s">
        <v>57</v>
      </c>
      <c r="I582" s="39">
        <f>F582*G582</f>
        <v>0</v>
      </c>
      <c r="J582" s="45">
        <v>2078</v>
      </c>
      <c r="K582" s="100" t="s">
        <v>30</v>
      </c>
      <c r="L582" s="46"/>
    </row>
    <row r="583" spans="2:12" ht="18.75" x14ac:dyDescent="0.25">
      <c r="B583" s="36" t="s">
        <v>1092</v>
      </c>
      <c r="C583" s="37" t="s">
        <v>1098</v>
      </c>
      <c r="D583" s="38" t="s">
        <v>1099</v>
      </c>
      <c r="E583" s="81" t="s">
        <v>102</v>
      </c>
      <c r="F583" s="40">
        <v>4</v>
      </c>
      <c r="G583" s="41"/>
      <c r="H583" s="42" t="s">
        <v>57</v>
      </c>
      <c r="I583" s="39">
        <f>F583*G583</f>
        <v>0</v>
      </c>
      <c r="J583" s="45">
        <v>2078</v>
      </c>
      <c r="K583" s="100" t="s">
        <v>30</v>
      </c>
      <c r="L583" s="46"/>
    </row>
    <row r="584" spans="2:12" ht="18.75" x14ac:dyDescent="0.25">
      <c r="B584" s="36" t="s">
        <v>1092</v>
      </c>
      <c r="C584" s="37" t="s">
        <v>1100</v>
      </c>
      <c r="D584" s="38" t="s">
        <v>1101</v>
      </c>
      <c r="E584" s="81" t="s">
        <v>102</v>
      </c>
      <c r="F584" s="40">
        <v>2</v>
      </c>
      <c r="G584" s="41"/>
      <c r="H584" s="42" t="s">
        <v>57</v>
      </c>
      <c r="I584" s="39">
        <f>F584*G584</f>
        <v>0</v>
      </c>
      <c r="J584" s="45">
        <v>2078</v>
      </c>
      <c r="K584" s="100" t="s">
        <v>30</v>
      </c>
      <c r="L584" s="46"/>
    </row>
    <row r="585" spans="2:12" ht="131.25" x14ac:dyDescent="0.25">
      <c r="B585" s="36" t="s">
        <v>1102</v>
      </c>
      <c r="C585" s="37"/>
      <c r="D585" s="44" t="s">
        <v>1103</v>
      </c>
      <c r="E585" s="39"/>
      <c r="F585" s="40"/>
      <c r="G585" s="41"/>
      <c r="H585" s="42"/>
      <c r="I585" s="39"/>
      <c r="J585" s="36"/>
      <c r="K585" s="39"/>
      <c r="L585" s="43"/>
    </row>
    <row r="586" spans="2:12" ht="18.75" x14ac:dyDescent="0.25">
      <c r="B586" s="36" t="s">
        <v>1104</v>
      </c>
      <c r="C586" s="37" t="s">
        <v>1105</v>
      </c>
      <c r="D586" s="38" t="s">
        <v>1106</v>
      </c>
      <c r="E586" s="81" t="s">
        <v>102</v>
      </c>
      <c r="F586" s="40">
        <v>1</v>
      </c>
      <c r="G586" s="41"/>
      <c r="H586" s="42" t="s">
        <v>57</v>
      </c>
      <c r="I586" s="39">
        <f t="shared" ref="I586:I593" si="16">F586*G586</f>
        <v>0</v>
      </c>
      <c r="J586" s="45" t="s">
        <v>107</v>
      </c>
      <c r="K586" s="100" t="s">
        <v>108</v>
      </c>
      <c r="L586" s="46"/>
    </row>
    <row r="587" spans="2:12" ht="18.75" x14ac:dyDescent="0.25">
      <c r="B587" s="36" t="s">
        <v>1104</v>
      </c>
      <c r="C587" s="37" t="s">
        <v>1107</v>
      </c>
      <c r="D587" s="38" t="s">
        <v>1108</v>
      </c>
      <c r="E587" s="81" t="s">
        <v>102</v>
      </c>
      <c r="F587" s="40">
        <v>1</v>
      </c>
      <c r="G587" s="41"/>
      <c r="H587" s="42" t="s">
        <v>57</v>
      </c>
      <c r="I587" s="39">
        <f t="shared" si="16"/>
        <v>0</v>
      </c>
      <c r="J587" s="45" t="s">
        <v>107</v>
      </c>
      <c r="K587" s="100" t="s">
        <v>108</v>
      </c>
      <c r="L587" s="46"/>
    </row>
    <row r="588" spans="2:12" ht="18.75" x14ac:dyDescent="0.25">
      <c r="B588" s="36" t="s">
        <v>1104</v>
      </c>
      <c r="C588" s="37" t="s">
        <v>1109</v>
      </c>
      <c r="D588" s="38" t="s">
        <v>1110</v>
      </c>
      <c r="E588" s="81" t="s">
        <v>102</v>
      </c>
      <c r="F588" s="40">
        <v>1</v>
      </c>
      <c r="G588" s="41"/>
      <c r="H588" s="42" t="s">
        <v>57</v>
      </c>
      <c r="I588" s="39">
        <f t="shared" si="16"/>
        <v>0</v>
      </c>
      <c r="J588" s="45" t="s">
        <v>107</v>
      </c>
      <c r="K588" s="100" t="s">
        <v>108</v>
      </c>
      <c r="L588" s="46"/>
    </row>
    <row r="589" spans="2:12" ht="18.75" x14ac:dyDescent="0.25">
      <c r="B589" s="36" t="s">
        <v>1104</v>
      </c>
      <c r="C589" s="37" t="s">
        <v>1111</v>
      </c>
      <c r="D589" s="38" t="s">
        <v>1112</v>
      </c>
      <c r="E589" s="81" t="s">
        <v>102</v>
      </c>
      <c r="F589" s="40">
        <v>1</v>
      </c>
      <c r="G589" s="41"/>
      <c r="H589" s="42" t="s">
        <v>57</v>
      </c>
      <c r="I589" s="39">
        <f t="shared" si="16"/>
        <v>0</v>
      </c>
      <c r="J589" s="45" t="s">
        <v>107</v>
      </c>
      <c r="K589" s="100" t="s">
        <v>108</v>
      </c>
      <c r="L589" s="46"/>
    </row>
    <row r="590" spans="2:12" ht="18.75" x14ac:dyDescent="0.25">
      <c r="B590" s="36" t="s">
        <v>1104</v>
      </c>
      <c r="C590" s="37" t="s">
        <v>1113</v>
      </c>
      <c r="D590" s="38" t="s">
        <v>1114</v>
      </c>
      <c r="E590" s="81" t="s">
        <v>102</v>
      </c>
      <c r="F590" s="40">
        <v>1</v>
      </c>
      <c r="G590" s="41"/>
      <c r="H590" s="42" t="s">
        <v>57</v>
      </c>
      <c r="I590" s="39">
        <f t="shared" si="16"/>
        <v>0</v>
      </c>
      <c r="J590" s="45" t="s">
        <v>107</v>
      </c>
      <c r="K590" s="100" t="s">
        <v>108</v>
      </c>
      <c r="L590" s="46"/>
    </row>
    <row r="591" spans="2:12" ht="18.75" x14ac:dyDescent="0.25">
      <c r="B591" s="36" t="s">
        <v>1104</v>
      </c>
      <c r="C591" s="37" t="s">
        <v>1115</v>
      </c>
      <c r="D591" s="38" t="s">
        <v>1116</v>
      </c>
      <c r="E591" s="81" t="s">
        <v>102</v>
      </c>
      <c r="F591" s="40">
        <v>1</v>
      </c>
      <c r="G591" s="41"/>
      <c r="H591" s="42" t="s">
        <v>57</v>
      </c>
      <c r="I591" s="39">
        <f t="shared" si="16"/>
        <v>0</v>
      </c>
      <c r="J591" s="45" t="s">
        <v>107</v>
      </c>
      <c r="K591" s="100" t="s">
        <v>108</v>
      </c>
      <c r="L591" s="46"/>
    </row>
    <row r="592" spans="2:12" ht="18.75" x14ac:dyDescent="0.25">
      <c r="B592" s="36" t="s">
        <v>1104</v>
      </c>
      <c r="C592" s="37" t="s">
        <v>1117</v>
      </c>
      <c r="D592" s="38" t="s">
        <v>1118</v>
      </c>
      <c r="E592" s="81" t="s">
        <v>102</v>
      </c>
      <c r="F592" s="40">
        <v>1</v>
      </c>
      <c r="G592" s="41"/>
      <c r="H592" s="42" t="s">
        <v>57</v>
      </c>
      <c r="I592" s="39">
        <f t="shared" si="16"/>
        <v>0</v>
      </c>
      <c r="J592" s="45" t="s">
        <v>107</v>
      </c>
      <c r="K592" s="100" t="s">
        <v>108</v>
      </c>
      <c r="L592" s="46"/>
    </row>
    <row r="593" spans="2:12" ht="18.75" x14ac:dyDescent="0.25">
      <c r="B593" s="36" t="s">
        <v>1104</v>
      </c>
      <c r="C593" s="37" t="s">
        <v>1119</v>
      </c>
      <c r="D593" s="38" t="s">
        <v>1120</v>
      </c>
      <c r="E593" s="81" t="s">
        <v>102</v>
      </c>
      <c r="F593" s="40">
        <v>1</v>
      </c>
      <c r="G593" s="41"/>
      <c r="H593" s="42" t="s">
        <v>57</v>
      </c>
      <c r="I593" s="39">
        <f t="shared" si="16"/>
        <v>0</v>
      </c>
      <c r="J593" s="45" t="s">
        <v>107</v>
      </c>
      <c r="K593" s="100" t="s">
        <v>108</v>
      </c>
      <c r="L593" s="46"/>
    </row>
    <row r="594" spans="2:12" ht="150" x14ac:dyDescent="0.25">
      <c r="B594" s="36" t="s">
        <v>1121</v>
      </c>
      <c r="C594" s="37"/>
      <c r="D594" s="99" t="s">
        <v>1122</v>
      </c>
      <c r="E594" s="39"/>
      <c r="F594" s="40"/>
      <c r="G594" s="41"/>
      <c r="H594" s="42"/>
      <c r="I594" s="39"/>
      <c r="J594" s="36"/>
      <c r="K594" s="39"/>
      <c r="L594" s="43"/>
    </row>
    <row r="595" spans="2:12" ht="18.75" x14ac:dyDescent="0.25">
      <c r="B595" s="36" t="s">
        <v>1121</v>
      </c>
      <c r="C595" s="37" t="s">
        <v>1123</v>
      </c>
      <c r="D595" s="38" t="s">
        <v>1124</v>
      </c>
      <c r="E595" s="81" t="s">
        <v>102</v>
      </c>
      <c r="F595" s="40">
        <v>18</v>
      </c>
      <c r="G595" s="41"/>
      <c r="H595" s="42" t="s">
        <v>57</v>
      </c>
      <c r="I595" s="39">
        <f t="shared" ref="I595:I617" si="17">F595*G595</f>
        <v>0</v>
      </c>
      <c r="J595" s="45" t="s">
        <v>107</v>
      </c>
      <c r="K595" s="100" t="s">
        <v>108</v>
      </c>
      <c r="L595" s="46"/>
    </row>
    <row r="596" spans="2:12" ht="18.75" x14ac:dyDescent="0.25">
      <c r="B596" s="36" t="s">
        <v>1121</v>
      </c>
      <c r="C596" s="37" t="s">
        <v>1125</v>
      </c>
      <c r="D596" s="38" t="s">
        <v>1126</v>
      </c>
      <c r="E596" s="81" t="s">
        <v>102</v>
      </c>
      <c r="F596" s="40">
        <v>6</v>
      </c>
      <c r="G596" s="41"/>
      <c r="H596" s="42" t="s">
        <v>57</v>
      </c>
      <c r="I596" s="39">
        <f t="shared" si="17"/>
        <v>0</v>
      </c>
      <c r="J596" s="45" t="s">
        <v>107</v>
      </c>
      <c r="K596" s="100" t="s">
        <v>108</v>
      </c>
      <c r="L596" s="46"/>
    </row>
    <row r="597" spans="2:12" ht="18.75" x14ac:dyDescent="0.25">
      <c r="B597" s="36" t="s">
        <v>1121</v>
      </c>
      <c r="C597" s="37" t="s">
        <v>1127</v>
      </c>
      <c r="D597" s="38" t="s">
        <v>1128</v>
      </c>
      <c r="E597" s="81" t="s">
        <v>102</v>
      </c>
      <c r="F597" s="40">
        <v>1</v>
      </c>
      <c r="G597" s="41"/>
      <c r="H597" s="42" t="s">
        <v>57</v>
      </c>
      <c r="I597" s="39">
        <f t="shared" si="17"/>
        <v>0</v>
      </c>
      <c r="J597" s="45" t="s">
        <v>107</v>
      </c>
      <c r="K597" s="100" t="s">
        <v>108</v>
      </c>
      <c r="L597" s="46"/>
    </row>
    <row r="598" spans="2:12" ht="18.75" x14ac:dyDescent="0.25">
      <c r="B598" s="36" t="s">
        <v>1121</v>
      </c>
      <c r="C598" s="37" t="s">
        <v>1129</v>
      </c>
      <c r="D598" s="38" t="s">
        <v>1130</v>
      </c>
      <c r="E598" s="81" t="s">
        <v>102</v>
      </c>
      <c r="F598" s="40">
        <v>1</v>
      </c>
      <c r="G598" s="41"/>
      <c r="H598" s="42" t="s">
        <v>57</v>
      </c>
      <c r="I598" s="39">
        <f t="shared" si="17"/>
        <v>0</v>
      </c>
      <c r="J598" s="45" t="s">
        <v>107</v>
      </c>
      <c r="K598" s="100" t="s">
        <v>108</v>
      </c>
      <c r="L598" s="46"/>
    </row>
    <row r="599" spans="2:12" ht="18.75" x14ac:dyDescent="0.25">
      <c r="B599" s="36" t="s">
        <v>1121</v>
      </c>
      <c r="C599" s="37" t="s">
        <v>1131</v>
      </c>
      <c r="D599" s="38" t="s">
        <v>1132</v>
      </c>
      <c r="E599" s="81" t="s">
        <v>102</v>
      </c>
      <c r="F599" s="40">
        <v>1</v>
      </c>
      <c r="G599" s="41"/>
      <c r="H599" s="42" t="s">
        <v>57</v>
      </c>
      <c r="I599" s="39">
        <f t="shared" si="17"/>
        <v>0</v>
      </c>
      <c r="J599" s="45" t="s">
        <v>107</v>
      </c>
      <c r="K599" s="100" t="s">
        <v>108</v>
      </c>
      <c r="L599" s="46"/>
    </row>
    <row r="600" spans="2:12" ht="18.75" x14ac:dyDescent="0.25">
      <c r="B600" s="36" t="s">
        <v>1121</v>
      </c>
      <c r="C600" s="37" t="s">
        <v>1133</v>
      </c>
      <c r="D600" s="38" t="s">
        <v>1134</v>
      </c>
      <c r="E600" s="81" t="s">
        <v>102</v>
      </c>
      <c r="F600" s="40">
        <v>1</v>
      </c>
      <c r="G600" s="41"/>
      <c r="H600" s="42" t="s">
        <v>57</v>
      </c>
      <c r="I600" s="39">
        <f t="shared" si="17"/>
        <v>0</v>
      </c>
      <c r="J600" s="45" t="s">
        <v>107</v>
      </c>
      <c r="K600" s="100" t="s">
        <v>108</v>
      </c>
      <c r="L600" s="46"/>
    </row>
    <row r="601" spans="2:12" ht="18.75" x14ac:dyDescent="0.25">
      <c r="B601" s="36" t="s">
        <v>1121</v>
      </c>
      <c r="C601" s="37" t="s">
        <v>1135</v>
      </c>
      <c r="D601" s="38" t="s">
        <v>1136</v>
      </c>
      <c r="E601" s="81" t="s">
        <v>102</v>
      </c>
      <c r="F601" s="40">
        <v>1</v>
      </c>
      <c r="G601" s="41"/>
      <c r="H601" s="42" t="s">
        <v>57</v>
      </c>
      <c r="I601" s="39">
        <f t="shared" si="17"/>
        <v>0</v>
      </c>
      <c r="J601" s="45" t="s">
        <v>107</v>
      </c>
      <c r="K601" s="100" t="s">
        <v>108</v>
      </c>
      <c r="L601" s="46"/>
    </row>
    <row r="602" spans="2:12" ht="18.75" x14ac:dyDescent="0.25">
      <c r="B602" s="36" t="s">
        <v>1121</v>
      </c>
      <c r="C602" s="37" t="s">
        <v>1137</v>
      </c>
      <c r="D602" s="38" t="s">
        <v>1138</v>
      </c>
      <c r="E602" s="81" t="s">
        <v>102</v>
      </c>
      <c r="F602" s="40">
        <v>2</v>
      </c>
      <c r="G602" s="41"/>
      <c r="H602" s="42" t="s">
        <v>57</v>
      </c>
      <c r="I602" s="39">
        <f t="shared" si="17"/>
        <v>0</v>
      </c>
      <c r="J602" s="45" t="s">
        <v>107</v>
      </c>
      <c r="K602" s="100" t="s">
        <v>108</v>
      </c>
      <c r="L602" s="46"/>
    </row>
    <row r="603" spans="2:12" ht="18.75" x14ac:dyDescent="0.25">
      <c r="B603" s="36" t="s">
        <v>1121</v>
      </c>
      <c r="C603" s="37" t="s">
        <v>1139</v>
      </c>
      <c r="D603" s="38" t="s">
        <v>1140</v>
      </c>
      <c r="E603" s="81" t="s">
        <v>102</v>
      </c>
      <c r="F603" s="40">
        <v>2</v>
      </c>
      <c r="G603" s="41"/>
      <c r="H603" s="42" t="s">
        <v>57</v>
      </c>
      <c r="I603" s="39">
        <f t="shared" si="17"/>
        <v>0</v>
      </c>
      <c r="J603" s="45" t="s">
        <v>107</v>
      </c>
      <c r="K603" s="100" t="s">
        <v>108</v>
      </c>
      <c r="L603" s="46"/>
    </row>
    <row r="604" spans="2:12" ht="18.75" x14ac:dyDescent="0.25">
      <c r="B604" s="36" t="s">
        <v>1121</v>
      </c>
      <c r="C604" s="37" t="s">
        <v>1141</v>
      </c>
      <c r="D604" s="38" t="s">
        <v>1142</v>
      </c>
      <c r="E604" s="81" t="s">
        <v>102</v>
      </c>
      <c r="F604" s="40">
        <v>1</v>
      </c>
      <c r="G604" s="41"/>
      <c r="H604" s="42" t="s">
        <v>57</v>
      </c>
      <c r="I604" s="39">
        <f t="shared" si="17"/>
        <v>0</v>
      </c>
      <c r="J604" s="45" t="s">
        <v>107</v>
      </c>
      <c r="K604" s="100" t="s">
        <v>108</v>
      </c>
      <c r="L604" s="46"/>
    </row>
    <row r="605" spans="2:12" ht="18.75" x14ac:dyDescent="0.25">
      <c r="B605" s="36" t="s">
        <v>1121</v>
      </c>
      <c r="C605" s="37" t="s">
        <v>1143</v>
      </c>
      <c r="D605" s="38" t="s">
        <v>1144</v>
      </c>
      <c r="E605" s="81" t="s">
        <v>102</v>
      </c>
      <c r="F605" s="40">
        <v>1</v>
      </c>
      <c r="G605" s="41"/>
      <c r="H605" s="42" t="s">
        <v>57</v>
      </c>
      <c r="I605" s="39">
        <f t="shared" si="17"/>
        <v>0</v>
      </c>
      <c r="J605" s="45" t="s">
        <v>107</v>
      </c>
      <c r="K605" s="100" t="s">
        <v>108</v>
      </c>
      <c r="L605" s="46"/>
    </row>
    <row r="606" spans="2:12" ht="18.75" x14ac:dyDescent="0.25">
      <c r="B606" s="36" t="s">
        <v>1121</v>
      </c>
      <c r="C606" s="37" t="s">
        <v>1145</v>
      </c>
      <c r="D606" s="38" t="s">
        <v>1146</v>
      </c>
      <c r="E606" s="81" t="s">
        <v>102</v>
      </c>
      <c r="F606" s="40">
        <v>1</v>
      </c>
      <c r="G606" s="41"/>
      <c r="H606" s="42" t="s">
        <v>57</v>
      </c>
      <c r="I606" s="39">
        <f t="shared" si="17"/>
        <v>0</v>
      </c>
      <c r="J606" s="45" t="s">
        <v>107</v>
      </c>
      <c r="K606" s="100" t="s">
        <v>108</v>
      </c>
      <c r="L606" s="46"/>
    </row>
    <row r="607" spans="2:12" ht="18.75" x14ac:dyDescent="0.25">
      <c r="B607" s="36" t="s">
        <v>1121</v>
      </c>
      <c r="C607" s="37" t="s">
        <v>1147</v>
      </c>
      <c r="D607" s="38" t="s">
        <v>1148</v>
      </c>
      <c r="E607" s="81" t="s">
        <v>102</v>
      </c>
      <c r="F607" s="40">
        <v>1</v>
      </c>
      <c r="G607" s="41"/>
      <c r="H607" s="42" t="s">
        <v>57</v>
      </c>
      <c r="I607" s="39">
        <f t="shared" si="17"/>
        <v>0</v>
      </c>
      <c r="J607" s="45" t="s">
        <v>107</v>
      </c>
      <c r="K607" s="100" t="s">
        <v>108</v>
      </c>
      <c r="L607" s="46"/>
    </row>
    <row r="608" spans="2:12" ht="18.75" x14ac:dyDescent="0.25">
      <c r="B608" s="36" t="s">
        <v>1121</v>
      </c>
      <c r="C608" s="37" t="s">
        <v>1149</v>
      </c>
      <c r="D608" s="38" t="s">
        <v>1150</v>
      </c>
      <c r="E608" s="81" t="s">
        <v>102</v>
      </c>
      <c r="F608" s="40">
        <v>1</v>
      </c>
      <c r="G608" s="41"/>
      <c r="H608" s="42" t="s">
        <v>57</v>
      </c>
      <c r="I608" s="39">
        <f t="shared" si="17"/>
        <v>0</v>
      </c>
      <c r="J608" s="45" t="s">
        <v>107</v>
      </c>
      <c r="K608" s="100" t="s">
        <v>108</v>
      </c>
      <c r="L608" s="46"/>
    </row>
    <row r="609" spans="2:12" ht="18.75" x14ac:dyDescent="0.25">
      <c r="B609" s="36" t="s">
        <v>1121</v>
      </c>
      <c r="C609" s="37" t="s">
        <v>1151</v>
      </c>
      <c r="D609" s="38" t="s">
        <v>1152</v>
      </c>
      <c r="E609" s="81" t="s">
        <v>102</v>
      </c>
      <c r="F609" s="40">
        <v>1</v>
      </c>
      <c r="G609" s="41"/>
      <c r="H609" s="42" t="s">
        <v>57</v>
      </c>
      <c r="I609" s="39">
        <f t="shared" si="17"/>
        <v>0</v>
      </c>
      <c r="J609" s="45" t="s">
        <v>107</v>
      </c>
      <c r="K609" s="100" t="s">
        <v>108</v>
      </c>
      <c r="L609" s="46"/>
    </row>
    <row r="610" spans="2:12" ht="18.75" x14ac:dyDescent="0.25">
      <c r="B610" s="36" t="s">
        <v>1121</v>
      </c>
      <c r="C610" s="37" t="s">
        <v>1153</v>
      </c>
      <c r="D610" s="38" t="s">
        <v>1154</v>
      </c>
      <c r="E610" s="81" t="s">
        <v>102</v>
      </c>
      <c r="F610" s="40">
        <v>1</v>
      </c>
      <c r="G610" s="41"/>
      <c r="H610" s="42" t="s">
        <v>57</v>
      </c>
      <c r="I610" s="39">
        <f t="shared" si="17"/>
        <v>0</v>
      </c>
      <c r="J610" s="45" t="s">
        <v>107</v>
      </c>
      <c r="K610" s="100" t="s">
        <v>108</v>
      </c>
      <c r="L610" s="46"/>
    </row>
    <row r="611" spans="2:12" ht="18.75" x14ac:dyDescent="0.25">
      <c r="B611" s="36" t="s">
        <v>1121</v>
      </c>
      <c r="C611" s="37" t="s">
        <v>1155</v>
      </c>
      <c r="D611" s="38" t="s">
        <v>1156</v>
      </c>
      <c r="E611" s="81" t="s">
        <v>102</v>
      </c>
      <c r="F611" s="40">
        <v>1</v>
      </c>
      <c r="G611" s="41"/>
      <c r="H611" s="42" t="s">
        <v>57</v>
      </c>
      <c r="I611" s="39">
        <f t="shared" si="17"/>
        <v>0</v>
      </c>
      <c r="J611" s="45" t="s">
        <v>107</v>
      </c>
      <c r="K611" s="100" t="s">
        <v>108</v>
      </c>
      <c r="L611" s="46"/>
    </row>
    <row r="612" spans="2:12" ht="18.75" x14ac:dyDescent="0.25">
      <c r="B612" s="36" t="s">
        <v>1121</v>
      </c>
      <c r="C612" s="37" t="s">
        <v>1157</v>
      </c>
      <c r="D612" s="38" t="s">
        <v>1158</v>
      </c>
      <c r="E612" s="81" t="s">
        <v>102</v>
      </c>
      <c r="F612" s="40">
        <v>1</v>
      </c>
      <c r="G612" s="41"/>
      <c r="H612" s="42" t="s">
        <v>57</v>
      </c>
      <c r="I612" s="39">
        <f t="shared" si="17"/>
        <v>0</v>
      </c>
      <c r="J612" s="45" t="s">
        <v>107</v>
      </c>
      <c r="K612" s="100" t="s">
        <v>108</v>
      </c>
      <c r="L612" s="46"/>
    </row>
    <row r="613" spans="2:12" ht="18.75" x14ac:dyDescent="0.25">
      <c r="B613" s="36" t="s">
        <v>1121</v>
      </c>
      <c r="C613" s="37" t="s">
        <v>1159</v>
      </c>
      <c r="D613" s="38" t="s">
        <v>1160</v>
      </c>
      <c r="E613" s="81" t="s">
        <v>102</v>
      </c>
      <c r="F613" s="40">
        <v>1</v>
      </c>
      <c r="G613" s="41"/>
      <c r="H613" s="42" t="s">
        <v>57</v>
      </c>
      <c r="I613" s="39">
        <f t="shared" si="17"/>
        <v>0</v>
      </c>
      <c r="J613" s="45" t="s">
        <v>107</v>
      </c>
      <c r="K613" s="100" t="s">
        <v>108</v>
      </c>
      <c r="L613" s="46"/>
    </row>
    <row r="614" spans="2:12" ht="18.75" x14ac:dyDescent="0.25">
      <c r="B614" s="36" t="s">
        <v>1121</v>
      </c>
      <c r="C614" s="37" t="s">
        <v>1161</v>
      </c>
      <c r="D614" s="38" t="s">
        <v>1162</v>
      </c>
      <c r="E614" s="81" t="s">
        <v>102</v>
      </c>
      <c r="F614" s="40">
        <v>1</v>
      </c>
      <c r="G614" s="41"/>
      <c r="H614" s="42" t="s">
        <v>57</v>
      </c>
      <c r="I614" s="39">
        <f t="shared" si="17"/>
        <v>0</v>
      </c>
      <c r="J614" s="45" t="s">
        <v>107</v>
      </c>
      <c r="K614" s="100" t="s">
        <v>108</v>
      </c>
      <c r="L614" s="46"/>
    </row>
    <row r="615" spans="2:12" ht="18.75" x14ac:dyDescent="0.25">
      <c r="B615" s="36" t="s">
        <v>1121</v>
      </c>
      <c r="C615" s="37" t="s">
        <v>1163</v>
      </c>
      <c r="D615" s="38" t="s">
        <v>1164</v>
      </c>
      <c r="E615" s="81" t="s">
        <v>102</v>
      </c>
      <c r="F615" s="40">
        <v>2</v>
      </c>
      <c r="G615" s="41"/>
      <c r="H615" s="42" t="s">
        <v>57</v>
      </c>
      <c r="I615" s="39">
        <f t="shared" si="17"/>
        <v>0</v>
      </c>
      <c r="J615" s="45" t="s">
        <v>107</v>
      </c>
      <c r="K615" s="100" t="s">
        <v>108</v>
      </c>
      <c r="L615" s="46"/>
    </row>
    <row r="616" spans="2:12" ht="18.75" x14ac:dyDescent="0.25">
      <c r="B616" s="36" t="s">
        <v>1121</v>
      </c>
      <c r="C616" s="37" t="s">
        <v>1165</v>
      </c>
      <c r="D616" s="38" t="s">
        <v>1166</v>
      </c>
      <c r="E616" s="81" t="s">
        <v>102</v>
      </c>
      <c r="F616" s="40">
        <v>1</v>
      </c>
      <c r="G616" s="41"/>
      <c r="H616" s="42" t="s">
        <v>57</v>
      </c>
      <c r="I616" s="39">
        <f t="shared" si="17"/>
        <v>0</v>
      </c>
      <c r="J616" s="45" t="s">
        <v>107</v>
      </c>
      <c r="K616" s="100" t="s">
        <v>108</v>
      </c>
      <c r="L616" s="46"/>
    </row>
    <row r="617" spans="2:12" ht="18.75" x14ac:dyDescent="0.25">
      <c r="B617" s="36" t="s">
        <v>1121</v>
      </c>
      <c r="C617" s="37" t="s">
        <v>1167</v>
      </c>
      <c r="D617" s="38" t="s">
        <v>1168</v>
      </c>
      <c r="E617" s="81" t="s">
        <v>102</v>
      </c>
      <c r="F617" s="40">
        <v>2</v>
      </c>
      <c r="G617" s="41"/>
      <c r="H617" s="42" t="s">
        <v>57</v>
      </c>
      <c r="I617" s="39">
        <f t="shared" si="17"/>
        <v>0</v>
      </c>
      <c r="J617" s="45" t="s">
        <v>107</v>
      </c>
      <c r="K617" s="100" t="s">
        <v>108</v>
      </c>
      <c r="L617" s="46"/>
    </row>
    <row r="618" spans="2:12" ht="168.75" x14ac:dyDescent="0.25">
      <c r="B618" s="36" t="s">
        <v>1169</v>
      </c>
      <c r="C618" s="37"/>
      <c r="D618" s="99" t="s">
        <v>1170</v>
      </c>
      <c r="E618" s="39"/>
      <c r="F618" s="40"/>
      <c r="G618" s="41"/>
      <c r="H618" s="42"/>
      <c r="I618" s="39"/>
      <c r="J618" s="36"/>
      <c r="K618" s="39"/>
      <c r="L618" s="43"/>
    </row>
    <row r="619" spans="2:12" ht="18.75" x14ac:dyDescent="0.25">
      <c r="B619" s="36" t="s">
        <v>1169</v>
      </c>
      <c r="C619" s="37" t="s">
        <v>1171</v>
      </c>
      <c r="D619" s="38" t="s">
        <v>1172</v>
      </c>
      <c r="E619" s="81" t="s">
        <v>102</v>
      </c>
      <c r="F619" s="40">
        <v>2</v>
      </c>
      <c r="G619" s="41"/>
      <c r="H619" s="42" t="s">
        <v>57</v>
      </c>
      <c r="I619" s="39">
        <f>F619*G619</f>
        <v>0</v>
      </c>
      <c r="J619" s="45" t="s">
        <v>107</v>
      </c>
      <c r="K619" s="100" t="s">
        <v>108</v>
      </c>
      <c r="L619" s="46"/>
    </row>
    <row r="620" spans="2:12" ht="112.5" x14ac:dyDescent="0.25">
      <c r="B620" s="36" t="s">
        <v>1173</v>
      </c>
      <c r="C620" s="37"/>
      <c r="D620" s="44" t="s">
        <v>1174</v>
      </c>
      <c r="E620" s="39"/>
      <c r="F620" s="40"/>
      <c r="G620" s="41"/>
      <c r="H620" s="42"/>
      <c r="I620" s="39"/>
      <c r="J620" s="36"/>
      <c r="K620" s="39"/>
      <c r="L620" s="43"/>
    </row>
    <row r="621" spans="2:12" ht="18.75" x14ac:dyDescent="0.25">
      <c r="B621" s="36" t="s">
        <v>1173</v>
      </c>
      <c r="C621" s="37" t="s">
        <v>1175</v>
      </c>
      <c r="D621" s="38" t="s">
        <v>1176</v>
      </c>
      <c r="E621" s="81" t="s">
        <v>102</v>
      </c>
      <c r="F621" s="40">
        <v>1</v>
      </c>
      <c r="G621" s="41"/>
      <c r="H621" s="42" t="s">
        <v>57</v>
      </c>
      <c r="I621" s="39">
        <f t="shared" ref="I621:I635" si="18">F621*G621</f>
        <v>0</v>
      </c>
      <c r="J621" s="45" t="s">
        <v>107</v>
      </c>
      <c r="K621" s="100" t="s">
        <v>108</v>
      </c>
      <c r="L621" s="46"/>
    </row>
    <row r="622" spans="2:12" ht="18.75" x14ac:dyDescent="0.25">
      <c r="B622" s="36" t="s">
        <v>1173</v>
      </c>
      <c r="C622" s="37" t="s">
        <v>1177</v>
      </c>
      <c r="D622" s="38" t="s">
        <v>1178</v>
      </c>
      <c r="E622" s="81" t="s">
        <v>102</v>
      </c>
      <c r="F622" s="40">
        <v>1</v>
      </c>
      <c r="G622" s="41"/>
      <c r="H622" s="42" t="s">
        <v>57</v>
      </c>
      <c r="I622" s="39">
        <f t="shared" si="18"/>
        <v>0</v>
      </c>
      <c r="J622" s="45" t="s">
        <v>107</v>
      </c>
      <c r="K622" s="100" t="s">
        <v>108</v>
      </c>
      <c r="L622" s="46"/>
    </row>
    <row r="623" spans="2:12" ht="18.75" x14ac:dyDescent="0.25">
      <c r="B623" s="36" t="s">
        <v>1173</v>
      </c>
      <c r="C623" s="37" t="s">
        <v>1179</v>
      </c>
      <c r="D623" s="38" t="s">
        <v>1180</v>
      </c>
      <c r="E623" s="81" t="s">
        <v>102</v>
      </c>
      <c r="F623" s="40">
        <v>1</v>
      </c>
      <c r="G623" s="41"/>
      <c r="H623" s="42" t="s">
        <v>57</v>
      </c>
      <c r="I623" s="39">
        <f t="shared" si="18"/>
        <v>0</v>
      </c>
      <c r="J623" s="45" t="s">
        <v>107</v>
      </c>
      <c r="K623" s="100" t="s">
        <v>108</v>
      </c>
      <c r="L623" s="46"/>
    </row>
    <row r="624" spans="2:12" ht="18.75" x14ac:dyDescent="0.25">
      <c r="B624" s="36" t="s">
        <v>1173</v>
      </c>
      <c r="C624" s="37" t="s">
        <v>1181</v>
      </c>
      <c r="D624" s="38" t="s">
        <v>1182</v>
      </c>
      <c r="E624" s="81" t="s">
        <v>102</v>
      </c>
      <c r="F624" s="40">
        <v>1</v>
      </c>
      <c r="G624" s="41"/>
      <c r="H624" s="42" t="s">
        <v>57</v>
      </c>
      <c r="I624" s="39">
        <f t="shared" si="18"/>
        <v>0</v>
      </c>
      <c r="J624" s="45" t="s">
        <v>107</v>
      </c>
      <c r="K624" s="100" t="s">
        <v>108</v>
      </c>
      <c r="L624" s="46"/>
    </row>
    <row r="625" spans="2:12" ht="18.75" x14ac:dyDescent="0.25">
      <c r="B625" s="36" t="s">
        <v>1173</v>
      </c>
      <c r="C625" s="37" t="s">
        <v>1183</v>
      </c>
      <c r="D625" s="38" t="s">
        <v>1184</v>
      </c>
      <c r="E625" s="81" t="s">
        <v>102</v>
      </c>
      <c r="F625" s="40">
        <v>1</v>
      </c>
      <c r="G625" s="41"/>
      <c r="H625" s="42" t="s">
        <v>57</v>
      </c>
      <c r="I625" s="39">
        <f t="shared" si="18"/>
        <v>0</v>
      </c>
      <c r="J625" s="45" t="s">
        <v>107</v>
      </c>
      <c r="K625" s="100" t="s">
        <v>108</v>
      </c>
      <c r="L625" s="46"/>
    </row>
    <row r="626" spans="2:12" ht="18.75" x14ac:dyDescent="0.25">
      <c r="B626" s="36" t="s">
        <v>1173</v>
      </c>
      <c r="C626" s="37" t="s">
        <v>1185</v>
      </c>
      <c r="D626" s="38" t="s">
        <v>1186</v>
      </c>
      <c r="E626" s="81" t="s">
        <v>102</v>
      </c>
      <c r="F626" s="40">
        <v>1</v>
      </c>
      <c r="G626" s="41"/>
      <c r="H626" s="42" t="s">
        <v>57</v>
      </c>
      <c r="I626" s="39">
        <f t="shared" si="18"/>
        <v>0</v>
      </c>
      <c r="J626" s="45" t="s">
        <v>107</v>
      </c>
      <c r="K626" s="100" t="s">
        <v>108</v>
      </c>
      <c r="L626" s="46"/>
    </row>
    <row r="627" spans="2:12" ht="18.75" x14ac:dyDescent="0.25">
      <c r="B627" s="36" t="s">
        <v>1173</v>
      </c>
      <c r="C627" s="37" t="s">
        <v>1187</v>
      </c>
      <c r="D627" s="38" t="s">
        <v>1188</v>
      </c>
      <c r="E627" s="81" t="s">
        <v>102</v>
      </c>
      <c r="F627" s="40">
        <v>1</v>
      </c>
      <c r="G627" s="41"/>
      <c r="H627" s="42" t="s">
        <v>57</v>
      </c>
      <c r="I627" s="39">
        <f t="shared" si="18"/>
        <v>0</v>
      </c>
      <c r="J627" s="45" t="s">
        <v>107</v>
      </c>
      <c r="K627" s="100" t="s">
        <v>108</v>
      </c>
      <c r="L627" s="46"/>
    </row>
    <row r="628" spans="2:12" ht="18.75" x14ac:dyDescent="0.25">
      <c r="B628" s="36" t="s">
        <v>1173</v>
      </c>
      <c r="C628" s="37" t="s">
        <v>1189</v>
      </c>
      <c r="D628" s="38" t="s">
        <v>1190</v>
      </c>
      <c r="E628" s="81" t="s">
        <v>102</v>
      </c>
      <c r="F628" s="40">
        <v>1</v>
      </c>
      <c r="G628" s="41"/>
      <c r="H628" s="42" t="s">
        <v>57</v>
      </c>
      <c r="I628" s="39">
        <f t="shared" si="18"/>
        <v>0</v>
      </c>
      <c r="J628" s="45" t="s">
        <v>107</v>
      </c>
      <c r="K628" s="100" t="s">
        <v>108</v>
      </c>
      <c r="L628" s="46"/>
    </row>
    <row r="629" spans="2:12" ht="18.75" x14ac:dyDescent="0.25">
      <c r="B629" s="36" t="s">
        <v>1173</v>
      </c>
      <c r="C629" s="37" t="s">
        <v>1191</v>
      </c>
      <c r="D629" s="38" t="s">
        <v>1192</v>
      </c>
      <c r="E629" s="81" t="s">
        <v>102</v>
      </c>
      <c r="F629" s="40">
        <v>1</v>
      </c>
      <c r="G629" s="41"/>
      <c r="H629" s="42" t="s">
        <v>57</v>
      </c>
      <c r="I629" s="39">
        <f t="shared" si="18"/>
        <v>0</v>
      </c>
      <c r="J629" s="45" t="s">
        <v>107</v>
      </c>
      <c r="K629" s="100" t="s">
        <v>108</v>
      </c>
      <c r="L629" s="46"/>
    </row>
    <row r="630" spans="2:12" ht="18.75" x14ac:dyDescent="0.25">
      <c r="B630" s="36" t="s">
        <v>1173</v>
      </c>
      <c r="C630" s="37" t="s">
        <v>1193</v>
      </c>
      <c r="D630" s="38" t="s">
        <v>1194</v>
      </c>
      <c r="E630" s="81" t="s">
        <v>102</v>
      </c>
      <c r="F630" s="40">
        <v>1</v>
      </c>
      <c r="G630" s="41"/>
      <c r="H630" s="42" t="s">
        <v>57</v>
      </c>
      <c r="I630" s="39">
        <f t="shared" si="18"/>
        <v>0</v>
      </c>
      <c r="J630" s="45" t="s">
        <v>107</v>
      </c>
      <c r="K630" s="100" t="s">
        <v>108</v>
      </c>
      <c r="L630" s="46"/>
    </row>
    <row r="631" spans="2:12" ht="18.75" x14ac:dyDescent="0.25">
      <c r="B631" s="36" t="s">
        <v>1173</v>
      </c>
      <c r="C631" s="37" t="s">
        <v>1195</v>
      </c>
      <c r="D631" s="38" t="s">
        <v>1196</v>
      </c>
      <c r="E631" s="81" t="s">
        <v>102</v>
      </c>
      <c r="F631" s="40">
        <v>1</v>
      </c>
      <c r="G631" s="41"/>
      <c r="H631" s="42" t="s">
        <v>57</v>
      </c>
      <c r="I631" s="39">
        <f t="shared" si="18"/>
        <v>0</v>
      </c>
      <c r="J631" s="45" t="s">
        <v>107</v>
      </c>
      <c r="K631" s="100" t="s">
        <v>108</v>
      </c>
      <c r="L631" s="46"/>
    </row>
    <row r="632" spans="2:12" ht="18.75" x14ac:dyDescent="0.25">
      <c r="B632" s="36" t="s">
        <v>1173</v>
      </c>
      <c r="C632" s="37" t="s">
        <v>1197</v>
      </c>
      <c r="D632" s="38" t="s">
        <v>1198</v>
      </c>
      <c r="E632" s="81" t="s">
        <v>102</v>
      </c>
      <c r="F632" s="40">
        <v>1</v>
      </c>
      <c r="G632" s="41"/>
      <c r="H632" s="42" t="s">
        <v>57</v>
      </c>
      <c r="I632" s="39">
        <f t="shared" si="18"/>
        <v>0</v>
      </c>
      <c r="J632" s="45" t="s">
        <v>107</v>
      </c>
      <c r="K632" s="100" t="s">
        <v>108</v>
      </c>
      <c r="L632" s="46"/>
    </row>
    <row r="633" spans="2:12" ht="18.75" x14ac:dyDescent="0.25">
      <c r="B633" s="36" t="s">
        <v>1173</v>
      </c>
      <c r="C633" s="37" t="s">
        <v>1199</v>
      </c>
      <c r="D633" s="38" t="s">
        <v>1200</v>
      </c>
      <c r="E633" s="81" t="s">
        <v>102</v>
      </c>
      <c r="F633" s="40">
        <v>1</v>
      </c>
      <c r="G633" s="41"/>
      <c r="H633" s="42" t="s">
        <v>57</v>
      </c>
      <c r="I633" s="39">
        <f t="shared" si="18"/>
        <v>0</v>
      </c>
      <c r="J633" s="45" t="s">
        <v>107</v>
      </c>
      <c r="K633" s="100" t="s">
        <v>108</v>
      </c>
      <c r="L633" s="46"/>
    </row>
    <row r="634" spans="2:12" ht="18.75" x14ac:dyDescent="0.25">
      <c r="B634" s="36" t="s">
        <v>1173</v>
      </c>
      <c r="C634" s="37" t="s">
        <v>1201</v>
      </c>
      <c r="D634" s="38" t="s">
        <v>1202</v>
      </c>
      <c r="E634" s="81" t="s">
        <v>102</v>
      </c>
      <c r="F634" s="40">
        <v>1</v>
      </c>
      <c r="G634" s="41"/>
      <c r="H634" s="42" t="s">
        <v>57</v>
      </c>
      <c r="I634" s="39">
        <f t="shared" si="18"/>
        <v>0</v>
      </c>
      <c r="J634" s="45" t="s">
        <v>107</v>
      </c>
      <c r="K634" s="100" t="s">
        <v>108</v>
      </c>
      <c r="L634" s="46"/>
    </row>
    <row r="635" spans="2:12" ht="18.75" x14ac:dyDescent="0.25">
      <c r="B635" s="36" t="s">
        <v>1173</v>
      </c>
      <c r="C635" s="37" t="s">
        <v>1203</v>
      </c>
      <c r="D635" s="38" t="s">
        <v>1204</v>
      </c>
      <c r="E635" s="81" t="s">
        <v>102</v>
      </c>
      <c r="F635" s="40">
        <v>1</v>
      </c>
      <c r="G635" s="41"/>
      <c r="H635" s="42" t="s">
        <v>57</v>
      </c>
      <c r="I635" s="39">
        <f t="shared" si="18"/>
        <v>0</v>
      </c>
      <c r="J635" s="45" t="s">
        <v>107</v>
      </c>
      <c r="K635" s="100" t="s">
        <v>108</v>
      </c>
      <c r="L635" s="46"/>
    </row>
    <row r="636" spans="2:12" ht="187.5" x14ac:dyDescent="0.25">
      <c r="B636" s="36" t="s">
        <v>1205</v>
      </c>
      <c r="C636" s="37"/>
      <c r="D636" s="99" t="s">
        <v>1206</v>
      </c>
      <c r="E636" s="39"/>
      <c r="F636" s="40"/>
      <c r="G636" s="41"/>
      <c r="H636" s="42"/>
      <c r="I636" s="39"/>
      <c r="J636" s="36"/>
      <c r="K636" s="39"/>
      <c r="L636" s="43"/>
    </row>
    <row r="637" spans="2:12" ht="18.75" x14ac:dyDescent="0.25">
      <c r="B637" s="36" t="s">
        <v>1205</v>
      </c>
      <c r="C637" s="37" t="s">
        <v>1207</v>
      </c>
      <c r="D637" s="38" t="s">
        <v>1208</v>
      </c>
      <c r="E637" s="81" t="s">
        <v>102</v>
      </c>
      <c r="F637" s="40">
        <v>5</v>
      </c>
      <c r="G637" s="41"/>
      <c r="H637" s="42" t="s">
        <v>57</v>
      </c>
      <c r="I637" s="39">
        <f>F637*G637</f>
        <v>0</v>
      </c>
      <c r="J637" s="90">
        <v>2074</v>
      </c>
      <c r="K637" s="100" t="s">
        <v>30</v>
      </c>
      <c r="L637" s="91"/>
    </row>
    <row r="638" spans="2:12" ht="18.75" x14ac:dyDescent="0.25">
      <c r="B638" s="36" t="s">
        <v>1205</v>
      </c>
      <c r="C638" s="37" t="s">
        <v>1209</v>
      </c>
      <c r="D638" s="38" t="s">
        <v>1210</v>
      </c>
      <c r="E638" s="81" t="s">
        <v>102</v>
      </c>
      <c r="F638" s="40">
        <v>3</v>
      </c>
      <c r="G638" s="41"/>
      <c r="H638" s="42" t="s">
        <v>57</v>
      </c>
      <c r="I638" s="39">
        <f>F638*G638</f>
        <v>0</v>
      </c>
      <c r="J638" s="90">
        <v>2074</v>
      </c>
      <c r="K638" s="100" t="s">
        <v>30</v>
      </c>
      <c r="L638" s="91"/>
    </row>
    <row r="639" spans="2:12" ht="18.75" x14ac:dyDescent="0.25">
      <c r="B639" s="36" t="s">
        <v>1205</v>
      </c>
      <c r="C639" s="37" t="s">
        <v>1211</v>
      </c>
      <c r="D639" s="38" t="s">
        <v>1212</v>
      </c>
      <c r="E639" s="81" t="s">
        <v>102</v>
      </c>
      <c r="F639" s="40">
        <v>1</v>
      </c>
      <c r="G639" s="41"/>
      <c r="H639" s="42" t="s">
        <v>57</v>
      </c>
      <c r="I639" s="39">
        <f>F639*G639</f>
        <v>0</v>
      </c>
      <c r="J639" s="90">
        <v>2074</v>
      </c>
      <c r="K639" s="100" t="s">
        <v>30</v>
      </c>
      <c r="L639" s="91"/>
    </row>
    <row r="640" spans="2:12" ht="206.25" x14ac:dyDescent="0.25">
      <c r="B640" s="36" t="s">
        <v>1213</v>
      </c>
      <c r="C640" s="37"/>
      <c r="D640" s="44" t="s">
        <v>1214</v>
      </c>
      <c r="E640" s="39"/>
      <c r="F640" s="40"/>
      <c r="G640" s="41"/>
      <c r="H640" s="42"/>
      <c r="I640" s="39"/>
      <c r="J640" s="36"/>
      <c r="K640" s="39"/>
      <c r="L640" s="43"/>
    </row>
    <row r="641" spans="2:12" ht="37.5" x14ac:dyDescent="0.25">
      <c r="B641" s="36" t="s">
        <v>1213</v>
      </c>
      <c r="C641" s="37" t="s">
        <v>1215</v>
      </c>
      <c r="D641" s="38" t="s">
        <v>1216</v>
      </c>
      <c r="E641" s="81" t="s">
        <v>1217</v>
      </c>
      <c r="F641" s="40">
        <v>7300</v>
      </c>
      <c r="G641" s="41"/>
      <c r="H641" s="42" t="s">
        <v>57</v>
      </c>
      <c r="I641" s="39">
        <f>F641*G641</f>
        <v>0</v>
      </c>
      <c r="J641" s="90">
        <v>2079</v>
      </c>
      <c r="K641" s="100" t="s">
        <v>30</v>
      </c>
      <c r="L641" s="91"/>
    </row>
    <row r="642" spans="2:12" ht="18.75" x14ac:dyDescent="0.25">
      <c r="B642" s="36" t="s">
        <v>1213</v>
      </c>
      <c r="C642" s="37" t="s">
        <v>1218</v>
      </c>
      <c r="D642" s="38" t="s">
        <v>1219</v>
      </c>
      <c r="E642" s="81" t="s">
        <v>1217</v>
      </c>
      <c r="F642" s="40">
        <v>850</v>
      </c>
      <c r="G642" s="41"/>
      <c r="H642" s="42" t="s">
        <v>57</v>
      </c>
      <c r="I642" s="39">
        <f>F642*G642</f>
        <v>0</v>
      </c>
      <c r="J642" s="90">
        <v>2079</v>
      </c>
      <c r="K642" s="100" t="s">
        <v>30</v>
      </c>
      <c r="L642" s="91"/>
    </row>
    <row r="643" spans="2:12" ht="93.75" x14ac:dyDescent="0.25">
      <c r="B643" s="36" t="s">
        <v>1220</v>
      </c>
      <c r="C643" s="37"/>
      <c r="D643" s="44" t="s">
        <v>1221</v>
      </c>
      <c r="E643" s="39"/>
      <c r="F643" s="40"/>
      <c r="G643" s="41"/>
      <c r="H643" s="42"/>
      <c r="I643" s="39"/>
      <c r="J643" s="45"/>
      <c r="K643" s="100"/>
      <c r="L643" s="46"/>
    </row>
    <row r="644" spans="2:12" ht="75" x14ac:dyDescent="0.25">
      <c r="B644" s="36" t="s">
        <v>1220</v>
      </c>
      <c r="C644" s="37" t="s">
        <v>1222</v>
      </c>
      <c r="D644" s="38" t="s">
        <v>1223</v>
      </c>
      <c r="E644" s="81" t="s">
        <v>29</v>
      </c>
      <c r="F644" s="40">
        <v>620</v>
      </c>
      <c r="G644" s="41"/>
      <c r="H644" s="42" t="s">
        <v>57</v>
      </c>
      <c r="I644" s="39">
        <f>F644*G644</f>
        <v>0</v>
      </c>
      <c r="J644" s="45">
        <v>2075</v>
      </c>
      <c r="K644" s="100" t="s">
        <v>30</v>
      </c>
      <c r="L644" s="46"/>
    </row>
    <row r="645" spans="2:12" ht="93.75" x14ac:dyDescent="0.25">
      <c r="B645" s="36" t="s">
        <v>1220</v>
      </c>
      <c r="C645" s="37" t="s">
        <v>1224</v>
      </c>
      <c r="D645" s="38" t="s">
        <v>1225</v>
      </c>
      <c r="E645" s="81" t="s">
        <v>29</v>
      </c>
      <c r="F645" s="40">
        <v>970</v>
      </c>
      <c r="G645" s="41"/>
      <c r="H645" s="42" t="s">
        <v>57</v>
      </c>
      <c r="I645" s="39">
        <f>F645*G645</f>
        <v>0</v>
      </c>
      <c r="J645" s="45">
        <v>2075</v>
      </c>
      <c r="K645" s="100" t="s">
        <v>30</v>
      </c>
      <c r="L645" s="46"/>
    </row>
    <row r="646" spans="2:12" ht="56.25" x14ac:dyDescent="0.25">
      <c r="B646" s="36" t="s">
        <v>1220</v>
      </c>
      <c r="C646" s="37" t="s">
        <v>1226</v>
      </c>
      <c r="D646" s="38" t="s">
        <v>1227</v>
      </c>
      <c r="E646" s="81" t="s">
        <v>29</v>
      </c>
      <c r="F646" s="40">
        <v>35</v>
      </c>
      <c r="G646" s="41"/>
      <c r="H646" s="42" t="s">
        <v>57</v>
      </c>
      <c r="I646" s="39">
        <f>F646*G646</f>
        <v>0</v>
      </c>
      <c r="J646" s="45">
        <v>2075</v>
      </c>
      <c r="K646" s="100" t="s">
        <v>30</v>
      </c>
      <c r="L646" s="46"/>
    </row>
    <row r="647" spans="2:12" ht="131.25" x14ac:dyDescent="0.25">
      <c r="B647" s="36" t="s">
        <v>1228</v>
      </c>
      <c r="C647" s="37"/>
      <c r="D647" s="44" t="s">
        <v>1229</v>
      </c>
      <c r="E647" s="39"/>
      <c r="F647" s="40"/>
      <c r="G647" s="41"/>
      <c r="H647" s="42"/>
      <c r="I647" s="39"/>
      <c r="J647" s="36"/>
      <c r="K647" s="39"/>
      <c r="L647" s="43"/>
    </row>
    <row r="648" spans="2:12" ht="18.75" x14ac:dyDescent="0.25">
      <c r="B648" s="36" t="s">
        <v>1228</v>
      </c>
      <c r="C648" s="37"/>
      <c r="D648" s="44" t="s">
        <v>1230</v>
      </c>
      <c r="E648" s="39"/>
      <c r="F648" s="40"/>
      <c r="G648" s="41"/>
      <c r="H648" s="42"/>
      <c r="I648" s="39"/>
      <c r="J648" s="36"/>
      <c r="K648" s="39"/>
      <c r="L648" s="43"/>
    </row>
    <row r="649" spans="2:12" ht="18.75" x14ac:dyDescent="0.25">
      <c r="B649" s="36" t="s">
        <v>1228</v>
      </c>
      <c r="C649" s="37" t="s">
        <v>1231</v>
      </c>
      <c r="D649" s="101" t="s">
        <v>1232</v>
      </c>
      <c r="E649" s="81" t="s">
        <v>102</v>
      </c>
      <c r="F649" s="40">
        <v>4</v>
      </c>
      <c r="G649" s="41"/>
      <c r="H649" s="42" t="s">
        <v>57</v>
      </c>
      <c r="I649" s="39">
        <f t="shared" ref="I649:I654" si="19">F649*G649</f>
        <v>0</v>
      </c>
      <c r="J649" s="45">
        <v>2073</v>
      </c>
      <c r="K649" s="100" t="s">
        <v>30</v>
      </c>
      <c r="L649" s="46"/>
    </row>
    <row r="650" spans="2:12" ht="18.75" x14ac:dyDescent="0.25">
      <c r="B650" s="36" t="s">
        <v>1228</v>
      </c>
      <c r="C650" s="37" t="s">
        <v>1233</v>
      </c>
      <c r="D650" s="101" t="s">
        <v>1234</v>
      </c>
      <c r="E650" s="81" t="s">
        <v>102</v>
      </c>
      <c r="F650" s="40">
        <v>26</v>
      </c>
      <c r="G650" s="41"/>
      <c r="H650" s="42" t="s">
        <v>57</v>
      </c>
      <c r="I650" s="39">
        <f t="shared" si="19"/>
        <v>0</v>
      </c>
      <c r="J650" s="45">
        <v>2073</v>
      </c>
      <c r="K650" s="100" t="s">
        <v>30</v>
      </c>
      <c r="L650" s="46"/>
    </row>
    <row r="651" spans="2:12" ht="18.75" x14ac:dyDescent="0.25">
      <c r="B651" s="36" t="s">
        <v>1228</v>
      </c>
      <c r="C651" s="37" t="s">
        <v>1235</v>
      </c>
      <c r="D651" s="101" t="s">
        <v>1236</v>
      </c>
      <c r="E651" s="81" t="s">
        <v>102</v>
      </c>
      <c r="F651" s="40">
        <v>7</v>
      </c>
      <c r="G651" s="41"/>
      <c r="H651" s="42" t="s">
        <v>57</v>
      </c>
      <c r="I651" s="39">
        <f t="shared" si="19"/>
        <v>0</v>
      </c>
      <c r="J651" s="45">
        <v>2073</v>
      </c>
      <c r="K651" s="100" t="s">
        <v>30</v>
      </c>
      <c r="L651" s="46"/>
    </row>
    <row r="652" spans="2:12" ht="18.75" x14ac:dyDescent="0.25">
      <c r="B652" s="36" t="s">
        <v>1228</v>
      </c>
      <c r="C652" s="37" t="s">
        <v>1237</v>
      </c>
      <c r="D652" s="101" t="s">
        <v>1238</v>
      </c>
      <c r="E652" s="81" t="s">
        <v>102</v>
      </c>
      <c r="F652" s="40">
        <v>1</v>
      </c>
      <c r="G652" s="41"/>
      <c r="H652" s="42" t="s">
        <v>57</v>
      </c>
      <c r="I652" s="39">
        <f t="shared" si="19"/>
        <v>0</v>
      </c>
      <c r="J652" s="45">
        <v>2073</v>
      </c>
      <c r="K652" s="100" t="s">
        <v>30</v>
      </c>
      <c r="L652" s="46"/>
    </row>
    <row r="653" spans="2:12" ht="18.75" x14ac:dyDescent="0.25">
      <c r="B653" s="36" t="s">
        <v>1228</v>
      </c>
      <c r="C653" s="37" t="s">
        <v>1239</v>
      </c>
      <c r="D653" s="101" t="s">
        <v>1240</v>
      </c>
      <c r="E653" s="81" t="s">
        <v>102</v>
      </c>
      <c r="F653" s="40">
        <v>3</v>
      </c>
      <c r="G653" s="41"/>
      <c r="H653" s="42" t="s">
        <v>57</v>
      </c>
      <c r="I653" s="39">
        <f t="shared" si="19"/>
        <v>0</v>
      </c>
      <c r="J653" s="45">
        <v>2073</v>
      </c>
      <c r="K653" s="100" t="s">
        <v>30</v>
      </c>
      <c r="L653" s="46"/>
    </row>
    <row r="654" spans="2:12" ht="18.75" x14ac:dyDescent="0.25">
      <c r="B654" s="36" t="s">
        <v>1228</v>
      </c>
      <c r="C654" s="37" t="s">
        <v>1241</v>
      </c>
      <c r="D654" s="101" t="s">
        <v>1242</v>
      </c>
      <c r="E654" s="81" t="s">
        <v>102</v>
      </c>
      <c r="F654" s="40">
        <v>4</v>
      </c>
      <c r="G654" s="41"/>
      <c r="H654" s="42" t="s">
        <v>57</v>
      </c>
      <c r="I654" s="39">
        <f t="shared" si="19"/>
        <v>0</v>
      </c>
      <c r="J654" s="45">
        <v>2073</v>
      </c>
      <c r="K654" s="100" t="s">
        <v>30</v>
      </c>
      <c r="L654" s="46"/>
    </row>
    <row r="655" spans="2:12" ht="18.75" x14ac:dyDescent="0.25">
      <c r="B655" s="36" t="s">
        <v>1228</v>
      </c>
      <c r="C655" s="37"/>
      <c r="D655" s="44" t="s">
        <v>1243</v>
      </c>
      <c r="E655" s="81"/>
      <c r="F655" s="40"/>
      <c r="G655" s="41"/>
      <c r="H655" s="42"/>
      <c r="I655" s="39"/>
      <c r="J655" s="36"/>
      <c r="K655" s="39"/>
      <c r="L655" s="43"/>
    </row>
    <row r="656" spans="2:12" ht="18.75" x14ac:dyDescent="0.25">
      <c r="B656" s="36" t="s">
        <v>1228</v>
      </c>
      <c r="C656" s="37" t="s">
        <v>1244</v>
      </c>
      <c r="D656" s="101" t="s">
        <v>1245</v>
      </c>
      <c r="E656" s="81" t="s">
        <v>102</v>
      </c>
      <c r="F656" s="40">
        <v>10</v>
      </c>
      <c r="G656" s="41"/>
      <c r="H656" s="42" t="s">
        <v>57</v>
      </c>
      <c r="I656" s="39">
        <f>F656*G656</f>
        <v>0</v>
      </c>
      <c r="J656" s="45">
        <v>2073</v>
      </c>
      <c r="K656" s="100" t="s">
        <v>30</v>
      </c>
      <c r="L656" s="46"/>
    </row>
    <row r="657" spans="2:12" ht="18.75" x14ac:dyDescent="0.25">
      <c r="B657" s="36" t="s">
        <v>1228</v>
      </c>
      <c r="C657" s="37" t="s">
        <v>1246</v>
      </c>
      <c r="D657" s="101" t="s">
        <v>1247</v>
      </c>
      <c r="E657" s="81" t="s">
        <v>102</v>
      </c>
      <c r="F657" s="40">
        <v>13</v>
      </c>
      <c r="G657" s="41"/>
      <c r="H657" s="42" t="s">
        <v>57</v>
      </c>
      <c r="I657" s="39">
        <f>F657*G657</f>
        <v>0</v>
      </c>
      <c r="J657" s="45">
        <v>2073</v>
      </c>
      <c r="K657" s="100" t="s">
        <v>30</v>
      </c>
      <c r="L657" s="46"/>
    </row>
    <row r="658" spans="2:12" ht="18.75" x14ac:dyDescent="0.25">
      <c r="B658" s="36" t="s">
        <v>1228</v>
      </c>
      <c r="C658" s="37" t="s">
        <v>1248</v>
      </c>
      <c r="D658" s="101" t="s">
        <v>1249</v>
      </c>
      <c r="E658" s="81" t="s">
        <v>102</v>
      </c>
      <c r="F658" s="40">
        <v>13</v>
      </c>
      <c r="G658" s="41"/>
      <c r="H658" s="42" t="s">
        <v>57</v>
      </c>
      <c r="I658" s="39">
        <f>F658*G658</f>
        <v>0</v>
      </c>
      <c r="J658" s="45">
        <v>2073</v>
      </c>
      <c r="K658" s="100" t="s">
        <v>30</v>
      </c>
      <c r="L658" s="46"/>
    </row>
    <row r="659" spans="2:12" ht="18.75" x14ac:dyDescent="0.25">
      <c r="B659" s="36" t="s">
        <v>1228</v>
      </c>
      <c r="C659" s="37"/>
      <c r="D659" s="44" t="s">
        <v>1250</v>
      </c>
      <c r="E659" s="81"/>
      <c r="F659" s="40"/>
      <c r="G659" s="41"/>
      <c r="H659" s="42"/>
      <c r="I659" s="39"/>
      <c r="J659" s="36"/>
      <c r="K659" s="39"/>
      <c r="L659" s="43"/>
    </row>
    <row r="660" spans="2:12" ht="18.75" x14ac:dyDescent="0.25">
      <c r="B660" s="36" t="s">
        <v>1228</v>
      </c>
      <c r="C660" s="37" t="s">
        <v>1251</v>
      </c>
      <c r="D660" s="38" t="s">
        <v>1252</v>
      </c>
      <c r="E660" s="81" t="s">
        <v>102</v>
      </c>
      <c r="F660" s="40">
        <v>6</v>
      </c>
      <c r="G660" s="41"/>
      <c r="H660" s="42" t="s">
        <v>57</v>
      </c>
      <c r="I660" s="39">
        <f>F660*G660</f>
        <v>0</v>
      </c>
      <c r="J660" s="45">
        <v>2073</v>
      </c>
      <c r="K660" s="100" t="s">
        <v>30</v>
      </c>
      <c r="L660" s="46"/>
    </row>
    <row r="661" spans="2:12" ht="18.75" x14ac:dyDescent="0.25">
      <c r="B661" s="36" t="s">
        <v>1228</v>
      </c>
      <c r="C661" s="37" t="s">
        <v>1253</v>
      </c>
      <c r="D661" s="38" t="s">
        <v>1254</v>
      </c>
      <c r="E661" s="81" t="s">
        <v>102</v>
      </c>
      <c r="F661" s="40">
        <v>2</v>
      </c>
      <c r="G661" s="41"/>
      <c r="H661" s="42" t="s">
        <v>57</v>
      </c>
      <c r="I661" s="39">
        <f>F661*G661</f>
        <v>0</v>
      </c>
      <c r="J661" s="45">
        <v>2073</v>
      </c>
      <c r="K661" s="100" t="s">
        <v>30</v>
      </c>
      <c r="L661" s="46"/>
    </row>
    <row r="662" spans="2:12" ht="18.75" x14ac:dyDescent="0.25">
      <c r="B662" s="36" t="s">
        <v>1228</v>
      </c>
      <c r="C662" s="37" t="s">
        <v>1255</v>
      </c>
      <c r="D662" s="38" t="s">
        <v>1256</v>
      </c>
      <c r="E662" s="81" t="s">
        <v>102</v>
      </c>
      <c r="F662" s="40">
        <v>1</v>
      </c>
      <c r="G662" s="41"/>
      <c r="H662" s="42" t="s">
        <v>57</v>
      </c>
      <c r="I662" s="39">
        <f>F662*G662</f>
        <v>0</v>
      </c>
      <c r="J662" s="45">
        <v>2073</v>
      </c>
      <c r="K662" s="100" t="s">
        <v>30</v>
      </c>
      <c r="L662" s="46"/>
    </row>
    <row r="663" spans="2:12" ht="18.75" x14ac:dyDescent="0.25">
      <c r="B663" s="36" t="s">
        <v>1228</v>
      </c>
      <c r="C663" s="37" t="s">
        <v>1257</v>
      </c>
      <c r="D663" s="38" t="s">
        <v>1258</v>
      </c>
      <c r="E663" s="81" t="s">
        <v>102</v>
      </c>
      <c r="F663" s="40">
        <v>1</v>
      </c>
      <c r="G663" s="41"/>
      <c r="H663" s="42" t="s">
        <v>57</v>
      </c>
      <c r="I663" s="39">
        <f>F663*G663</f>
        <v>0</v>
      </c>
      <c r="J663" s="45">
        <v>2073</v>
      </c>
      <c r="K663" s="100" t="s">
        <v>30</v>
      </c>
      <c r="L663" s="46"/>
    </row>
    <row r="664" spans="2:12" ht="18.75" x14ac:dyDescent="0.25">
      <c r="B664" s="36" t="s">
        <v>1228</v>
      </c>
      <c r="C664" s="37" t="s">
        <v>1259</v>
      </c>
      <c r="D664" s="38" t="s">
        <v>1260</v>
      </c>
      <c r="E664" s="81" t="s">
        <v>102</v>
      </c>
      <c r="F664" s="40">
        <v>2</v>
      </c>
      <c r="G664" s="41"/>
      <c r="H664" s="42" t="s">
        <v>57</v>
      </c>
      <c r="I664" s="39">
        <f>F664*G664</f>
        <v>0</v>
      </c>
      <c r="J664" s="45">
        <v>2073</v>
      </c>
      <c r="K664" s="100" t="s">
        <v>30</v>
      </c>
      <c r="L664" s="46"/>
    </row>
    <row r="665" spans="2:12" ht="18.75" x14ac:dyDescent="0.25">
      <c r="B665" s="36" t="s">
        <v>1228</v>
      </c>
      <c r="C665" s="37"/>
      <c r="D665" s="44" t="s">
        <v>1261</v>
      </c>
      <c r="E665" s="81"/>
      <c r="F665" s="40"/>
      <c r="G665" s="41"/>
      <c r="H665" s="42"/>
      <c r="I665" s="39"/>
      <c r="J665" s="36"/>
      <c r="K665" s="39"/>
      <c r="L665" s="43"/>
    </row>
    <row r="666" spans="2:12" ht="18.75" x14ac:dyDescent="0.25">
      <c r="B666" s="36" t="s">
        <v>1228</v>
      </c>
      <c r="C666" s="37" t="s">
        <v>1262</v>
      </c>
      <c r="D666" s="38" t="s">
        <v>1263</v>
      </c>
      <c r="E666" s="81" t="s">
        <v>102</v>
      </c>
      <c r="F666" s="40">
        <v>6</v>
      </c>
      <c r="G666" s="41"/>
      <c r="H666" s="42" t="s">
        <v>57</v>
      </c>
      <c r="I666" s="39">
        <f>F666*G666</f>
        <v>0</v>
      </c>
      <c r="J666" s="45">
        <v>2073</v>
      </c>
      <c r="K666" s="100" t="s">
        <v>30</v>
      </c>
      <c r="L666" s="46"/>
    </row>
    <row r="667" spans="2:12" ht="18.75" x14ac:dyDescent="0.25">
      <c r="B667" s="36" t="s">
        <v>1228</v>
      </c>
      <c r="C667" s="37" t="s">
        <v>1264</v>
      </c>
      <c r="D667" s="38" t="s">
        <v>1265</v>
      </c>
      <c r="E667" s="81" t="s">
        <v>102</v>
      </c>
      <c r="F667" s="40">
        <v>3</v>
      </c>
      <c r="G667" s="41"/>
      <c r="H667" s="42" t="s">
        <v>57</v>
      </c>
      <c r="I667" s="39">
        <f>F667*G667</f>
        <v>0</v>
      </c>
      <c r="J667" s="45">
        <v>2073</v>
      </c>
      <c r="K667" s="100" t="s">
        <v>30</v>
      </c>
      <c r="L667" s="46"/>
    </row>
    <row r="668" spans="2:12" ht="18.75" x14ac:dyDescent="0.25">
      <c r="B668" s="36" t="s">
        <v>1228</v>
      </c>
      <c r="C668" s="37" t="s">
        <v>1266</v>
      </c>
      <c r="D668" s="38" t="s">
        <v>1267</v>
      </c>
      <c r="E668" s="81" t="s">
        <v>102</v>
      </c>
      <c r="F668" s="40">
        <v>1</v>
      </c>
      <c r="G668" s="41"/>
      <c r="H668" s="42" t="s">
        <v>57</v>
      </c>
      <c r="I668" s="39">
        <f>F668*G668</f>
        <v>0</v>
      </c>
      <c r="J668" s="45">
        <v>2073</v>
      </c>
      <c r="K668" s="100" t="s">
        <v>30</v>
      </c>
      <c r="L668" s="46"/>
    </row>
    <row r="669" spans="2:12" ht="18.75" x14ac:dyDescent="0.25">
      <c r="B669" s="36" t="s">
        <v>1228</v>
      </c>
      <c r="C669" s="37" t="s">
        <v>1268</v>
      </c>
      <c r="D669" s="38" t="s">
        <v>1269</v>
      </c>
      <c r="E669" s="81" t="s">
        <v>102</v>
      </c>
      <c r="F669" s="40">
        <v>2</v>
      </c>
      <c r="G669" s="41"/>
      <c r="H669" s="42" t="s">
        <v>57</v>
      </c>
      <c r="I669" s="39">
        <f>F669*G669</f>
        <v>0</v>
      </c>
      <c r="J669" s="36"/>
      <c r="K669" s="39"/>
      <c r="L669" s="43"/>
    </row>
    <row r="670" spans="2:12" ht="18.75" x14ac:dyDescent="0.25">
      <c r="B670" s="36" t="s">
        <v>1228</v>
      </c>
      <c r="C670" s="37"/>
      <c r="D670" s="44" t="s">
        <v>1270</v>
      </c>
      <c r="E670" s="81"/>
      <c r="F670" s="40"/>
      <c r="G670" s="41"/>
      <c r="H670" s="42"/>
      <c r="I670" s="39"/>
      <c r="J670" s="36"/>
      <c r="K670" s="39"/>
      <c r="L670" s="43"/>
    </row>
    <row r="671" spans="2:12" ht="18.75" x14ac:dyDescent="0.25">
      <c r="B671" s="36" t="s">
        <v>1228</v>
      </c>
      <c r="C671" s="37" t="s">
        <v>1271</v>
      </c>
      <c r="D671" s="38" t="s">
        <v>1272</v>
      </c>
      <c r="E671" s="81" t="s">
        <v>102</v>
      </c>
      <c r="F671" s="40">
        <v>3</v>
      </c>
      <c r="G671" s="41"/>
      <c r="H671" s="42" t="s">
        <v>57</v>
      </c>
      <c r="I671" s="39">
        <f>F671*G671</f>
        <v>0</v>
      </c>
      <c r="J671" s="45">
        <v>2073</v>
      </c>
      <c r="K671" s="100" t="s">
        <v>30</v>
      </c>
      <c r="L671" s="46"/>
    </row>
    <row r="672" spans="2:12" ht="18.75" x14ac:dyDescent="0.25">
      <c r="B672" s="36" t="s">
        <v>1228</v>
      </c>
      <c r="C672" s="37" t="s">
        <v>1273</v>
      </c>
      <c r="D672" s="38" t="s">
        <v>1274</v>
      </c>
      <c r="E672" s="81" t="s">
        <v>102</v>
      </c>
      <c r="F672" s="40">
        <v>1</v>
      </c>
      <c r="G672" s="41"/>
      <c r="H672" s="42" t="s">
        <v>57</v>
      </c>
      <c r="I672" s="39">
        <f>F672*G672</f>
        <v>0</v>
      </c>
      <c r="J672" s="45">
        <v>2073</v>
      </c>
      <c r="K672" s="100" t="s">
        <v>30</v>
      </c>
      <c r="L672" s="46"/>
    </row>
    <row r="673" spans="2:12" ht="18.75" x14ac:dyDescent="0.25">
      <c r="B673" s="36" t="s">
        <v>1228</v>
      </c>
      <c r="C673" s="37"/>
      <c r="D673" s="44" t="s">
        <v>1275</v>
      </c>
      <c r="E673" s="81"/>
      <c r="F673" s="40"/>
      <c r="G673" s="41"/>
      <c r="H673" s="42"/>
      <c r="I673" s="39"/>
      <c r="J673" s="36"/>
      <c r="K673" s="39"/>
      <c r="L673" s="43"/>
    </row>
    <row r="674" spans="2:12" ht="18.75" x14ac:dyDescent="0.25">
      <c r="B674" s="36" t="s">
        <v>1228</v>
      </c>
      <c r="C674" s="37" t="s">
        <v>1276</v>
      </c>
      <c r="D674" s="38" t="s">
        <v>1277</v>
      </c>
      <c r="E674" s="81" t="s">
        <v>102</v>
      </c>
      <c r="F674" s="40">
        <v>3</v>
      </c>
      <c r="G674" s="41"/>
      <c r="H674" s="42" t="s">
        <v>57</v>
      </c>
      <c r="I674" s="39">
        <f>F674*G674</f>
        <v>0</v>
      </c>
      <c r="J674" s="45">
        <v>2073</v>
      </c>
      <c r="K674" s="100" t="s">
        <v>30</v>
      </c>
      <c r="L674" s="46"/>
    </row>
    <row r="675" spans="2:12" ht="18.75" x14ac:dyDescent="0.25">
      <c r="B675" s="36" t="s">
        <v>1228</v>
      </c>
      <c r="C675" s="37" t="s">
        <v>1278</v>
      </c>
      <c r="D675" s="38" t="s">
        <v>1279</v>
      </c>
      <c r="E675" s="81" t="s">
        <v>102</v>
      </c>
      <c r="F675" s="40">
        <v>1</v>
      </c>
      <c r="G675" s="41"/>
      <c r="H675" s="42" t="s">
        <v>57</v>
      </c>
      <c r="I675" s="39">
        <f>F675*G675</f>
        <v>0</v>
      </c>
      <c r="J675" s="45">
        <v>2073</v>
      </c>
      <c r="K675" s="100" t="s">
        <v>30</v>
      </c>
      <c r="L675" s="46"/>
    </row>
    <row r="676" spans="2:12" ht="18.75" x14ac:dyDescent="0.25">
      <c r="B676" s="36" t="s">
        <v>1228</v>
      </c>
      <c r="C676" s="37"/>
      <c r="D676" s="44" t="s">
        <v>1280</v>
      </c>
      <c r="E676" s="81"/>
      <c r="F676" s="40"/>
      <c r="G676" s="41"/>
      <c r="H676" s="42"/>
      <c r="I676" s="39"/>
      <c r="J676" s="36"/>
      <c r="K676" s="39"/>
      <c r="L676" s="43"/>
    </row>
    <row r="677" spans="2:12" ht="18.75" x14ac:dyDescent="0.25">
      <c r="B677" s="36" t="s">
        <v>1228</v>
      </c>
      <c r="C677" s="37" t="s">
        <v>1281</v>
      </c>
      <c r="D677" s="38" t="s">
        <v>1282</v>
      </c>
      <c r="E677" s="81" t="s">
        <v>102</v>
      </c>
      <c r="F677" s="40">
        <v>10</v>
      </c>
      <c r="G677" s="41"/>
      <c r="H677" s="42" t="s">
        <v>57</v>
      </c>
      <c r="I677" s="39">
        <f t="shared" ref="I677:I684" si="20">F677*G677</f>
        <v>0</v>
      </c>
      <c r="J677" s="45">
        <v>2073</v>
      </c>
      <c r="K677" s="100" t="s">
        <v>30</v>
      </c>
      <c r="L677" s="46"/>
    </row>
    <row r="678" spans="2:12" ht="18.75" x14ac:dyDescent="0.25">
      <c r="B678" s="36" t="s">
        <v>1228</v>
      </c>
      <c r="C678" s="37" t="s">
        <v>1283</v>
      </c>
      <c r="D678" s="38" t="s">
        <v>1284</v>
      </c>
      <c r="E678" s="81" t="s">
        <v>102</v>
      </c>
      <c r="F678" s="40">
        <v>3</v>
      </c>
      <c r="G678" s="41"/>
      <c r="H678" s="42" t="s">
        <v>57</v>
      </c>
      <c r="I678" s="39">
        <f t="shared" si="20"/>
        <v>0</v>
      </c>
      <c r="J678" s="45">
        <v>2073</v>
      </c>
      <c r="K678" s="100" t="s">
        <v>30</v>
      </c>
      <c r="L678" s="46"/>
    </row>
    <row r="679" spans="2:12" ht="18.75" x14ac:dyDescent="0.25">
      <c r="B679" s="36" t="s">
        <v>1228</v>
      </c>
      <c r="C679" s="37" t="s">
        <v>1285</v>
      </c>
      <c r="D679" s="38" t="s">
        <v>1286</v>
      </c>
      <c r="E679" s="81" t="s">
        <v>102</v>
      </c>
      <c r="F679" s="40">
        <v>3</v>
      </c>
      <c r="G679" s="41"/>
      <c r="H679" s="42" t="s">
        <v>57</v>
      </c>
      <c r="I679" s="39">
        <f t="shared" si="20"/>
        <v>0</v>
      </c>
      <c r="J679" s="45">
        <v>2073</v>
      </c>
      <c r="K679" s="100" t="s">
        <v>30</v>
      </c>
      <c r="L679" s="46"/>
    </row>
    <row r="680" spans="2:12" ht="18.75" x14ac:dyDescent="0.25">
      <c r="B680" s="36" t="s">
        <v>1228</v>
      </c>
      <c r="C680" s="37" t="s">
        <v>1287</v>
      </c>
      <c r="D680" s="38" t="s">
        <v>1288</v>
      </c>
      <c r="E680" s="81" t="s">
        <v>102</v>
      </c>
      <c r="F680" s="40">
        <v>3</v>
      </c>
      <c r="G680" s="41"/>
      <c r="H680" s="42" t="s">
        <v>57</v>
      </c>
      <c r="I680" s="39">
        <f t="shared" si="20"/>
        <v>0</v>
      </c>
      <c r="J680" s="45">
        <v>2073</v>
      </c>
      <c r="K680" s="100" t="s">
        <v>30</v>
      </c>
      <c r="L680" s="46"/>
    </row>
    <row r="681" spans="2:12" ht="18.75" x14ac:dyDescent="0.25">
      <c r="B681" s="36" t="s">
        <v>1228</v>
      </c>
      <c r="C681" s="37" t="s">
        <v>1289</v>
      </c>
      <c r="D681" s="38" t="s">
        <v>1290</v>
      </c>
      <c r="E681" s="81" t="s">
        <v>102</v>
      </c>
      <c r="F681" s="40">
        <v>4</v>
      </c>
      <c r="G681" s="41"/>
      <c r="H681" s="42" t="s">
        <v>57</v>
      </c>
      <c r="I681" s="39">
        <f t="shared" si="20"/>
        <v>0</v>
      </c>
      <c r="J681" s="45">
        <v>2073</v>
      </c>
      <c r="K681" s="100" t="s">
        <v>30</v>
      </c>
      <c r="L681" s="46"/>
    </row>
    <row r="682" spans="2:12" ht="18.75" x14ac:dyDescent="0.25">
      <c r="B682" s="36" t="s">
        <v>1228</v>
      </c>
      <c r="C682" s="37" t="s">
        <v>1291</v>
      </c>
      <c r="D682" s="38" t="s">
        <v>1292</v>
      </c>
      <c r="E682" s="81" t="s">
        <v>102</v>
      </c>
      <c r="F682" s="40">
        <v>2</v>
      </c>
      <c r="G682" s="41"/>
      <c r="H682" s="42" t="s">
        <v>57</v>
      </c>
      <c r="I682" s="39">
        <f t="shared" si="20"/>
        <v>0</v>
      </c>
      <c r="J682" s="45">
        <v>2073</v>
      </c>
      <c r="K682" s="100" t="s">
        <v>30</v>
      </c>
      <c r="L682" s="46"/>
    </row>
    <row r="683" spans="2:12" ht="18.75" x14ac:dyDescent="0.25">
      <c r="B683" s="36" t="s">
        <v>1228</v>
      </c>
      <c r="C683" s="37" t="s">
        <v>1293</v>
      </c>
      <c r="D683" s="38" t="s">
        <v>1294</v>
      </c>
      <c r="E683" s="81" t="s">
        <v>102</v>
      </c>
      <c r="F683" s="40">
        <v>1</v>
      </c>
      <c r="G683" s="41"/>
      <c r="H683" s="42" t="s">
        <v>57</v>
      </c>
      <c r="I683" s="39">
        <f t="shared" si="20"/>
        <v>0</v>
      </c>
      <c r="J683" s="45">
        <v>2073</v>
      </c>
      <c r="K683" s="100" t="s">
        <v>30</v>
      </c>
      <c r="L683" s="46"/>
    </row>
    <row r="684" spans="2:12" ht="18.75" x14ac:dyDescent="0.25">
      <c r="B684" s="36" t="s">
        <v>1228</v>
      </c>
      <c r="C684" s="37" t="s">
        <v>1295</v>
      </c>
      <c r="D684" s="38" t="s">
        <v>1296</v>
      </c>
      <c r="E684" s="81" t="s">
        <v>102</v>
      </c>
      <c r="F684" s="40">
        <v>6</v>
      </c>
      <c r="G684" s="41"/>
      <c r="H684" s="42" t="s">
        <v>57</v>
      </c>
      <c r="I684" s="39">
        <f t="shared" si="20"/>
        <v>0</v>
      </c>
      <c r="J684" s="45">
        <v>2073</v>
      </c>
      <c r="K684" s="100" t="s">
        <v>30</v>
      </c>
      <c r="L684" s="46"/>
    </row>
    <row r="685" spans="2:12" ht="18.75" x14ac:dyDescent="0.25">
      <c r="B685" s="36" t="s">
        <v>1228</v>
      </c>
      <c r="C685" s="37"/>
      <c r="D685" s="44" t="s">
        <v>1297</v>
      </c>
      <c r="E685" s="81"/>
      <c r="F685" s="40"/>
      <c r="G685" s="41"/>
      <c r="H685" s="42"/>
      <c r="I685" s="39"/>
      <c r="J685" s="36"/>
      <c r="K685" s="39"/>
      <c r="L685" s="43"/>
    </row>
    <row r="686" spans="2:12" ht="18.75" x14ac:dyDescent="0.25">
      <c r="B686" s="36" t="s">
        <v>1228</v>
      </c>
      <c r="C686" s="37" t="s">
        <v>1298</v>
      </c>
      <c r="D686" s="38" t="s">
        <v>1299</v>
      </c>
      <c r="E686" s="81" t="s">
        <v>102</v>
      </c>
      <c r="F686" s="40">
        <v>15</v>
      </c>
      <c r="G686" s="41"/>
      <c r="H686" s="42" t="s">
        <v>57</v>
      </c>
      <c r="I686" s="39">
        <f>F686*G686</f>
        <v>0</v>
      </c>
      <c r="J686" s="45">
        <v>2073</v>
      </c>
      <c r="K686" s="100" t="s">
        <v>30</v>
      </c>
      <c r="L686" s="46"/>
    </row>
    <row r="687" spans="2:12" ht="18.75" x14ac:dyDescent="0.25">
      <c r="B687" s="36" t="s">
        <v>1228</v>
      </c>
      <c r="C687" s="37" t="s">
        <v>1300</v>
      </c>
      <c r="D687" s="38" t="s">
        <v>1301</v>
      </c>
      <c r="E687" s="81" t="s">
        <v>102</v>
      </c>
      <c r="F687" s="40">
        <v>4</v>
      </c>
      <c r="G687" s="41"/>
      <c r="H687" s="42" t="s">
        <v>57</v>
      </c>
      <c r="I687" s="39">
        <f>F687*G687</f>
        <v>0</v>
      </c>
      <c r="J687" s="45">
        <v>2073</v>
      </c>
      <c r="K687" s="100" t="s">
        <v>30</v>
      </c>
      <c r="L687" s="46"/>
    </row>
    <row r="688" spans="2:12" ht="18.75" x14ac:dyDescent="0.25">
      <c r="B688" s="36" t="s">
        <v>1228</v>
      </c>
      <c r="C688" s="37" t="s">
        <v>1302</v>
      </c>
      <c r="D688" s="38" t="s">
        <v>1303</v>
      </c>
      <c r="E688" s="81" t="s">
        <v>102</v>
      </c>
      <c r="F688" s="40">
        <v>2</v>
      </c>
      <c r="G688" s="41"/>
      <c r="H688" s="42" t="s">
        <v>57</v>
      </c>
      <c r="I688" s="39">
        <f>F688*G688</f>
        <v>0</v>
      </c>
      <c r="J688" s="45">
        <v>2073</v>
      </c>
      <c r="K688" s="100" t="s">
        <v>30</v>
      </c>
      <c r="L688" s="46"/>
    </row>
    <row r="689" spans="2:12" ht="18.75" x14ac:dyDescent="0.25">
      <c r="B689" s="36" t="s">
        <v>1228</v>
      </c>
      <c r="C689" s="37"/>
      <c r="D689" s="44" t="s">
        <v>1304</v>
      </c>
      <c r="E689" s="81"/>
      <c r="F689" s="40"/>
      <c r="G689" s="41"/>
      <c r="H689" s="42"/>
      <c r="I689" s="39"/>
      <c r="J689" s="36"/>
      <c r="K689" s="39"/>
      <c r="L689" s="43"/>
    </row>
    <row r="690" spans="2:12" ht="18.75" x14ac:dyDescent="0.25">
      <c r="B690" s="36" t="s">
        <v>1228</v>
      </c>
      <c r="C690" s="37" t="s">
        <v>1305</v>
      </c>
      <c r="D690" s="38" t="s">
        <v>1306</v>
      </c>
      <c r="E690" s="81" t="s">
        <v>102</v>
      </c>
      <c r="F690" s="40">
        <v>2</v>
      </c>
      <c r="G690" s="41"/>
      <c r="H690" s="42" t="s">
        <v>57</v>
      </c>
      <c r="I690" s="39">
        <f>F690*G690</f>
        <v>0</v>
      </c>
      <c r="J690" s="45">
        <v>2073</v>
      </c>
      <c r="K690" s="100" t="s">
        <v>30</v>
      </c>
      <c r="L690" s="46"/>
    </row>
    <row r="691" spans="2:12" ht="18.75" x14ac:dyDescent="0.25">
      <c r="B691" s="36" t="s">
        <v>1228</v>
      </c>
      <c r="C691" s="37" t="s">
        <v>1307</v>
      </c>
      <c r="D691" s="38" t="s">
        <v>1308</v>
      </c>
      <c r="E691" s="81" t="s">
        <v>102</v>
      </c>
      <c r="F691" s="40">
        <v>5</v>
      </c>
      <c r="G691" s="41"/>
      <c r="H691" s="42" t="s">
        <v>57</v>
      </c>
      <c r="I691" s="39">
        <f>F691*G691</f>
        <v>0</v>
      </c>
      <c r="J691" s="45">
        <v>2073</v>
      </c>
      <c r="K691" s="100" t="s">
        <v>30</v>
      </c>
      <c r="L691" s="46"/>
    </row>
    <row r="692" spans="2:12" ht="18.75" x14ac:dyDescent="0.25">
      <c r="B692" s="36" t="s">
        <v>1228</v>
      </c>
      <c r="C692" s="37" t="s">
        <v>1309</v>
      </c>
      <c r="D692" s="38" t="s">
        <v>1310</v>
      </c>
      <c r="E692" s="81" t="s">
        <v>102</v>
      </c>
      <c r="F692" s="40">
        <v>1</v>
      </c>
      <c r="G692" s="41"/>
      <c r="H692" s="42" t="s">
        <v>57</v>
      </c>
      <c r="I692" s="39">
        <f>F692*G692</f>
        <v>0</v>
      </c>
      <c r="J692" s="45">
        <v>2073</v>
      </c>
      <c r="K692" s="100" t="s">
        <v>30</v>
      </c>
      <c r="L692" s="46"/>
    </row>
    <row r="693" spans="2:12" ht="18.75" x14ac:dyDescent="0.25">
      <c r="B693" s="36" t="s">
        <v>1228</v>
      </c>
      <c r="C693" s="37" t="s">
        <v>1311</v>
      </c>
      <c r="D693" s="38" t="s">
        <v>1312</v>
      </c>
      <c r="E693" s="81" t="s">
        <v>102</v>
      </c>
      <c r="F693" s="40">
        <v>2</v>
      </c>
      <c r="G693" s="41"/>
      <c r="H693" s="42" t="s">
        <v>57</v>
      </c>
      <c r="I693" s="39">
        <f>F693*G693</f>
        <v>0</v>
      </c>
      <c r="J693" s="45">
        <v>2073</v>
      </c>
      <c r="K693" s="100" t="s">
        <v>30</v>
      </c>
      <c r="L693" s="46"/>
    </row>
    <row r="694" spans="2:12" ht="18.75" x14ac:dyDescent="0.25">
      <c r="B694" s="36" t="s">
        <v>1228</v>
      </c>
      <c r="C694" s="37"/>
      <c r="D694" s="44" t="s">
        <v>1313</v>
      </c>
      <c r="E694" s="81"/>
      <c r="F694" s="40"/>
      <c r="G694" s="41"/>
      <c r="H694" s="42"/>
      <c r="I694" s="39"/>
      <c r="J694" s="45"/>
      <c r="K694" s="100"/>
      <c r="L694" s="46"/>
    </row>
    <row r="695" spans="2:12" ht="18.75" x14ac:dyDescent="0.25">
      <c r="B695" s="36" t="s">
        <v>1228</v>
      </c>
      <c r="C695" s="37" t="s">
        <v>1314</v>
      </c>
      <c r="D695" s="38" t="s">
        <v>1315</v>
      </c>
      <c r="E695" s="81" t="s">
        <v>102</v>
      </c>
      <c r="F695" s="40">
        <v>6</v>
      </c>
      <c r="G695" s="41"/>
      <c r="H695" s="42" t="s">
        <v>57</v>
      </c>
      <c r="I695" s="39">
        <f t="shared" ref="I695:I703" si="21">F695*G695</f>
        <v>0</v>
      </c>
      <c r="J695" s="45">
        <v>2073</v>
      </c>
      <c r="K695" s="100" t="s">
        <v>30</v>
      </c>
      <c r="L695" s="46"/>
    </row>
    <row r="696" spans="2:12" ht="18.75" x14ac:dyDescent="0.25">
      <c r="B696" s="36" t="s">
        <v>1228</v>
      </c>
      <c r="C696" s="37" t="s">
        <v>1316</v>
      </c>
      <c r="D696" s="38" t="s">
        <v>1317</v>
      </c>
      <c r="E696" s="81" t="s">
        <v>102</v>
      </c>
      <c r="F696" s="40">
        <v>9</v>
      </c>
      <c r="G696" s="41"/>
      <c r="H696" s="42" t="s">
        <v>57</v>
      </c>
      <c r="I696" s="39">
        <f t="shared" si="21"/>
        <v>0</v>
      </c>
      <c r="J696" s="45">
        <v>2073</v>
      </c>
      <c r="K696" s="100" t="s">
        <v>30</v>
      </c>
      <c r="L696" s="46"/>
    </row>
    <row r="697" spans="2:12" ht="18.75" x14ac:dyDescent="0.25">
      <c r="B697" s="36" t="s">
        <v>1228</v>
      </c>
      <c r="C697" s="37" t="s">
        <v>1318</v>
      </c>
      <c r="D697" s="38" t="s">
        <v>1319</v>
      </c>
      <c r="E697" s="81" t="s">
        <v>102</v>
      </c>
      <c r="F697" s="40">
        <v>6</v>
      </c>
      <c r="G697" s="41"/>
      <c r="H697" s="42" t="s">
        <v>57</v>
      </c>
      <c r="I697" s="39">
        <f t="shared" si="21"/>
        <v>0</v>
      </c>
      <c r="J697" s="45">
        <v>2073</v>
      </c>
      <c r="K697" s="100" t="s">
        <v>30</v>
      </c>
      <c r="L697" s="46"/>
    </row>
    <row r="698" spans="2:12" ht="18.75" x14ac:dyDescent="0.25">
      <c r="B698" s="36" t="s">
        <v>1228</v>
      </c>
      <c r="C698" s="37" t="s">
        <v>1320</v>
      </c>
      <c r="D698" s="38" t="s">
        <v>1321</v>
      </c>
      <c r="E698" s="81" t="s">
        <v>102</v>
      </c>
      <c r="F698" s="40">
        <v>3</v>
      </c>
      <c r="G698" s="41"/>
      <c r="H698" s="42" t="s">
        <v>57</v>
      </c>
      <c r="I698" s="39">
        <f t="shared" si="21"/>
        <v>0</v>
      </c>
      <c r="J698" s="45">
        <v>2073</v>
      </c>
      <c r="K698" s="100" t="s">
        <v>30</v>
      </c>
      <c r="L698" s="46"/>
    </row>
    <row r="699" spans="2:12" ht="18.75" x14ac:dyDescent="0.25">
      <c r="B699" s="36" t="s">
        <v>1228</v>
      </c>
      <c r="C699" s="37" t="s">
        <v>1322</v>
      </c>
      <c r="D699" s="38" t="s">
        <v>1323</v>
      </c>
      <c r="E699" s="81" t="s">
        <v>102</v>
      </c>
      <c r="F699" s="40">
        <v>14</v>
      </c>
      <c r="G699" s="41"/>
      <c r="H699" s="42" t="s">
        <v>57</v>
      </c>
      <c r="I699" s="39">
        <f t="shared" si="21"/>
        <v>0</v>
      </c>
      <c r="J699" s="45">
        <v>2073</v>
      </c>
      <c r="K699" s="100" t="s">
        <v>30</v>
      </c>
      <c r="L699" s="46"/>
    </row>
    <row r="700" spans="2:12" ht="18.75" x14ac:dyDescent="0.25">
      <c r="B700" s="36" t="s">
        <v>1228</v>
      </c>
      <c r="C700" s="37" t="s">
        <v>1324</v>
      </c>
      <c r="D700" s="38" t="s">
        <v>1325</v>
      </c>
      <c r="E700" s="81" t="s">
        <v>102</v>
      </c>
      <c r="F700" s="40">
        <v>10</v>
      </c>
      <c r="G700" s="41"/>
      <c r="H700" s="42" t="s">
        <v>57</v>
      </c>
      <c r="I700" s="39">
        <f t="shared" si="21"/>
        <v>0</v>
      </c>
      <c r="J700" s="45">
        <v>2073</v>
      </c>
      <c r="K700" s="100" t="s">
        <v>30</v>
      </c>
      <c r="L700" s="46"/>
    </row>
    <row r="701" spans="2:12" ht="18.75" x14ac:dyDescent="0.25">
      <c r="B701" s="36" t="s">
        <v>1228</v>
      </c>
      <c r="C701" s="37" t="s">
        <v>1326</v>
      </c>
      <c r="D701" s="38" t="s">
        <v>1327</v>
      </c>
      <c r="E701" s="81" t="s">
        <v>102</v>
      </c>
      <c r="F701" s="40">
        <v>4</v>
      </c>
      <c r="G701" s="41"/>
      <c r="H701" s="42" t="s">
        <v>57</v>
      </c>
      <c r="I701" s="39">
        <f t="shared" si="21"/>
        <v>0</v>
      </c>
      <c r="J701" s="45">
        <v>2073</v>
      </c>
      <c r="K701" s="100" t="s">
        <v>30</v>
      </c>
      <c r="L701" s="46"/>
    </row>
    <row r="702" spans="2:12" ht="18.75" x14ac:dyDescent="0.25">
      <c r="B702" s="36" t="s">
        <v>1228</v>
      </c>
      <c r="C702" s="37" t="s">
        <v>1328</v>
      </c>
      <c r="D702" s="38" t="s">
        <v>1329</v>
      </c>
      <c r="E702" s="81" t="s">
        <v>102</v>
      </c>
      <c r="F702" s="40">
        <v>5</v>
      </c>
      <c r="G702" s="41"/>
      <c r="H702" s="42" t="s">
        <v>57</v>
      </c>
      <c r="I702" s="39">
        <f t="shared" si="21"/>
        <v>0</v>
      </c>
      <c r="J702" s="45">
        <v>2073</v>
      </c>
      <c r="K702" s="100" t="s">
        <v>30</v>
      </c>
      <c r="L702" s="46"/>
    </row>
    <row r="703" spans="2:12" ht="18.75" x14ac:dyDescent="0.25">
      <c r="B703" s="36" t="s">
        <v>1228</v>
      </c>
      <c r="C703" s="37" t="s">
        <v>1330</v>
      </c>
      <c r="D703" s="38" t="s">
        <v>1331</v>
      </c>
      <c r="E703" s="81" t="s">
        <v>102</v>
      </c>
      <c r="F703" s="40">
        <v>1</v>
      </c>
      <c r="G703" s="41"/>
      <c r="H703" s="42" t="s">
        <v>57</v>
      </c>
      <c r="I703" s="39">
        <f t="shared" si="21"/>
        <v>0</v>
      </c>
      <c r="J703" s="45">
        <v>2073</v>
      </c>
      <c r="K703" s="100" t="s">
        <v>30</v>
      </c>
      <c r="L703" s="46"/>
    </row>
    <row r="704" spans="2:12" ht="18.75" x14ac:dyDescent="0.25">
      <c r="B704" s="36" t="s">
        <v>1228</v>
      </c>
      <c r="C704" s="37"/>
      <c r="D704" s="44" t="s">
        <v>1332</v>
      </c>
      <c r="E704" s="81"/>
      <c r="F704" s="40"/>
      <c r="G704" s="41"/>
      <c r="H704" s="42"/>
      <c r="I704" s="39"/>
      <c r="J704" s="45"/>
      <c r="K704" s="100"/>
      <c r="L704" s="46"/>
    </row>
    <row r="705" spans="2:12" ht="18.75" x14ac:dyDescent="0.25">
      <c r="B705" s="36" t="s">
        <v>1228</v>
      </c>
      <c r="C705" s="37" t="s">
        <v>1333</v>
      </c>
      <c r="D705" s="101" t="s">
        <v>1334</v>
      </c>
      <c r="E705" s="81" t="s">
        <v>102</v>
      </c>
      <c r="F705" s="40">
        <v>1</v>
      </c>
      <c r="G705" s="41"/>
      <c r="H705" s="42" t="s">
        <v>57</v>
      </c>
      <c r="I705" s="39">
        <f t="shared" ref="I705:I711" si="22">F705*G705</f>
        <v>0</v>
      </c>
      <c r="J705" s="45">
        <v>2073</v>
      </c>
      <c r="K705" s="100" t="s">
        <v>30</v>
      </c>
      <c r="L705" s="46"/>
    </row>
    <row r="706" spans="2:12" ht="18.75" x14ac:dyDescent="0.25">
      <c r="B706" s="36" t="s">
        <v>1228</v>
      </c>
      <c r="C706" s="37" t="s">
        <v>1335</v>
      </c>
      <c r="D706" s="101" t="s">
        <v>1336</v>
      </c>
      <c r="E706" s="81" t="s">
        <v>102</v>
      </c>
      <c r="F706" s="40">
        <v>1</v>
      </c>
      <c r="G706" s="41"/>
      <c r="H706" s="42" t="s">
        <v>57</v>
      </c>
      <c r="I706" s="39">
        <f t="shared" si="22"/>
        <v>0</v>
      </c>
      <c r="J706" s="45">
        <v>2073</v>
      </c>
      <c r="K706" s="100" t="s">
        <v>30</v>
      </c>
      <c r="L706" s="46"/>
    </row>
    <row r="707" spans="2:12" ht="18.75" x14ac:dyDescent="0.25">
      <c r="B707" s="36" t="s">
        <v>1228</v>
      </c>
      <c r="C707" s="37" t="s">
        <v>1337</v>
      </c>
      <c r="D707" s="101" t="s">
        <v>1338</v>
      </c>
      <c r="E707" s="81" t="s">
        <v>102</v>
      </c>
      <c r="F707" s="40">
        <v>4</v>
      </c>
      <c r="G707" s="41"/>
      <c r="H707" s="42" t="s">
        <v>57</v>
      </c>
      <c r="I707" s="39">
        <f t="shared" si="22"/>
        <v>0</v>
      </c>
      <c r="J707" s="45">
        <v>2073</v>
      </c>
      <c r="K707" s="100" t="s">
        <v>30</v>
      </c>
      <c r="L707" s="46"/>
    </row>
    <row r="708" spans="2:12" ht="18.75" x14ac:dyDescent="0.25">
      <c r="B708" s="36" t="s">
        <v>1228</v>
      </c>
      <c r="C708" s="37" t="s">
        <v>1339</v>
      </c>
      <c r="D708" s="101" t="s">
        <v>1340</v>
      </c>
      <c r="E708" s="81" t="s">
        <v>102</v>
      </c>
      <c r="F708" s="40">
        <v>9</v>
      </c>
      <c r="G708" s="41"/>
      <c r="H708" s="42" t="s">
        <v>57</v>
      </c>
      <c r="I708" s="39">
        <f t="shared" si="22"/>
        <v>0</v>
      </c>
      <c r="J708" s="45">
        <v>2073</v>
      </c>
      <c r="K708" s="100" t="s">
        <v>30</v>
      </c>
      <c r="L708" s="46"/>
    </row>
    <row r="709" spans="2:12" ht="18.75" x14ac:dyDescent="0.25">
      <c r="B709" s="36" t="s">
        <v>1228</v>
      </c>
      <c r="C709" s="37" t="s">
        <v>1341</v>
      </c>
      <c r="D709" s="101" t="s">
        <v>1342</v>
      </c>
      <c r="E709" s="81" t="s">
        <v>102</v>
      </c>
      <c r="F709" s="40">
        <v>6</v>
      </c>
      <c r="G709" s="41"/>
      <c r="H709" s="42" t="s">
        <v>57</v>
      </c>
      <c r="I709" s="39">
        <f t="shared" si="22"/>
        <v>0</v>
      </c>
      <c r="J709" s="45">
        <v>2073</v>
      </c>
      <c r="K709" s="100" t="s">
        <v>30</v>
      </c>
      <c r="L709" s="46"/>
    </row>
    <row r="710" spans="2:12" ht="18.75" x14ac:dyDescent="0.25">
      <c r="B710" s="36" t="s">
        <v>1228</v>
      </c>
      <c r="C710" s="37" t="s">
        <v>1343</v>
      </c>
      <c r="D710" s="101" t="s">
        <v>1344</v>
      </c>
      <c r="E710" s="81" t="s">
        <v>102</v>
      </c>
      <c r="F710" s="40">
        <v>2</v>
      </c>
      <c r="G710" s="41"/>
      <c r="H710" s="42" t="s">
        <v>57</v>
      </c>
      <c r="I710" s="39">
        <f t="shared" si="22"/>
        <v>0</v>
      </c>
      <c r="J710" s="45">
        <v>2073</v>
      </c>
      <c r="K710" s="100" t="s">
        <v>30</v>
      </c>
      <c r="L710" s="46"/>
    </row>
    <row r="711" spans="2:12" ht="18.75" x14ac:dyDescent="0.25">
      <c r="B711" s="36" t="s">
        <v>1228</v>
      </c>
      <c r="C711" s="37" t="s">
        <v>1345</v>
      </c>
      <c r="D711" s="101" t="s">
        <v>1346</v>
      </c>
      <c r="E711" s="81" t="s">
        <v>102</v>
      </c>
      <c r="F711" s="40">
        <v>6</v>
      </c>
      <c r="G711" s="41"/>
      <c r="H711" s="42" t="s">
        <v>57</v>
      </c>
      <c r="I711" s="39">
        <f t="shared" si="22"/>
        <v>0</v>
      </c>
      <c r="J711" s="45">
        <v>2073</v>
      </c>
      <c r="K711" s="100" t="s">
        <v>30</v>
      </c>
      <c r="L711" s="46"/>
    </row>
    <row r="712" spans="2:12" ht="18.75" x14ac:dyDescent="0.25">
      <c r="B712" s="36" t="s">
        <v>1228</v>
      </c>
      <c r="C712" s="37"/>
      <c r="D712" s="44" t="s">
        <v>1347</v>
      </c>
      <c r="E712" s="81"/>
      <c r="F712" s="40"/>
      <c r="G712" s="41"/>
      <c r="H712" s="42"/>
      <c r="I712" s="39"/>
      <c r="J712" s="45"/>
      <c r="K712" s="100"/>
      <c r="L712" s="46"/>
    </row>
    <row r="713" spans="2:12" ht="18.75" x14ac:dyDescent="0.25">
      <c r="B713" s="36" t="s">
        <v>1228</v>
      </c>
      <c r="C713" s="37" t="s">
        <v>1348</v>
      </c>
      <c r="D713" s="101" t="s">
        <v>1349</v>
      </c>
      <c r="E713" s="81" t="s">
        <v>102</v>
      </c>
      <c r="F713" s="40">
        <v>27</v>
      </c>
      <c r="G713" s="41"/>
      <c r="H713" s="42" t="s">
        <v>57</v>
      </c>
      <c r="I713" s="39">
        <f>F713*G713</f>
        <v>0</v>
      </c>
      <c r="J713" s="45">
        <v>2073</v>
      </c>
      <c r="K713" s="100" t="s">
        <v>30</v>
      </c>
      <c r="L713" s="46"/>
    </row>
    <row r="714" spans="2:12" ht="18.75" x14ac:dyDescent="0.25">
      <c r="B714" s="36" t="s">
        <v>1228</v>
      </c>
      <c r="C714" s="37" t="s">
        <v>1350</v>
      </c>
      <c r="D714" s="101" t="s">
        <v>1351</v>
      </c>
      <c r="E714" s="81" t="s">
        <v>102</v>
      </c>
      <c r="F714" s="40">
        <v>7</v>
      </c>
      <c r="G714" s="41"/>
      <c r="H714" s="42" t="s">
        <v>57</v>
      </c>
      <c r="I714" s="39">
        <f>F714*G714</f>
        <v>0</v>
      </c>
      <c r="J714" s="45">
        <v>2073</v>
      </c>
      <c r="K714" s="100" t="s">
        <v>30</v>
      </c>
      <c r="L714" s="46"/>
    </row>
    <row r="715" spans="2:12" ht="18.75" x14ac:dyDescent="0.25">
      <c r="B715" s="36" t="s">
        <v>1228</v>
      </c>
      <c r="C715" s="37" t="s">
        <v>1352</v>
      </c>
      <c r="D715" s="101" t="s">
        <v>1353</v>
      </c>
      <c r="E715" s="81" t="s">
        <v>102</v>
      </c>
      <c r="F715" s="40">
        <v>3</v>
      </c>
      <c r="G715" s="41"/>
      <c r="H715" s="42" t="s">
        <v>57</v>
      </c>
      <c r="I715" s="39">
        <f>F715*G715</f>
        <v>0</v>
      </c>
      <c r="J715" s="45">
        <v>2073</v>
      </c>
      <c r="K715" s="100" t="s">
        <v>30</v>
      </c>
      <c r="L715" s="46"/>
    </row>
    <row r="716" spans="2:12" ht="18.75" x14ac:dyDescent="0.25">
      <c r="B716" s="36" t="s">
        <v>1228</v>
      </c>
      <c r="C716" s="37" t="s">
        <v>1354</v>
      </c>
      <c r="D716" s="101" t="s">
        <v>1355</v>
      </c>
      <c r="E716" s="81" t="s">
        <v>102</v>
      </c>
      <c r="F716" s="40">
        <v>1</v>
      </c>
      <c r="G716" s="41"/>
      <c r="H716" s="42" t="s">
        <v>57</v>
      </c>
      <c r="I716" s="39">
        <f>F716*G716</f>
        <v>0</v>
      </c>
      <c r="J716" s="45">
        <v>2073</v>
      </c>
      <c r="K716" s="100" t="s">
        <v>30</v>
      </c>
      <c r="L716" s="46"/>
    </row>
    <row r="717" spans="2:12" ht="18.75" x14ac:dyDescent="0.25">
      <c r="B717" s="36" t="s">
        <v>1228</v>
      </c>
      <c r="C717" s="37"/>
      <c r="D717" s="44" t="s">
        <v>1356</v>
      </c>
      <c r="E717" s="39"/>
      <c r="F717" s="40"/>
      <c r="G717" s="41"/>
      <c r="H717" s="42"/>
      <c r="I717" s="39"/>
      <c r="J717" s="45"/>
      <c r="K717" s="100"/>
      <c r="L717" s="46"/>
    </row>
    <row r="718" spans="2:12" ht="18.75" x14ac:dyDescent="0.25">
      <c r="B718" s="36" t="s">
        <v>1228</v>
      </c>
      <c r="C718" s="37" t="s">
        <v>1357</v>
      </c>
      <c r="D718" s="38" t="s">
        <v>1358</v>
      </c>
      <c r="E718" s="81" t="s">
        <v>102</v>
      </c>
      <c r="F718" s="40">
        <v>10</v>
      </c>
      <c r="G718" s="41"/>
      <c r="H718" s="42" t="s">
        <v>57</v>
      </c>
      <c r="I718" s="39">
        <f>F718*G718</f>
        <v>0</v>
      </c>
      <c r="J718" s="45">
        <v>2073</v>
      </c>
      <c r="K718" s="100" t="s">
        <v>30</v>
      </c>
      <c r="L718" s="46"/>
    </row>
    <row r="719" spans="2:12" ht="18.75" x14ac:dyDescent="0.25">
      <c r="B719" s="36" t="s">
        <v>1228</v>
      </c>
      <c r="C719" s="37"/>
      <c r="D719" s="44" t="s">
        <v>1359</v>
      </c>
      <c r="E719" s="81"/>
      <c r="F719" s="40"/>
      <c r="G719" s="41"/>
      <c r="H719" s="42"/>
      <c r="I719" s="39"/>
      <c r="J719" s="45"/>
      <c r="K719" s="100"/>
      <c r="L719" s="46"/>
    </row>
    <row r="720" spans="2:12" ht="18.75" x14ac:dyDescent="0.25">
      <c r="B720" s="36" t="s">
        <v>1228</v>
      </c>
      <c r="C720" s="37" t="s">
        <v>1360</v>
      </c>
      <c r="D720" s="38" t="s">
        <v>1361</v>
      </c>
      <c r="E720" s="81" t="s">
        <v>102</v>
      </c>
      <c r="F720" s="40">
        <v>4</v>
      </c>
      <c r="G720" s="41"/>
      <c r="H720" s="42" t="s">
        <v>57</v>
      </c>
      <c r="I720" s="39">
        <f>F720*G720</f>
        <v>0</v>
      </c>
      <c r="J720" s="45">
        <v>2073</v>
      </c>
      <c r="K720" s="100" t="s">
        <v>30</v>
      </c>
      <c r="L720" s="46"/>
    </row>
    <row r="721" spans="2:12" ht="18.75" x14ac:dyDescent="0.25">
      <c r="B721" s="36" t="s">
        <v>1228</v>
      </c>
      <c r="C721" s="37" t="s">
        <v>1362</v>
      </c>
      <c r="D721" s="38" t="s">
        <v>1363</v>
      </c>
      <c r="E721" s="81" t="s">
        <v>102</v>
      </c>
      <c r="F721" s="40">
        <v>1</v>
      </c>
      <c r="G721" s="41"/>
      <c r="H721" s="42" t="s">
        <v>57</v>
      </c>
      <c r="I721" s="39">
        <f>F721*G721</f>
        <v>0</v>
      </c>
      <c r="J721" s="45">
        <v>2073</v>
      </c>
      <c r="K721" s="100" t="s">
        <v>30</v>
      </c>
      <c r="L721" s="46"/>
    </row>
    <row r="722" spans="2:12" ht="18.75" x14ac:dyDescent="0.25">
      <c r="B722" s="36" t="s">
        <v>1228</v>
      </c>
      <c r="C722" s="37" t="s">
        <v>1364</v>
      </c>
      <c r="D722" s="38" t="s">
        <v>1365</v>
      </c>
      <c r="E722" s="81" t="s">
        <v>102</v>
      </c>
      <c r="F722" s="40">
        <v>3</v>
      </c>
      <c r="G722" s="41"/>
      <c r="H722" s="42" t="s">
        <v>57</v>
      </c>
      <c r="I722" s="39">
        <f>F722*G722</f>
        <v>0</v>
      </c>
      <c r="J722" s="45">
        <v>2073</v>
      </c>
      <c r="K722" s="100" t="s">
        <v>30</v>
      </c>
      <c r="L722" s="46"/>
    </row>
    <row r="723" spans="2:12" ht="18.75" x14ac:dyDescent="0.25">
      <c r="B723" s="36" t="s">
        <v>1228</v>
      </c>
      <c r="C723" s="37"/>
      <c r="D723" s="44" t="s">
        <v>1366</v>
      </c>
      <c r="E723" s="81"/>
      <c r="F723" s="40"/>
      <c r="G723" s="41"/>
      <c r="H723" s="42"/>
      <c r="I723" s="39"/>
      <c r="J723" s="36"/>
      <c r="K723" s="39"/>
      <c r="L723" s="43"/>
    </row>
    <row r="724" spans="2:12" ht="56.25" x14ac:dyDescent="0.25">
      <c r="B724" s="36" t="s">
        <v>1228</v>
      </c>
      <c r="C724" s="37" t="s">
        <v>1367</v>
      </c>
      <c r="D724" s="38" t="s">
        <v>1368</v>
      </c>
      <c r="E724" s="81" t="s">
        <v>102</v>
      </c>
      <c r="F724" s="40">
        <v>1</v>
      </c>
      <c r="G724" s="41"/>
      <c r="H724" s="42" t="s">
        <v>57</v>
      </c>
      <c r="I724" s="39">
        <f t="shared" ref="I724:I730" si="23">F724*G724</f>
        <v>0</v>
      </c>
      <c r="J724" s="45">
        <v>2028</v>
      </c>
      <c r="K724" s="100" t="s">
        <v>30</v>
      </c>
      <c r="L724" s="46"/>
    </row>
    <row r="725" spans="2:12" ht="56.25" x14ac:dyDescent="0.25">
      <c r="B725" s="36" t="s">
        <v>1228</v>
      </c>
      <c r="C725" s="37" t="s">
        <v>1369</v>
      </c>
      <c r="D725" s="38" t="s">
        <v>1370</v>
      </c>
      <c r="E725" s="81" t="s">
        <v>102</v>
      </c>
      <c r="F725" s="40">
        <v>1</v>
      </c>
      <c r="G725" s="41"/>
      <c r="H725" s="42" t="s">
        <v>57</v>
      </c>
      <c r="I725" s="39">
        <f t="shared" si="23"/>
        <v>0</v>
      </c>
      <c r="J725" s="45">
        <v>2028</v>
      </c>
      <c r="K725" s="100" t="s">
        <v>30</v>
      </c>
      <c r="L725" s="46"/>
    </row>
    <row r="726" spans="2:12" ht="56.25" x14ac:dyDescent="0.25">
      <c r="B726" s="36" t="s">
        <v>1228</v>
      </c>
      <c r="C726" s="37" t="s">
        <v>1371</v>
      </c>
      <c r="D726" s="38" t="s">
        <v>1372</v>
      </c>
      <c r="E726" s="81" t="s">
        <v>102</v>
      </c>
      <c r="F726" s="40">
        <v>1</v>
      </c>
      <c r="G726" s="41"/>
      <c r="H726" s="42" t="s">
        <v>57</v>
      </c>
      <c r="I726" s="39">
        <f t="shared" si="23"/>
        <v>0</v>
      </c>
      <c r="J726" s="45">
        <v>2028</v>
      </c>
      <c r="K726" s="100" t="s">
        <v>30</v>
      </c>
      <c r="L726" s="46"/>
    </row>
    <row r="727" spans="2:12" ht="56.25" x14ac:dyDescent="0.25">
      <c r="B727" s="36" t="s">
        <v>1228</v>
      </c>
      <c r="C727" s="37" t="s">
        <v>1373</v>
      </c>
      <c r="D727" s="38" t="s">
        <v>1374</v>
      </c>
      <c r="E727" s="81" t="s">
        <v>102</v>
      </c>
      <c r="F727" s="40">
        <v>1</v>
      </c>
      <c r="G727" s="41"/>
      <c r="H727" s="42" t="s">
        <v>57</v>
      </c>
      <c r="I727" s="39">
        <f t="shared" si="23"/>
        <v>0</v>
      </c>
      <c r="J727" s="45">
        <v>2028</v>
      </c>
      <c r="K727" s="100" t="s">
        <v>30</v>
      </c>
      <c r="L727" s="46"/>
    </row>
    <row r="728" spans="2:12" ht="56.25" x14ac:dyDescent="0.25">
      <c r="B728" s="36" t="s">
        <v>1228</v>
      </c>
      <c r="C728" s="37" t="s">
        <v>1375</v>
      </c>
      <c r="D728" s="38" t="s">
        <v>1376</v>
      </c>
      <c r="E728" s="81" t="s">
        <v>102</v>
      </c>
      <c r="F728" s="40">
        <v>1</v>
      </c>
      <c r="G728" s="41"/>
      <c r="H728" s="42" t="s">
        <v>57</v>
      </c>
      <c r="I728" s="39">
        <f t="shared" si="23"/>
        <v>0</v>
      </c>
      <c r="J728" s="45">
        <v>2028</v>
      </c>
      <c r="K728" s="100" t="s">
        <v>30</v>
      </c>
      <c r="L728" s="46"/>
    </row>
    <row r="729" spans="2:12" ht="56.25" x14ac:dyDescent="0.25">
      <c r="B729" s="36" t="s">
        <v>1228</v>
      </c>
      <c r="C729" s="37" t="s">
        <v>1377</v>
      </c>
      <c r="D729" s="38" t="s">
        <v>1378</v>
      </c>
      <c r="E729" s="81" t="s">
        <v>102</v>
      </c>
      <c r="F729" s="40">
        <v>1</v>
      </c>
      <c r="G729" s="41"/>
      <c r="H729" s="42" t="s">
        <v>57</v>
      </c>
      <c r="I729" s="39">
        <f t="shared" si="23"/>
        <v>0</v>
      </c>
      <c r="J729" s="45">
        <v>2028</v>
      </c>
      <c r="K729" s="100" t="s">
        <v>30</v>
      </c>
      <c r="L729" s="46"/>
    </row>
    <row r="730" spans="2:12" ht="56.25" x14ac:dyDescent="0.25">
      <c r="B730" s="36" t="s">
        <v>1228</v>
      </c>
      <c r="C730" s="37" t="s">
        <v>1379</v>
      </c>
      <c r="D730" s="38" t="s">
        <v>1380</v>
      </c>
      <c r="E730" s="81" t="s">
        <v>102</v>
      </c>
      <c r="F730" s="40">
        <v>2</v>
      </c>
      <c r="G730" s="41"/>
      <c r="H730" s="42" t="s">
        <v>57</v>
      </c>
      <c r="I730" s="39">
        <f t="shared" si="23"/>
        <v>0</v>
      </c>
      <c r="J730" s="45">
        <v>2028</v>
      </c>
      <c r="K730" s="100" t="s">
        <v>30</v>
      </c>
      <c r="L730" s="46"/>
    </row>
    <row r="731" spans="2:12" ht="375" x14ac:dyDescent="0.25">
      <c r="B731" s="36" t="s">
        <v>1381</v>
      </c>
      <c r="C731" s="37"/>
      <c r="D731" s="44" t="s">
        <v>1382</v>
      </c>
      <c r="E731" s="39"/>
      <c r="F731" s="40"/>
      <c r="G731" s="41"/>
      <c r="H731" s="42"/>
      <c r="I731" s="39"/>
      <c r="J731" s="36"/>
      <c r="K731" s="39"/>
      <c r="L731" s="43"/>
    </row>
    <row r="732" spans="2:12" ht="18.75" x14ac:dyDescent="0.25">
      <c r="B732" s="36" t="s">
        <v>1381</v>
      </c>
      <c r="C732" s="37" t="s">
        <v>1383</v>
      </c>
      <c r="D732" s="38" t="s">
        <v>1384</v>
      </c>
      <c r="E732" s="81" t="s">
        <v>1038</v>
      </c>
      <c r="F732" s="40">
        <v>1</v>
      </c>
      <c r="G732" s="41"/>
      <c r="H732" s="42" t="s">
        <v>57</v>
      </c>
      <c r="I732" s="39">
        <f>F732*G732</f>
        <v>0</v>
      </c>
      <c r="J732" s="45" t="s">
        <v>107</v>
      </c>
      <c r="K732" s="100" t="s">
        <v>108</v>
      </c>
      <c r="L732" s="46"/>
    </row>
    <row r="733" spans="2:12" ht="36" customHeight="1" x14ac:dyDescent="0.25">
      <c r="B733" s="102" t="s">
        <v>1385</v>
      </c>
      <c r="C733" s="103"/>
      <c r="D733" s="103"/>
      <c r="E733" s="103"/>
      <c r="F733" s="103"/>
      <c r="G733" s="103"/>
      <c r="H733" s="104"/>
      <c r="I733" s="105">
        <f>SUM(I407:I732)</f>
        <v>0</v>
      </c>
      <c r="J733" s="106"/>
      <c r="K733" s="105"/>
      <c r="L733" s="107"/>
    </row>
    <row r="734" spans="2:12" ht="36" customHeight="1" x14ac:dyDescent="0.25">
      <c r="B734" s="108"/>
      <c r="C734" s="109"/>
      <c r="D734" s="110" t="s">
        <v>1386</v>
      </c>
      <c r="E734" s="109"/>
      <c r="F734" s="109"/>
      <c r="G734" s="109"/>
      <c r="H734" s="109"/>
      <c r="I734" s="111"/>
      <c r="J734" s="108"/>
      <c r="K734" s="111"/>
      <c r="L734" s="112"/>
    </row>
    <row r="735" spans="2:12" ht="318.75" x14ac:dyDescent="0.25">
      <c r="B735" s="28" t="s">
        <v>1387</v>
      </c>
      <c r="C735" s="113"/>
      <c r="D735" s="114" t="s">
        <v>1388</v>
      </c>
      <c r="E735" s="115"/>
      <c r="F735" s="116"/>
      <c r="G735" s="117"/>
      <c r="H735" s="118"/>
      <c r="I735" s="115"/>
      <c r="J735" s="28"/>
      <c r="K735" s="115"/>
      <c r="L735" s="35"/>
    </row>
    <row r="736" spans="2:12" ht="225" x14ac:dyDescent="0.25">
      <c r="B736" s="36" t="s">
        <v>1389</v>
      </c>
      <c r="C736" s="37"/>
      <c r="D736" s="88" t="s">
        <v>1390</v>
      </c>
      <c r="E736" s="39"/>
      <c r="F736" s="40"/>
      <c r="G736" s="41"/>
      <c r="H736" s="42"/>
      <c r="I736" s="39"/>
      <c r="J736" s="36"/>
      <c r="K736" s="39"/>
      <c r="L736" s="43"/>
    </row>
    <row r="737" spans="1:12" ht="18.75" x14ac:dyDescent="0.25">
      <c r="B737" s="36" t="s">
        <v>1389</v>
      </c>
      <c r="C737" s="37"/>
      <c r="D737" s="119" t="s">
        <v>1391</v>
      </c>
      <c r="E737" s="39"/>
      <c r="F737" s="40"/>
      <c r="G737" s="41"/>
      <c r="H737" s="42"/>
      <c r="I737" s="39"/>
      <c r="J737" s="36"/>
      <c r="K737" s="39"/>
      <c r="L737" s="43"/>
    </row>
    <row r="738" spans="1:12" ht="18.75" x14ac:dyDescent="0.25">
      <c r="B738" s="36" t="s">
        <v>1389</v>
      </c>
      <c r="C738" s="37" t="s">
        <v>1392</v>
      </c>
      <c r="D738" s="38" t="s">
        <v>1393</v>
      </c>
      <c r="E738" s="39" t="s">
        <v>60</v>
      </c>
      <c r="F738" s="40">
        <v>70</v>
      </c>
      <c r="G738" s="41"/>
      <c r="H738" s="42"/>
      <c r="I738" s="39">
        <f>F738*G738</f>
        <v>0</v>
      </c>
      <c r="J738" s="45">
        <v>2094</v>
      </c>
      <c r="K738" s="39" t="s">
        <v>30</v>
      </c>
      <c r="L738" s="46"/>
    </row>
    <row r="739" spans="1:12" ht="18.75" x14ac:dyDescent="0.25">
      <c r="B739" s="36" t="s">
        <v>1389</v>
      </c>
      <c r="C739" s="37" t="s">
        <v>1394</v>
      </c>
      <c r="D739" s="38" t="s">
        <v>1395</v>
      </c>
      <c r="E739" s="39" t="s">
        <v>60</v>
      </c>
      <c r="F739" s="40">
        <v>40</v>
      </c>
      <c r="G739" s="41"/>
      <c r="H739" s="42"/>
      <c r="I739" s="39">
        <f>F739*G739</f>
        <v>0</v>
      </c>
      <c r="J739" s="45">
        <v>2094</v>
      </c>
      <c r="K739" s="39" t="s">
        <v>30</v>
      </c>
      <c r="L739" s="46"/>
    </row>
    <row r="740" spans="1:12" ht="18.75" x14ac:dyDescent="0.25">
      <c r="B740" s="36" t="s">
        <v>1389</v>
      </c>
      <c r="C740" s="37" t="s">
        <v>1396</v>
      </c>
      <c r="D740" s="38" t="s">
        <v>1397</v>
      </c>
      <c r="E740" s="39" t="s">
        <v>60</v>
      </c>
      <c r="F740" s="40">
        <v>250</v>
      </c>
      <c r="G740" s="41"/>
      <c r="H740" s="42"/>
      <c r="I740" s="39">
        <f>F740*G740</f>
        <v>0</v>
      </c>
      <c r="J740" s="45">
        <v>2094</v>
      </c>
      <c r="K740" s="39" t="s">
        <v>30</v>
      </c>
      <c r="L740" s="46"/>
    </row>
    <row r="741" spans="1:12" ht="18.75" x14ac:dyDescent="0.25">
      <c r="B741" s="36" t="s">
        <v>1389</v>
      </c>
      <c r="C741" s="37" t="s">
        <v>1398</v>
      </c>
      <c r="D741" s="38" t="s">
        <v>1399</v>
      </c>
      <c r="E741" s="39" t="s">
        <v>60</v>
      </c>
      <c r="F741" s="40">
        <v>225</v>
      </c>
      <c r="G741" s="41"/>
      <c r="H741" s="42"/>
      <c r="I741" s="39">
        <f>F741*G741</f>
        <v>0</v>
      </c>
      <c r="J741" s="45">
        <v>2094</v>
      </c>
      <c r="K741" s="39" t="s">
        <v>30</v>
      </c>
      <c r="L741" s="46"/>
    </row>
    <row r="742" spans="1:12" s="93" customFormat="1" ht="18.75" x14ac:dyDescent="0.25">
      <c r="A742"/>
      <c r="B742" s="120" t="s">
        <v>1389</v>
      </c>
      <c r="C742" s="37" t="s">
        <v>1400</v>
      </c>
      <c r="D742" s="121" t="s">
        <v>1401</v>
      </c>
      <c r="E742" s="122" t="s">
        <v>60</v>
      </c>
      <c r="F742" s="123">
        <v>70</v>
      </c>
      <c r="G742" s="124"/>
      <c r="H742" s="125"/>
      <c r="I742" s="122">
        <f>F742*G742</f>
        <v>0</v>
      </c>
      <c r="J742" s="126">
        <v>2094</v>
      </c>
      <c r="K742" s="122" t="s">
        <v>30</v>
      </c>
      <c r="L742" s="127"/>
    </row>
    <row r="743" spans="1:12" ht="150" x14ac:dyDescent="0.25">
      <c r="B743" s="36" t="s">
        <v>1402</v>
      </c>
      <c r="C743" s="37"/>
      <c r="D743" s="44" t="s">
        <v>1403</v>
      </c>
      <c r="E743" s="39"/>
      <c r="F743" s="40"/>
      <c r="G743" s="41"/>
      <c r="H743" s="42"/>
      <c r="I743" s="39"/>
      <c r="J743" s="45" t="s">
        <v>57</v>
      </c>
      <c r="K743" s="39" t="s">
        <v>57</v>
      </c>
      <c r="L743" s="46"/>
    </row>
    <row r="744" spans="1:12" ht="18.75" x14ac:dyDescent="0.25">
      <c r="B744" s="36" t="s">
        <v>1402</v>
      </c>
      <c r="C744" s="37" t="s">
        <v>1404</v>
      </c>
      <c r="D744" s="38" t="s">
        <v>1405</v>
      </c>
      <c r="E744" s="81" t="s">
        <v>102</v>
      </c>
      <c r="F744" s="40">
        <v>1</v>
      </c>
      <c r="G744" s="41"/>
      <c r="H744" s="42"/>
      <c r="I744" s="39">
        <f t="shared" ref="I744:I765" si="24">F744*G744</f>
        <v>0</v>
      </c>
      <c r="J744" s="45">
        <v>2096</v>
      </c>
      <c r="K744" s="39" t="s">
        <v>30</v>
      </c>
      <c r="L744" s="46"/>
    </row>
    <row r="745" spans="1:12" ht="18.75" x14ac:dyDescent="0.25">
      <c r="B745" s="36" t="s">
        <v>1402</v>
      </c>
      <c r="C745" s="37" t="s">
        <v>1406</v>
      </c>
      <c r="D745" s="38" t="s">
        <v>1407</v>
      </c>
      <c r="E745" s="81" t="s">
        <v>102</v>
      </c>
      <c r="F745" s="40">
        <v>1</v>
      </c>
      <c r="G745" s="41"/>
      <c r="H745" s="42"/>
      <c r="I745" s="39">
        <f t="shared" si="24"/>
        <v>0</v>
      </c>
      <c r="J745" s="45">
        <v>2096</v>
      </c>
      <c r="K745" s="39" t="s">
        <v>30</v>
      </c>
      <c r="L745" s="46"/>
    </row>
    <row r="746" spans="1:12" ht="18.75" x14ac:dyDescent="0.25">
      <c r="B746" s="36" t="s">
        <v>1402</v>
      </c>
      <c r="C746" s="37" t="s">
        <v>1408</v>
      </c>
      <c r="D746" s="38" t="s">
        <v>1409</v>
      </c>
      <c r="E746" s="81" t="s">
        <v>102</v>
      </c>
      <c r="F746" s="40">
        <v>1</v>
      </c>
      <c r="G746" s="41"/>
      <c r="H746" s="42"/>
      <c r="I746" s="39">
        <f t="shared" si="24"/>
        <v>0</v>
      </c>
      <c r="J746" s="45">
        <v>2096</v>
      </c>
      <c r="K746" s="39" t="s">
        <v>30</v>
      </c>
      <c r="L746" s="46"/>
    </row>
    <row r="747" spans="1:12" ht="18.75" x14ac:dyDescent="0.25">
      <c r="B747" s="36" t="s">
        <v>1402</v>
      </c>
      <c r="C747" s="37" t="s">
        <v>1410</v>
      </c>
      <c r="D747" s="38" t="s">
        <v>1411</v>
      </c>
      <c r="E747" s="81" t="s">
        <v>102</v>
      </c>
      <c r="F747" s="40">
        <v>1</v>
      </c>
      <c r="G747" s="41"/>
      <c r="H747" s="42"/>
      <c r="I747" s="39">
        <f t="shared" si="24"/>
        <v>0</v>
      </c>
      <c r="J747" s="45">
        <v>2096</v>
      </c>
      <c r="K747" s="39" t="s">
        <v>30</v>
      </c>
      <c r="L747" s="46"/>
    </row>
    <row r="748" spans="1:12" ht="18.75" x14ac:dyDescent="0.25">
      <c r="B748" s="36" t="s">
        <v>1402</v>
      </c>
      <c r="C748" s="37" t="s">
        <v>1412</v>
      </c>
      <c r="D748" s="38" t="s">
        <v>1413</v>
      </c>
      <c r="E748" s="81" t="s">
        <v>102</v>
      </c>
      <c r="F748" s="40">
        <v>1</v>
      </c>
      <c r="G748" s="41"/>
      <c r="H748" s="42"/>
      <c r="I748" s="39">
        <f t="shared" si="24"/>
        <v>0</v>
      </c>
      <c r="J748" s="45">
        <v>2096</v>
      </c>
      <c r="K748" s="39" t="s">
        <v>30</v>
      </c>
      <c r="L748" s="46"/>
    </row>
    <row r="749" spans="1:12" ht="18.75" x14ac:dyDescent="0.25">
      <c r="B749" s="36" t="s">
        <v>1402</v>
      </c>
      <c r="C749" s="37" t="s">
        <v>1414</v>
      </c>
      <c r="D749" s="38" t="s">
        <v>1415</v>
      </c>
      <c r="E749" s="81" t="s">
        <v>102</v>
      </c>
      <c r="F749" s="40">
        <v>1</v>
      </c>
      <c r="G749" s="41"/>
      <c r="H749" s="42"/>
      <c r="I749" s="39">
        <f t="shared" si="24"/>
        <v>0</v>
      </c>
      <c r="J749" s="45">
        <v>2096</v>
      </c>
      <c r="K749" s="39" t="s">
        <v>30</v>
      </c>
      <c r="L749" s="46"/>
    </row>
    <row r="750" spans="1:12" ht="18.75" x14ac:dyDescent="0.25">
      <c r="B750" s="36" t="s">
        <v>1402</v>
      </c>
      <c r="C750" s="37" t="s">
        <v>1416</v>
      </c>
      <c r="D750" s="38" t="s">
        <v>1417</v>
      </c>
      <c r="E750" s="81" t="s">
        <v>102</v>
      </c>
      <c r="F750" s="40">
        <v>1</v>
      </c>
      <c r="G750" s="41"/>
      <c r="H750" s="42"/>
      <c r="I750" s="39">
        <f t="shared" si="24"/>
        <v>0</v>
      </c>
      <c r="J750" s="45">
        <v>2096</v>
      </c>
      <c r="K750" s="39" t="s">
        <v>30</v>
      </c>
      <c r="L750" s="46"/>
    </row>
    <row r="751" spans="1:12" ht="18.75" x14ac:dyDescent="0.25">
      <c r="B751" s="36" t="s">
        <v>1402</v>
      </c>
      <c r="C751" s="37" t="s">
        <v>1418</v>
      </c>
      <c r="D751" s="38" t="s">
        <v>1419</v>
      </c>
      <c r="E751" s="81" t="s">
        <v>102</v>
      </c>
      <c r="F751" s="40">
        <v>1</v>
      </c>
      <c r="G751" s="41"/>
      <c r="H751" s="42"/>
      <c r="I751" s="39">
        <f t="shared" si="24"/>
        <v>0</v>
      </c>
      <c r="J751" s="45">
        <v>2096</v>
      </c>
      <c r="K751" s="39" t="s">
        <v>30</v>
      </c>
      <c r="L751" s="46"/>
    </row>
    <row r="752" spans="1:12" ht="18.75" x14ac:dyDescent="0.25">
      <c r="B752" s="36" t="s">
        <v>1402</v>
      </c>
      <c r="C752" s="37" t="s">
        <v>1420</v>
      </c>
      <c r="D752" s="38" t="s">
        <v>1421</v>
      </c>
      <c r="E752" s="81" t="s">
        <v>102</v>
      </c>
      <c r="F752" s="40">
        <v>1</v>
      </c>
      <c r="G752" s="41"/>
      <c r="H752" s="42"/>
      <c r="I752" s="39">
        <f t="shared" si="24"/>
        <v>0</v>
      </c>
      <c r="J752" s="45">
        <v>2096</v>
      </c>
      <c r="K752" s="39" t="s">
        <v>30</v>
      </c>
      <c r="L752" s="46"/>
    </row>
    <row r="753" spans="2:12" ht="18.75" x14ac:dyDescent="0.25">
      <c r="B753" s="36" t="s">
        <v>1402</v>
      </c>
      <c r="C753" s="37" t="s">
        <v>1422</v>
      </c>
      <c r="D753" s="38" t="s">
        <v>1423</v>
      </c>
      <c r="E753" s="81" t="s">
        <v>102</v>
      </c>
      <c r="F753" s="40">
        <v>1</v>
      </c>
      <c r="G753" s="41"/>
      <c r="H753" s="42"/>
      <c r="I753" s="39">
        <f t="shared" si="24"/>
        <v>0</v>
      </c>
      <c r="J753" s="45">
        <v>2096</v>
      </c>
      <c r="K753" s="39" t="s">
        <v>30</v>
      </c>
      <c r="L753" s="46"/>
    </row>
    <row r="754" spans="2:12" ht="18.75" x14ac:dyDescent="0.25">
      <c r="B754" s="36" t="s">
        <v>1402</v>
      </c>
      <c r="C754" s="37" t="s">
        <v>1424</v>
      </c>
      <c r="D754" s="38" t="s">
        <v>1425</v>
      </c>
      <c r="E754" s="81" t="s">
        <v>102</v>
      </c>
      <c r="F754" s="40">
        <v>1</v>
      </c>
      <c r="G754" s="41"/>
      <c r="H754" s="42"/>
      <c r="I754" s="39">
        <f t="shared" si="24"/>
        <v>0</v>
      </c>
      <c r="J754" s="45">
        <v>2096</v>
      </c>
      <c r="K754" s="39" t="s">
        <v>30</v>
      </c>
      <c r="L754" s="46"/>
    </row>
    <row r="755" spans="2:12" ht="18.75" x14ac:dyDescent="0.25">
      <c r="B755" s="36" t="s">
        <v>1402</v>
      </c>
      <c r="C755" s="37" t="s">
        <v>1426</v>
      </c>
      <c r="D755" s="38" t="s">
        <v>1427</v>
      </c>
      <c r="E755" s="81" t="s">
        <v>102</v>
      </c>
      <c r="F755" s="40">
        <v>1</v>
      </c>
      <c r="G755" s="41"/>
      <c r="H755" s="42"/>
      <c r="I755" s="39">
        <f t="shared" si="24"/>
        <v>0</v>
      </c>
      <c r="J755" s="45">
        <v>2096</v>
      </c>
      <c r="K755" s="39" t="s">
        <v>30</v>
      </c>
      <c r="L755" s="46"/>
    </row>
    <row r="756" spans="2:12" ht="18.75" x14ac:dyDescent="0.25">
      <c r="B756" s="36" t="s">
        <v>1402</v>
      </c>
      <c r="C756" s="37" t="s">
        <v>1428</v>
      </c>
      <c r="D756" s="38" t="s">
        <v>1429</v>
      </c>
      <c r="E756" s="81" t="s">
        <v>102</v>
      </c>
      <c r="F756" s="40">
        <v>1</v>
      </c>
      <c r="G756" s="41"/>
      <c r="H756" s="42"/>
      <c r="I756" s="39">
        <f t="shared" si="24"/>
        <v>0</v>
      </c>
      <c r="J756" s="45">
        <v>2096</v>
      </c>
      <c r="K756" s="39" t="s">
        <v>30</v>
      </c>
      <c r="L756" s="46"/>
    </row>
    <row r="757" spans="2:12" ht="18.75" x14ac:dyDescent="0.25">
      <c r="B757" s="36" t="s">
        <v>1402</v>
      </c>
      <c r="C757" s="37" t="s">
        <v>1430</v>
      </c>
      <c r="D757" s="38" t="s">
        <v>1431</v>
      </c>
      <c r="E757" s="81" t="s">
        <v>102</v>
      </c>
      <c r="F757" s="40">
        <v>1</v>
      </c>
      <c r="G757" s="41"/>
      <c r="H757" s="42"/>
      <c r="I757" s="39">
        <f t="shared" si="24"/>
        <v>0</v>
      </c>
      <c r="J757" s="45">
        <v>2096</v>
      </c>
      <c r="K757" s="39" t="s">
        <v>30</v>
      </c>
      <c r="L757" s="46"/>
    </row>
    <row r="758" spans="2:12" ht="18.75" x14ac:dyDescent="0.25">
      <c r="B758" s="36" t="s">
        <v>1402</v>
      </c>
      <c r="C758" s="37" t="s">
        <v>1432</v>
      </c>
      <c r="D758" s="38" t="s">
        <v>1433</v>
      </c>
      <c r="E758" s="81" t="s">
        <v>102</v>
      </c>
      <c r="F758" s="40">
        <v>1</v>
      </c>
      <c r="G758" s="41"/>
      <c r="H758" s="42"/>
      <c r="I758" s="39">
        <f t="shared" si="24"/>
        <v>0</v>
      </c>
      <c r="J758" s="45">
        <v>2096</v>
      </c>
      <c r="K758" s="39" t="s">
        <v>30</v>
      </c>
      <c r="L758" s="46"/>
    </row>
    <row r="759" spans="2:12" ht="18.75" x14ac:dyDescent="0.25">
      <c r="B759" s="36" t="s">
        <v>1402</v>
      </c>
      <c r="C759" s="37" t="s">
        <v>1434</v>
      </c>
      <c r="D759" s="38" t="s">
        <v>1435</v>
      </c>
      <c r="E759" s="81" t="s">
        <v>102</v>
      </c>
      <c r="F759" s="40">
        <v>1</v>
      </c>
      <c r="G759" s="41"/>
      <c r="H759" s="42"/>
      <c r="I759" s="39">
        <f t="shared" si="24"/>
        <v>0</v>
      </c>
      <c r="J759" s="45">
        <v>2096</v>
      </c>
      <c r="K759" s="39" t="s">
        <v>30</v>
      </c>
      <c r="L759" s="46"/>
    </row>
    <row r="760" spans="2:12" ht="18.75" x14ac:dyDescent="0.25">
      <c r="B760" s="36" t="s">
        <v>1402</v>
      </c>
      <c r="C760" s="37" t="s">
        <v>1436</v>
      </c>
      <c r="D760" s="38" t="s">
        <v>1437</v>
      </c>
      <c r="E760" s="81" t="s">
        <v>102</v>
      </c>
      <c r="F760" s="40">
        <v>1</v>
      </c>
      <c r="G760" s="41"/>
      <c r="H760" s="42"/>
      <c r="I760" s="39">
        <f t="shared" si="24"/>
        <v>0</v>
      </c>
      <c r="J760" s="45">
        <v>2096</v>
      </c>
      <c r="K760" s="39" t="s">
        <v>30</v>
      </c>
      <c r="L760" s="46"/>
    </row>
    <row r="761" spans="2:12" ht="18.75" x14ac:dyDescent="0.25">
      <c r="B761" s="36" t="s">
        <v>1402</v>
      </c>
      <c r="C761" s="37" t="s">
        <v>1438</v>
      </c>
      <c r="D761" s="38" t="s">
        <v>1439</v>
      </c>
      <c r="E761" s="81" t="s">
        <v>102</v>
      </c>
      <c r="F761" s="40">
        <v>1</v>
      </c>
      <c r="G761" s="41"/>
      <c r="H761" s="42"/>
      <c r="I761" s="39">
        <f t="shared" si="24"/>
        <v>0</v>
      </c>
      <c r="J761" s="45">
        <v>2096</v>
      </c>
      <c r="K761" s="39" t="s">
        <v>30</v>
      </c>
      <c r="L761" s="46"/>
    </row>
    <row r="762" spans="2:12" ht="18.75" x14ac:dyDescent="0.25">
      <c r="B762" s="36" t="s">
        <v>1402</v>
      </c>
      <c r="C762" s="37" t="s">
        <v>1440</v>
      </c>
      <c r="D762" s="38" t="s">
        <v>1441</v>
      </c>
      <c r="E762" s="81" t="s">
        <v>102</v>
      </c>
      <c r="F762" s="40">
        <v>1</v>
      </c>
      <c r="G762" s="41"/>
      <c r="H762" s="42"/>
      <c r="I762" s="39">
        <f t="shared" si="24"/>
        <v>0</v>
      </c>
      <c r="J762" s="45">
        <v>2096</v>
      </c>
      <c r="K762" s="39" t="s">
        <v>30</v>
      </c>
      <c r="L762" s="46"/>
    </row>
    <row r="763" spans="2:12" ht="18.75" x14ac:dyDescent="0.25">
      <c r="B763" s="36" t="s">
        <v>1402</v>
      </c>
      <c r="C763" s="37" t="s">
        <v>1442</v>
      </c>
      <c r="D763" s="38" t="s">
        <v>1443</v>
      </c>
      <c r="E763" s="81" t="s">
        <v>102</v>
      </c>
      <c r="F763" s="40">
        <v>1</v>
      </c>
      <c r="G763" s="41"/>
      <c r="H763" s="42"/>
      <c r="I763" s="39">
        <f t="shared" si="24"/>
        <v>0</v>
      </c>
      <c r="J763" s="45">
        <v>2096</v>
      </c>
      <c r="K763" s="39" t="s">
        <v>30</v>
      </c>
      <c r="L763" s="46"/>
    </row>
    <row r="764" spans="2:12" ht="37.5" x14ac:dyDescent="0.25">
      <c r="B764" s="36" t="s">
        <v>1402</v>
      </c>
      <c r="C764" s="37" t="s">
        <v>1444</v>
      </c>
      <c r="D764" s="38" t="s">
        <v>1445</v>
      </c>
      <c r="E764" s="81" t="s">
        <v>102</v>
      </c>
      <c r="F764" s="40">
        <v>1</v>
      </c>
      <c r="G764" s="41"/>
      <c r="H764" s="42"/>
      <c r="I764" s="39">
        <f t="shared" si="24"/>
        <v>0</v>
      </c>
      <c r="J764" s="45">
        <v>2096</v>
      </c>
      <c r="K764" s="39" t="s">
        <v>30</v>
      </c>
      <c r="L764" s="46"/>
    </row>
    <row r="765" spans="2:12" ht="37.5" x14ac:dyDescent="0.25">
      <c r="B765" s="36" t="s">
        <v>1402</v>
      </c>
      <c r="C765" s="37" t="s">
        <v>1446</v>
      </c>
      <c r="D765" s="38" t="s">
        <v>1447</v>
      </c>
      <c r="E765" s="81" t="s">
        <v>102</v>
      </c>
      <c r="F765" s="40">
        <v>1</v>
      </c>
      <c r="G765" s="41"/>
      <c r="H765" s="42"/>
      <c r="I765" s="39">
        <f t="shared" si="24"/>
        <v>0</v>
      </c>
      <c r="J765" s="45">
        <v>2096</v>
      </c>
      <c r="K765" s="39" t="s">
        <v>30</v>
      </c>
      <c r="L765" s="46"/>
    </row>
    <row r="766" spans="2:12" ht="112.5" x14ac:dyDescent="0.25">
      <c r="B766" s="36" t="s">
        <v>1448</v>
      </c>
      <c r="C766" s="37"/>
      <c r="D766" s="44" t="s">
        <v>1449</v>
      </c>
      <c r="E766" s="39"/>
      <c r="F766" s="40"/>
      <c r="G766" s="41"/>
      <c r="H766" s="42"/>
      <c r="I766" s="39"/>
      <c r="J766" s="45" t="s">
        <v>57</v>
      </c>
      <c r="K766" s="39" t="s">
        <v>57</v>
      </c>
      <c r="L766" s="46"/>
    </row>
    <row r="767" spans="2:12" ht="37.5" x14ac:dyDescent="0.25">
      <c r="B767" s="36" t="s">
        <v>1448</v>
      </c>
      <c r="C767" s="37" t="s">
        <v>1450</v>
      </c>
      <c r="D767" s="38" t="s">
        <v>1451</v>
      </c>
      <c r="E767" s="81" t="s">
        <v>102</v>
      </c>
      <c r="F767" s="40">
        <v>1</v>
      </c>
      <c r="G767" s="41"/>
      <c r="H767" s="42"/>
      <c r="I767" s="39">
        <f>F767*G767</f>
        <v>0</v>
      </c>
      <c r="J767" s="45" t="s">
        <v>107</v>
      </c>
      <c r="K767" s="39" t="s">
        <v>108</v>
      </c>
      <c r="L767" s="46"/>
    </row>
    <row r="768" spans="2:12" ht="37.5" x14ac:dyDescent="0.25">
      <c r="B768" s="36" t="s">
        <v>1448</v>
      </c>
      <c r="C768" s="37" t="s">
        <v>1452</v>
      </c>
      <c r="D768" s="38" t="s">
        <v>1453</v>
      </c>
      <c r="E768" s="81" t="s">
        <v>102</v>
      </c>
      <c r="F768" s="40">
        <v>1</v>
      </c>
      <c r="G768" s="41"/>
      <c r="H768" s="42"/>
      <c r="I768" s="39">
        <f>F768*G768</f>
        <v>0</v>
      </c>
      <c r="J768" s="45" t="s">
        <v>107</v>
      </c>
      <c r="K768" s="39" t="s">
        <v>108</v>
      </c>
      <c r="L768" s="46"/>
    </row>
    <row r="769" spans="2:12" ht="168.75" x14ac:dyDescent="0.25">
      <c r="B769" s="36" t="s">
        <v>1454</v>
      </c>
      <c r="C769" s="37"/>
      <c r="D769" s="88" t="s">
        <v>1455</v>
      </c>
      <c r="E769" s="39"/>
      <c r="F769" s="40"/>
      <c r="G769" s="41"/>
      <c r="H769" s="42"/>
      <c r="I769" s="39"/>
      <c r="J769" s="45" t="s">
        <v>57</v>
      </c>
      <c r="K769" s="39" t="s">
        <v>57</v>
      </c>
      <c r="L769" s="46"/>
    </row>
    <row r="770" spans="2:12" ht="18.75" x14ac:dyDescent="0.25">
      <c r="B770" s="36" t="s">
        <v>1454</v>
      </c>
      <c r="C770" s="37" t="s">
        <v>1456</v>
      </c>
      <c r="D770" s="83" t="s">
        <v>1457</v>
      </c>
      <c r="E770" s="81" t="s">
        <v>102</v>
      </c>
      <c r="F770" s="40">
        <v>10</v>
      </c>
      <c r="G770" s="41"/>
      <c r="H770" s="42"/>
      <c r="I770" s="39">
        <f t="shared" ref="I770:I804" si="25">F770*G770</f>
        <v>0</v>
      </c>
      <c r="J770" s="45">
        <v>2094</v>
      </c>
      <c r="K770" s="39" t="s">
        <v>30</v>
      </c>
      <c r="L770" s="46"/>
    </row>
    <row r="771" spans="2:12" ht="18.75" x14ac:dyDescent="0.25">
      <c r="B771" s="36" t="s">
        <v>1454</v>
      </c>
      <c r="C771" s="37" t="s">
        <v>1458</v>
      </c>
      <c r="D771" s="83" t="s">
        <v>1459</v>
      </c>
      <c r="E771" s="81" t="s">
        <v>102</v>
      </c>
      <c r="F771" s="40">
        <v>2</v>
      </c>
      <c r="G771" s="41"/>
      <c r="H771" s="42"/>
      <c r="I771" s="39">
        <f t="shared" si="25"/>
        <v>0</v>
      </c>
      <c r="J771" s="45">
        <v>2094</v>
      </c>
      <c r="K771" s="39" t="s">
        <v>30</v>
      </c>
      <c r="L771" s="46"/>
    </row>
    <row r="772" spans="2:12" ht="18.75" x14ac:dyDescent="0.25">
      <c r="B772" s="36" t="s">
        <v>1454</v>
      </c>
      <c r="C772" s="37" t="s">
        <v>1460</v>
      </c>
      <c r="D772" s="83" t="s">
        <v>1461</v>
      </c>
      <c r="E772" s="81" t="s">
        <v>102</v>
      </c>
      <c r="F772" s="40">
        <v>1</v>
      </c>
      <c r="G772" s="41"/>
      <c r="H772" s="42"/>
      <c r="I772" s="39">
        <f t="shared" si="25"/>
        <v>0</v>
      </c>
      <c r="J772" s="45">
        <v>2094</v>
      </c>
      <c r="K772" s="39" t="s">
        <v>30</v>
      </c>
      <c r="L772" s="46"/>
    </row>
    <row r="773" spans="2:12" ht="18.75" x14ac:dyDescent="0.25">
      <c r="B773" s="36" t="s">
        <v>1454</v>
      </c>
      <c r="C773" s="37" t="s">
        <v>1462</v>
      </c>
      <c r="D773" s="83" t="s">
        <v>1463</v>
      </c>
      <c r="E773" s="81" t="s">
        <v>102</v>
      </c>
      <c r="F773" s="40">
        <v>1</v>
      </c>
      <c r="G773" s="41"/>
      <c r="H773" s="42"/>
      <c r="I773" s="39">
        <f t="shared" si="25"/>
        <v>0</v>
      </c>
      <c r="J773" s="45">
        <v>2094</v>
      </c>
      <c r="K773" s="39" t="s">
        <v>30</v>
      </c>
      <c r="L773" s="46"/>
    </row>
    <row r="774" spans="2:12" ht="18.75" x14ac:dyDescent="0.25">
      <c r="B774" s="36" t="s">
        <v>1454</v>
      </c>
      <c r="C774" s="37" t="s">
        <v>1464</v>
      </c>
      <c r="D774" s="83" t="s">
        <v>1465</v>
      </c>
      <c r="E774" s="81" t="s">
        <v>102</v>
      </c>
      <c r="F774" s="40">
        <v>1</v>
      </c>
      <c r="G774" s="41"/>
      <c r="H774" s="42"/>
      <c r="I774" s="39">
        <f t="shared" si="25"/>
        <v>0</v>
      </c>
      <c r="J774" s="45">
        <v>2094</v>
      </c>
      <c r="K774" s="39" t="s">
        <v>30</v>
      </c>
      <c r="L774" s="46"/>
    </row>
    <row r="775" spans="2:12" ht="18.75" x14ac:dyDescent="0.25">
      <c r="B775" s="36" t="s">
        <v>1454</v>
      </c>
      <c r="C775" s="37" t="s">
        <v>1466</v>
      </c>
      <c r="D775" s="83" t="s">
        <v>1467</v>
      </c>
      <c r="E775" s="81" t="s">
        <v>102</v>
      </c>
      <c r="F775" s="40">
        <v>1</v>
      </c>
      <c r="G775" s="41"/>
      <c r="H775" s="42"/>
      <c r="I775" s="39">
        <f t="shared" si="25"/>
        <v>0</v>
      </c>
      <c r="J775" s="45">
        <v>2094</v>
      </c>
      <c r="K775" s="39" t="s">
        <v>30</v>
      </c>
      <c r="L775" s="46"/>
    </row>
    <row r="776" spans="2:12" ht="18.75" x14ac:dyDescent="0.25">
      <c r="B776" s="36" t="s">
        <v>1454</v>
      </c>
      <c r="C776" s="37" t="s">
        <v>1468</v>
      </c>
      <c r="D776" s="83" t="s">
        <v>1469</v>
      </c>
      <c r="E776" s="81" t="s">
        <v>102</v>
      </c>
      <c r="F776" s="40">
        <v>1</v>
      </c>
      <c r="G776" s="41"/>
      <c r="H776" s="42"/>
      <c r="I776" s="39">
        <f t="shared" si="25"/>
        <v>0</v>
      </c>
      <c r="J776" s="45">
        <v>2094</v>
      </c>
      <c r="K776" s="39" t="s">
        <v>30</v>
      </c>
      <c r="L776" s="46"/>
    </row>
    <row r="777" spans="2:12" ht="18.75" x14ac:dyDescent="0.25">
      <c r="B777" s="36" t="s">
        <v>1454</v>
      </c>
      <c r="C777" s="37" t="s">
        <v>1470</v>
      </c>
      <c r="D777" s="83" t="s">
        <v>1471</v>
      </c>
      <c r="E777" s="81" t="s">
        <v>102</v>
      </c>
      <c r="F777" s="40">
        <v>1</v>
      </c>
      <c r="G777" s="41"/>
      <c r="H777" s="42"/>
      <c r="I777" s="39">
        <f t="shared" si="25"/>
        <v>0</v>
      </c>
      <c r="J777" s="45">
        <v>2094</v>
      </c>
      <c r="K777" s="39" t="s">
        <v>30</v>
      </c>
      <c r="L777" s="46"/>
    </row>
    <row r="778" spans="2:12" ht="18.75" x14ac:dyDescent="0.25">
      <c r="B778" s="36" t="s">
        <v>1454</v>
      </c>
      <c r="C778" s="37" t="s">
        <v>1472</v>
      </c>
      <c r="D778" s="83" t="s">
        <v>1473</v>
      </c>
      <c r="E778" s="81" t="s">
        <v>102</v>
      </c>
      <c r="F778" s="40">
        <v>47</v>
      </c>
      <c r="G778" s="41"/>
      <c r="H778" s="42"/>
      <c r="I778" s="39">
        <f t="shared" si="25"/>
        <v>0</v>
      </c>
      <c r="J778" s="45">
        <v>2094</v>
      </c>
      <c r="K778" s="39" t="s">
        <v>30</v>
      </c>
      <c r="L778" s="46"/>
    </row>
    <row r="779" spans="2:12" ht="18.75" x14ac:dyDescent="0.25">
      <c r="B779" s="36" t="s">
        <v>1454</v>
      </c>
      <c r="C779" s="37" t="s">
        <v>1474</v>
      </c>
      <c r="D779" s="83" t="s">
        <v>1475</v>
      </c>
      <c r="E779" s="81" t="s">
        <v>102</v>
      </c>
      <c r="F779" s="40">
        <v>2</v>
      </c>
      <c r="G779" s="41"/>
      <c r="H779" s="42"/>
      <c r="I779" s="39">
        <f t="shared" si="25"/>
        <v>0</v>
      </c>
      <c r="J779" s="45">
        <v>2094</v>
      </c>
      <c r="K779" s="39" t="s">
        <v>30</v>
      </c>
      <c r="L779" s="46"/>
    </row>
    <row r="780" spans="2:12" ht="18.75" x14ac:dyDescent="0.25">
      <c r="B780" s="36" t="s">
        <v>1454</v>
      </c>
      <c r="C780" s="37" t="s">
        <v>1476</v>
      </c>
      <c r="D780" s="83" t="s">
        <v>1477</v>
      </c>
      <c r="E780" s="81" t="s">
        <v>102</v>
      </c>
      <c r="F780" s="40">
        <v>1</v>
      </c>
      <c r="G780" s="41"/>
      <c r="H780" s="42"/>
      <c r="I780" s="39">
        <f t="shared" si="25"/>
        <v>0</v>
      </c>
      <c r="J780" s="45">
        <v>2094</v>
      </c>
      <c r="K780" s="39" t="s">
        <v>30</v>
      </c>
      <c r="L780" s="46"/>
    </row>
    <row r="781" spans="2:12" ht="18.75" x14ac:dyDescent="0.25">
      <c r="B781" s="36" t="s">
        <v>1454</v>
      </c>
      <c r="C781" s="37" t="s">
        <v>1478</v>
      </c>
      <c r="D781" s="83" t="s">
        <v>1479</v>
      </c>
      <c r="E781" s="81" t="s">
        <v>102</v>
      </c>
      <c r="F781" s="40">
        <v>2</v>
      </c>
      <c r="G781" s="41"/>
      <c r="H781" s="42"/>
      <c r="I781" s="39">
        <f t="shared" si="25"/>
        <v>0</v>
      </c>
      <c r="J781" s="45">
        <v>2094</v>
      </c>
      <c r="K781" s="39" t="s">
        <v>30</v>
      </c>
      <c r="L781" s="46"/>
    </row>
    <row r="782" spans="2:12" ht="18.75" x14ac:dyDescent="0.25">
      <c r="B782" s="36" t="s">
        <v>1454</v>
      </c>
      <c r="C782" s="37" t="s">
        <v>1480</v>
      </c>
      <c r="D782" s="83" t="s">
        <v>1481</v>
      </c>
      <c r="E782" s="81" t="s">
        <v>102</v>
      </c>
      <c r="F782" s="40">
        <v>1</v>
      </c>
      <c r="G782" s="41"/>
      <c r="H782" s="42"/>
      <c r="I782" s="39">
        <f t="shared" si="25"/>
        <v>0</v>
      </c>
      <c r="J782" s="45">
        <v>2094</v>
      </c>
      <c r="K782" s="39" t="s">
        <v>30</v>
      </c>
      <c r="L782" s="46"/>
    </row>
    <row r="783" spans="2:12" ht="18.75" x14ac:dyDescent="0.25">
      <c r="B783" s="36" t="s">
        <v>1454</v>
      </c>
      <c r="C783" s="37" t="s">
        <v>1482</v>
      </c>
      <c r="D783" s="83" t="s">
        <v>1483</v>
      </c>
      <c r="E783" s="81" t="s">
        <v>102</v>
      </c>
      <c r="F783" s="40">
        <v>4</v>
      </c>
      <c r="G783" s="41"/>
      <c r="H783" s="42"/>
      <c r="I783" s="39">
        <f t="shared" si="25"/>
        <v>0</v>
      </c>
      <c r="J783" s="45">
        <v>2094</v>
      </c>
      <c r="K783" s="39" t="s">
        <v>30</v>
      </c>
      <c r="L783" s="46"/>
    </row>
    <row r="784" spans="2:12" ht="18.75" x14ac:dyDescent="0.25">
      <c r="B784" s="36" t="s">
        <v>1454</v>
      </c>
      <c r="C784" s="37" t="s">
        <v>1484</v>
      </c>
      <c r="D784" s="83" t="s">
        <v>1485</v>
      </c>
      <c r="E784" s="81" t="s">
        <v>102</v>
      </c>
      <c r="F784" s="40">
        <v>1</v>
      </c>
      <c r="G784" s="41"/>
      <c r="H784" s="42"/>
      <c r="I784" s="39">
        <f t="shared" si="25"/>
        <v>0</v>
      </c>
      <c r="J784" s="45">
        <v>2094</v>
      </c>
      <c r="K784" s="39" t="s">
        <v>30</v>
      </c>
      <c r="L784" s="46"/>
    </row>
    <row r="785" spans="2:12" ht="18.75" x14ac:dyDescent="0.25">
      <c r="B785" s="36" t="s">
        <v>1454</v>
      </c>
      <c r="C785" s="37" t="s">
        <v>1486</v>
      </c>
      <c r="D785" s="83" t="s">
        <v>1487</v>
      </c>
      <c r="E785" s="81" t="s">
        <v>102</v>
      </c>
      <c r="F785" s="40">
        <v>1</v>
      </c>
      <c r="G785" s="41"/>
      <c r="H785" s="42"/>
      <c r="I785" s="39">
        <f t="shared" si="25"/>
        <v>0</v>
      </c>
      <c r="J785" s="45">
        <v>2094</v>
      </c>
      <c r="K785" s="39" t="s">
        <v>30</v>
      </c>
      <c r="L785" s="46"/>
    </row>
    <row r="786" spans="2:12" ht="18.75" x14ac:dyDescent="0.25">
      <c r="B786" s="36" t="s">
        <v>1454</v>
      </c>
      <c r="C786" s="37" t="s">
        <v>1488</v>
      </c>
      <c r="D786" s="83" t="s">
        <v>1489</v>
      </c>
      <c r="E786" s="81" t="s">
        <v>102</v>
      </c>
      <c r="F786" s="40">
        <v>2</v>
      </c>
      <c r="G786" s="41"/>
      <c r="H786" s="42"/>
      <c r="I786" s="39">
        <f t="shared" si="25"/>
        <v>0</v>
      </c>
      <c r="J786" s="45">
        <v>2094</v>
      </c>
      <c r="K786" s="39" t="s">
        <v>30</v>
      </c>
      <c r="L786" s="46"/>
    </row>
    <row r="787" spans="2:12" ht="18.75" x14ac:dyDescent="0.25">
      <c r="B787" s="36" t="s">
        <v>1454</v>
      </c>
      <c r="C787" s="37" t="s">
        <v>1490</v>
      </c>
      <c r="D787" s="83" t="s">
        <v>1491</v>
      </c>
      <c r="E787" s="81" t="s">
        <v>102</v>
      </c>
      <c r="F787" s="40">
        <v>1</v>
      </c>
      <c r="G787" s="41"/>
      <c r="H787" s="42"/>
      <c r="I787" s="39">
        <f t="shared" si="25"/>
        <v>0</v>
      </c>
      <c r="J787" s="45">
        <v>2094</v>
      </c>
      <c r="K787" s="39" t="s">
        <v>30</v>
      </c>
      <c r="L787" s="46"/>
    </row>
    <row r="788" spans="2:12" ht="18.75" x14ac:dyDescent="0.25">
      <c r="B788" s="36" t="s">
        <v>1454</v>
      </c>
      <c r="C788" s="37" t="s">
        <v>1492</v>
      </c>
      <c r="D788" s="83" t="s">
        <v>1493</v>
      </c>
      <c r="E788" s="81" t="s">
        <v>102</v>
      </c>
      <c r="F788" s="40">
        <v>1</v>
      </c>
      <c r="G788" s="41"/>
      <c r="H788" s="42"/>
      <c r="I788" s="39">
        <f t="shared" si="25"/>
        <v>0</v>
      </c>
      <c r="J788" s="45">
        <v>2094</v>
      </c>
      <c r="K788" s="39" t="s">
        <v>30</v>
      </c>
      <c r="L788" s="46"/>
    </row>
    <row r="789" spans="2:12" ht="18.75" x14ac:dyDescent="0.25">
      <c r="B789" s="36" t="s">
        <v>1454</v>
      </c>
      <c r="C789" s="37" t="s">
        <v>1494</v>
      </c>
      <c r="D789" s="83" t="s">
        <v>1495</v>
      </c>
      <c r="E789" s="81" t="s">
        <v>102</v>
      </c>
      <c r="F789" s="40">
        <v>1</v>
      </c>
      <c r="G789" s="41"/>
      <c r="H789" s="42"/>
      <c r="I789" s="39">
        <f t="shared" si="25"/>
        <v>0</v>
      </c>
      <c r="J789" s="45">
        <v>2094</v>
      </c>
      <c r="K789" s="39" t="s">
        <v>30</v>
      </c>
      <c r="L789" s="46"/>
    </row>
    <row r="790" spans="2:12" ht="18.75" x14ac:dyDescent="0.25">
      <c r="B790" s="36" t="s">
        <v>1454</v>
      </c>
      <c r="C790" s="37" t="s">
        <v>1496</v>
      </c>
      <c r="D790" s="83" t="s">
        <v>1497</v>
      </c>
      <c r="E790" s="81" t="s">
        <v>102</v>
      </c>
      <c r="F790" s="40">
        <v>1</v>
      </c>
      <c r="G790" s="41"/>
      <c r="H790" s="42"/>
      <c r="I790" s="39">
        <f t="shared" si="25"/>
        <v>0</v>
      </c>
      <c r="J790" s="45">
        <v>2094</v>
      </c>
      <c r="K790" s="39" t="s">
        <v>30</v>
      </c>
      <c r="L790" s="46"/>
    </row>
    <row r="791" spans="2:12" ht="18.75" x14ac:dyDescent="0.25">
      <c r="B791" s="36" t="s">
        <v>1454</v>
      </c>
      <c r="C791" s="37" t="s">
        <v>1498</v>
      </c>
      <c r="D791" s="83" t="s">
        <v>1499</v>
      </c>
      <c r="E791" s="81" t="s">
        <v>102</v>
      </c>
      <c r="F791" s="40">
        <v>1</v>
      </c>
      <c r="G791" s="41"/>
      <c r="H791" s="42"/>
      <c r="I791" s="39">
        <f t="shared" si="25"/>
        <v>0</v>
      </c>
      <c r="J791" s="45">
        <v>2094</v>
      </c>
      <c r="K791" s="39" t="s">
        <v>30</v>
      </c>
      <c r="L791" s="46"/>
    </row>
    <row r="792" spans="2:12" ht="18.75" x14ac:dyDescent="0.25">
      <c r="B792" s="36" t="s">
        <v>1454</v>
      </c>
      <c r="C792" s="37" t="s">
        <v>1500</v>
      </c>
      <c r="D792" s="83" t="s">
        <v>1501</v>
      </c>
      <c r="E792" s="81" t="s">
        <v>102</v>
      </c>
      <c r="F792" s="40">
        <v>1</v>
      </c>
      <c r="G792" s="41"/>
      <c r="H792" s="42"/>
      <c r="I792" s="39">
        <f t="shared" si="25"/>
        <v>0</v>
      </c>
      <c r="J792" s="45">
        <v>2094</v>
      </c>
      <c r="K792" s="39" t="s">
        <v>30</v>
      </c>
      <c r="L792" s="46"/>
    </row>
    <row r="793" spans="2:12" ht="18.75" x14ac:dyDescent="0.25">
      <c r="B793" s="36" t="s">
        <v>1454</v>
      </c>
      <c r="C793" s="37" t="s">
        <v>1502</v>
      </c>
      <c r="D793" s="83" t="s">
        <v>1503</v>
      </c>
      <c r="E793" s="81" t="s">
        <v>102</v>
      </c>
      <c r="F793" s="40">
        <v>2</v>
      </c>
      <c r="G793" s="41"/>
      <c r="H793" s="42"/>
      <c r="I793" s="39">
        <f t="shared" si="25"/>
        <v>0</v>
      </c>
      <c r="J793" s="45">
        <v>2094</v>
      </c>
      <c r="K793" s="39" t="s">
        <v>30</v>
      </c>
      <c r="L793" s="46"/>
    </row>
    <row r="794" spans="2:12" ht="18.75" x14ac:dyDescent="0.25">
      <c r="B794" s="36" t="s">
        <v>1454</v>
      </c>
      <c r="C794" s="37" t="s">
        <v>1504</v>
      </c>
      <c r="D794" s="83" t="s">
        <v>1505</v>
      </c>
      <c r="E794" s="81" t="s">
        <v>102</v>
      </c>
      <c r="F794" s="40">
        <v>2</v>
      </c>
      <c r="G794" s="41"/>
      <c r="H794" s="42"/>
      <c r="I794" s="39">
        <f t="shared" si="25"/>
        <v>0</v>
      </c>
      <c r="J794" s="45">
        <v>2094</v>
      </c>
      <c r="K794" s="39" t="s">
        <v>30</v>
      </c>
      <c r="L794" s="46"/>
    </row>
    <row r="795" spans="2:12" ht="18.75" x14ac:dyDescent="0.25">
      <c r="B795" s="36" t="s">
        <v>1454</v>
      </c>
      <c r="C795" s="37" t="s">
        <v>1506</v>
      </c>
      <c r="D795" s="83" t="s">
        <v>1507</v>
      </c>
      <c r="E795" s="81" t="s">
        <v>102</v>
      </c>
      <c r="F795" s="40">
        <v>1</v>
      </c>
      <c r="G795" s="41"/>
      <c r="H795" s="42"/>
      <c r="I795" s="39">
        <f t="shared" si="25"/>
        <v>0</v>
      </c>
      <c r="J795" s="45">
        <v>2094</v>
      </c>
      <c r="K795" s="39" t="s">
        <v>30</v>
      </c>
      <c r="L795" s="46"/>
    </row>
    <row r="796" spans="2:12" ht="18.75" x14ac:dyDescent="0.25">
      <c r="B796" s="36" t="s">
        <v>1454</v>
      </c>
      <c r="C796" s="37" t="s">
        <v>1508</v>
      </c>
      <c r="D796" s="83" t="s">
        <v>1509</v>
      </c>
      <c r="E796" s="81" t="s">
        <v>102</v>
      </c>
      <c r="F796" s="40">
        <v>1</v>
      </c>
      <c r="G796" s="41"/>
      <c r="H796" s="42"/>
      <c r="I796" s="39">
        <f t="shared" si="25"/>
        <v>0</v>
      </c>
      <c r="J796" s="45">
        <v>2094</v>
      </c>
      <c r="K796" s="39" t="s">
        <v>30</v>
      </c>
      <c r="L796" s="46"/>
    </row>
    <row r="797" spans="2:12" ht="18.75" x14ac:dyDescent="0.25">
      <c r="B797" s="36" t="s">
        <v>1454</v>
      </c>
      <c r="C797" s="37" t="s">
        <v>1510</v>
      </c>
      <c r="D797" s="83" t="s">
        <v>1511</v>
      </c>
      <c r="E797" s="81" t="s">
        <v>102</v>
      </c>
      <c r="F797" s="40">
        <v>1</v>
      </c>
      <c r="G797" s="41"/>
      <c r="H797" s="42"/>
      <c r="I797" s="39">
        <f t="shared" si="25"/>
        <v>0</v>
      </c>
      <c r="J797" s="45">
        <v>2094</v>
      </c>
      <c r="K797" s="39" t="s">
        <v>30</v>
      </c>
      <c r="L797" s="46"/>
    </row>
    <row r="798" spans="2:12" ht="18.75" x14ac:dyDescent="0.25">
      <c r="B798" s="36" t="s">
        <v>1454</v>
      </c>
      <c r="C798" s="37" t="s">
        <v>1512</v>
      </c>
      <c r="D798" s="83" t="s">
        <v>1513</v>
      </c>
      <c r="E798" s="81" t="s">
        <v>102</v>
      </c>
      <c r="F798" s="40">
        <v>1</v>
      </c>
      <c r="G798" s="41"/>
      <c r="H798" s="42"/>
      <c r="I798" s="39">
        <f t="shared" si="25"/>
        <v>0</v>
      </c>
      <c r="J798" s="45">
        <v>2094</v>
      </c>
      <c r="K798" s="39" t="s">
        <v>30</v>
      </c>
      <c r="L798" s="46"/>
    </row>
    <row r="799" spans="2:12" ht="18.75" x14ac:dyDescent="0.25">
      <c r="B799" s="36" t="s">
        <v>1454</v>
      </c>
      <c r="C799" s="37" t="s">
        <v>1514</v>
      </c>
      <c r="D799" s="83" t="s">
        <v>1515</v>
      </c>
      <c r="E799" s="81" t="s">
        <v>102</v>
      </c>
      <c r="F799" s="40">
        <v>1</v>
      </c>
      <c r="G799" s="41"/>
      <c r="H799" s="42"/>
      <c r="I799" s="39">
        <f t="shared" si="25"/>
        <v>0</v>
      </c>
      <c r="J799" s="45">
        <v>2094</v>
      </c>
      <c r="K799" s="39" t="s">
        <v>30</v>
      </c>
      <c r="L799" s="46"/>
    </row>
    <row r="800" spans="2:12" ht="18.75" x14ac:dyDescent="0.25">
      <c r="B800" s="36" t="s">
        <v>1454</v>
      </c>
      <c r="C800" s="37" t="s">
        <v>1516</v>
      </c>
      <c r="D800" s="83" t="s">
        <v>1517</v>
      </c>
      <c r="E800" s="81" t="s">
        <v>102</v>
      </c>
      <c r="F800" s="40">
        <v>1</v>
      </c>
      <c r="G800" s="41"/>
      <c r="H800" s="42"/>
      <c r="I800" s="39">
        <f t="shared" si="25"/>
        <v>0</v>
      </c>
      <c r="J800" s="45">
        <v>2094</v>
      </c>
      <c r="K800" s="39" t="s">
        <v>30</v>
      </c>
      <c r="L800" s="46"/>
    </row>
    <row r="801" spans="2:12" ht="37.5" x14ac:dyDescent="0.25">
      <c r="B801" s="36" t="s">
        <v>1454</v>
      </c>
      <c r="C801" s="37" t="s">
        <v>1518</v>
      </c>
      <c r="D801" s="83" t="s">
        <v>1519</v>
      </c>
      <c r="E801" s="81" t="s">
        <v>102</v>
      </c>
      <c r="F801" s="40">
        <v>1</v>
      </c>
      <c r="G801" s="41"/>
      <c r="H801" s="42"/>
      <c r="I801" s="39">
        <f t="shared" si="25"/>
        <v>0</v>
      </c>
      <c r="J801" s="45">
        <v>2094</v>
      </c>
      <c r="K801" s="39" t="s">
        <v>30</v>
      </c>
      <c r="L801" s="46"/>
    </row>
    <row r="802" spans="2:12" ht="18.75" x14ac:dyDescent="0.25">
      <c r="B802" s="36" t="s">
        <v>1454</v>
      </c>
      <c r="C802" s="37" t="s">
        <v>1520</v>
      </c>
      <c r="D802" s="83" t="s">
        <v>1521</v>
      </c>
      <c r="E802" s="81" t="s">
        <v>102</v>
      </c>
      <c r="F802" s="40">
        <v>1</v>
      </c>
      <c r="G802" s="41"/>
      <c r="H802" s="42"/>
      <c r="I802" s="39">
        <f t="shared" si="25"/>
        <v>0</v>
      </c>
      <c r="J802" s="45">
        <v>2094</v>
      </c>
      <c r="K802" s="39" t="s">
        <v>30</v>
      </c>
      <c r="L802" s="46"/>
    </row>
    <row r="803" spans="2:12" ht="18.75" x14ac:dyDescent="0.25">
      <c r="B803" s="36" t="s">
        <v>1454</v>
      </c>
      <c r="C803" s="37" t="s">
        <v>1522</v>
      </c>
      <c r="D803" s="83" t="s">
        <v>1523</v>
      </c>
      <c r="E803" s="81" t="s">
        <v>102</v>
      </c>
      <c r="F803" s="40">
        <v>2</v>
      </c>
      <c r="G803" s="41"/>
      <c r="H803" s="42"/>
      <c r="I803" s="39">
        <f t="shared" si="25"/>
        <v>0</v>
      </c>
      <c r="J803" s="45">
        <v>2094</v>
      </c>
      <c r="K803" s="39" t="s">
        <v>30</v>
      </c>
      <c r="L803" s="46"/>
    </row>
    <row r="804" spans="2:12" ht="37.5" x14ac:dyDescent="0.25">
      <c r="B804" s="36" t="s">
        <v>1454</v>
      </c>
      <c r="C804" s="37" t="s">
        <v>1524</v>
      </c>
      <c r="D804" s="83" t="s">
        <v>1525</v>
      </c>
      <c r="E804" s="81" t="s">
        <v>102</v>
      </c>
      <c r="F804" s="40">
        <v>1</v>
      </c>
      <c r="G804" s="41"/>
      <c r="H804" s="42"/>
      <c r="I804" s="39">
        <f t="shared" si="25"/>
        <v>0</v>
      </c>
      <c r="J804" s="45">
        <v>2094</v>
      </c>
      <c r="K804" s="39" t="s">
        <v>30</v>
      </c>
      <c r="L804" s="46"/>
    </row>
    <row r="805" spans="2:12" ht="150" x14ac:dyDescent="0.25">
      <c r="B805" s="36" t="s">
        <v>1526</v>
      </c>
      <c r="C805" s="37"/>
      <c r="D805" s="88" t="s">
        <v>1527</v>
      </c>
      <c r="E805" s="81"/>
      <c r="F805" s="40"/>
      <c r="G805" s="41"/>
      <c r="H805" s="42"/>
      <c r="I805" s="39"/>
      <c r="J805" s="45" t="s">
        <v>57</v>
      </c>
      <c r="K805" s="39" t="s">
        <v>57</v>
      </c>
      <c r="L805" s="46"/>
    </row>
    <row r="806" spans="2:12" ht="37.5" x14ac:dyDescent="0.25">
      <c r="B806" s="36" t="s">
        <v>1526</v>
      </c>
      <c r="C806" s="37" t="s">
        <v>1528</v>
      </c>
      <c r="D806" s="83" t="s">
        <v>1529</v>
      </c>
      <c r="E806" s="81" t="s">
        <v>102</v>
      </c>
      <c r="F806" s="40">
        <v>5</v>
      </c>
      <c r="G806" s="41"/>
      <c r="H806" s="42"/>
      <c r="I806" s="39">
        <f t="shared" ref="I806:I830" si="26">F806*G806</f>
        <v>0</v>
      </c>
      <c r="J806" s="45" t="s">
        <v>107</v>
      </c>
      <c r="K806" s="39" t="s">
        <v>108</v>
      </c>
      <c r="L806" s="46"/>
    </row>
    <row r="807" spans="2:12" ht="37.5" x14ac:dyDescent="0.25">
      <c r="B807" s="36" t="s">
        <v>1526</v>
      </c>
      <c r="C807" s="37" t="s">
        <v>1530</v>
      </c>
      <c r="D807" s="83" t="s">
        <v>1531</v>
      </c>
      <c r="E807" s="81" t="s">
        <v>102</v>
      </c>
      <c r="F807" s="40">
        <v>15</v>
      </c>
      <c r="G807" s="41"/>
      <c r="H807" s="42"/>
      <c r="I807" s="39">
        <f t="shared" si="26"/>
        <v>0</v>
      </c>
      <c r="J807" s="45" t="s">
        <v>107</v>
      </c>
      <c r="K807" s="39" t="s">
        <v>108</v>
      </c>
      <c r="L807" s="46"/>
    </row>
    <row r="808" spans="2:12" ht="37.5" x14ac:dyDescent="0.25">
      <c r="B808" s="36" t="s">
        <v>1526</v>
      </c>
      <c r="C808" s="37" t="s">
        <v>1532</v>
      </c>
      <c r="D808" s="83" t="s">
        <v>1533</v>
      </c>
      <c r="E808" s="81" t="s">
        <v>102</v>
      </c>
      <c r="F808" s="40">
        <v>52</v>
      </c>
      <c r="G808" s="41"/>
      <c r="H808" s="42"/>
      <c r="I808" s="39">
        <f t="shared" si="26"/>
        <v>0</v>
      </c>
      <c r="J808" s="45" t="s">
        <v>107</v>
      </c>
      <c r="K808" s="39" t="s">
        <v>108</v>
      </c>
      <c r="L808" s="46"/>
    </row>
    <row r="809" spans="2:12" ht="75" x14ac:dyDescent="0.25">
      <c r="B809" s="36" t="s">
        <v>1526</v>
      </c>
      <c r="C809" s="37" t="s">
        <v>1534</v>
      </c>
      <c r="D809" s="83" t="s">
        <v>1535</v>
      </c>
      <c r="E809" s="81" t="s">
        <v>102</v>
      </c>
      <c r="F809" s="40">
        <v>2</v>
      </c>
      <c r="G809" s="41"/>
      <c r="H809" s="42"/>
      <c r="I809" s="39">
        <f t="shared" si="26"/>
        <v>0</v>
      </c>
      <c r="J809" s="45" t="s">
        <v>107</v>
      </c>
      <c r="K809" s="39" t="s">
        <v>108</v>
      </c>
      <c r="L809" s="46"/>
    </row>
    <row r="810" spans="2:12" ht="37.5" x14ac:dyDescent="0.25">
      <c r="B810" s="36" t="s">
        <v>1526</v>
      </c>
      <c r="C810" s="37" t="s">
        <v>1536</v>
      </c>
      <c r="D810" s="83" t="s">
        <v>1537</v>
      </c>
      <c r="E810" s="81" t="s">
        <v>102</v>
      </c>
      <c r="F810" s="40">
        <v>1</v>
      </c>
      <c r="G810" s="41"/>
      <c r="H810" s="42"/>
      <c r="I810" s="39">
        <f t="shared" si="26"/>
        <v>0</v>
      </c>
      <c r="J810" s="45" t="s">
        <v>107</v>
      </c>
      <c r="K810" s="39" t="s">
        <v>108</v>
      </c>
      <c r="L810" s="46"/>
    </row>
    <row r="811" spans="2:12" ht="37.5" x14ac:dyDescent="0.25">
      <c r="B811" s="36" t="s">
        <v>1526</v>
      </c>
      <c r="C811" s="37" t="s">
        <v>1538</v>
      </c>
      <c r="D811" s="83" t="s">
        <v>1539</v>
      </c>
      <c r="E811" s="81" t="s">
        <v>102</v>
      </c>
      <c r="F811" s="40">
        <v>4</v>
      </c>
      <c r="G811" s="41"/>
      <c r="H811" s="42"/>
      <c r="I811" s="39">
        <f t="shared" si="26"/>
        <v>0</v>
      </c>
      <c r="J811" s="45" t="s">
        <v>107</v>
      </c>
      <c r="K811" s="39" t="s">
        <v>108</v>
      </c>
      <c r="L811" s="46"/>
    </row>
    <row r="812" spans="2:12" ht="37.5" x14ac:dyDescent="0.25">
      <c r="B812" s="36" t="s">
        <v>1526</v>
      </c>
      <c r="C812" s="37" t="s">
        <v>1540</v>
      </c>
      <c r="D812" s="83" t="s">
        <v>1541</v>
      </c>
      <c r="E812" s="81" t="s">
        <v>102</v>
      </c>
      <c r="F812" s="40">
        <v>3</v>
      </c>
      <c r="G812" s="41"/>
      <c r="H812" s="42"/>
      <c r="I812" s="39">
        <f t="shared" si="26"/>
        <v>0</v>
      </c>
      <c r="J812" s="45" t="s">
        <v>107</v>
      </c>
      <c r="K812" s="39" t="s">
        <v>108</v>
      </c>
      <c r="L812" s="46"/>
    </row>
    <row r="813" spans="2:12" ht="37.5" x14ac:dyDescent="0.25">
      <c r="B813" s="36" t="s">
        <v>1526</v>
      </c>
      <c r="C813" s="37" t="s">
        <v>1542</v>
      </c>
      <c r="D813" s="83" t="s">
        <v>1543</v>
      </c>
      <c r="E813" s="81" t="s">
        <v>102</v>
      </c>
      <c r="F813" s="40">
        <v>1</v>
      </c>
      <c r="G813" s="41"/>
      <c r="H813" s="42"/>
      <c r="I813" s="39">
        <f t="shared" si="26"/>
        <v>0</v>
      </c>
      <c r="J813" s="45" t="s">
        <v>107</v>
      </c>
      <c r="K813" s="39" t="s">
        <v>108</v>
      </c>
      <c r="L813" s="46"/>
    </row>
    <row r="814" spans="2:12" ht="37.5" x14ac:dyDescent="0.25">
      <c r="B814" s="36" t="s">
        <v>1526</v>
      </c>
      <c r="C814" s="37" t="s">
        <v>1544</v>
      </c>
      <c r="D814" s="83" t="s">
        <v>1545</v>
      </c>
      <c r="E814" s="81" t="s">
        <v>102</v>
      </c>
      <c r="F814" s="40">
        <v>1</v>
      </c>
      <c r="G814" s="41"/>
      <c r="H814" s="42"/>
      <c r="I814" s="39">
        <f t="shared" si="26"/>
        <v>0</v>
      </c>
      <c r="J814" s="45" t="s">
        <v>107</v>
      </c>
      <c r="K814" s="39" t="s">
        <v>108</v>
      </c>
      <c r="L814" s="46"/>
    </row>
    <row r="815" spans="2:12" ht="37.5" x14ac:dyDescent="0.25">
      <c r="B815" s="36" t="s">
        <v>1526</v>
      </c>
      <c r="C815" s="37" t="s">
        <v>1546</v>
      </c>
      <c r="D815" s="83" t="s">
        <v>1547</v>
      </c>
      <c r="E815" s="81" t="s">
        <v>102</v>
      </c>
      <c r="F815" s="40">
        <v>1</v>
      </c>
      <c r="G815" s="41"/>
      <c r="H815" s="42"/>
      <c r="I815" s="39">
        <f t="shared" si="26"/>
        <v>0</v>
      </c>
      <c r="J815" s="45" t="s">
        <v>107</v>
      </c>
      <c r="K815" s="39" t="s">
        <v>108</v>
      </c>
      <c r="L815" s="46"/>
    </row>
    <row r="816" spans="2:12" ht="37.5" x14ac:dyDescent="0.25">
      <c r="B816" s="36" t="s">
        <v>1526</v>
      </c>
      <c r="C816" s="37" t="s">
        <v>1548</v>
      </c>
      <c r="D816" s="83" t="s">
        <v>1549</v>
      </c>
      <c r="E816" s="81" t="s">
        <v>102</v>
      </c>
      <c r="F816" s="40">
        <v>1</v>
      </c>
      <c r="G816" s="41"/>
      <c r="H816" s="42"/>
      <c r="I816" s="39">
        <f t="shared" si="26"/>
        <v>0</v>
      </c>
      <c r="J816" s="45" t="s">
        <v>107</v>
      </c>
      <c r="K816" s="39" t="s">
        <v>108</v>
      </c>
      <c r="L816" s="46"/>
    </row>
    <row r="817" spans="2:12" ht="37.5" x14ac:dyDescent="0.25">
      <c r="B817" s="36" t="s">
        <v>1526</v>
      </c>
      <c r="C817" s="37" t="s">
        <v>1550</v>
      </c>
      <c r="D817" s="83" t="s">
        <v>1551</v>
      </c>
      <c r="E817" s="81" t="s">
        <v>102</v>
      </c>
      <c r="F817" s="40">
        <v>2</v>
      </c>
      <c r="G817" s="41"/>
      <c r="H817" s="42"/>
      <c r="I817" s="39">
        <f t="shared" si="26"/>
        <v>0</v>
      </c>
      <c r="J817" s="45" t="s">
        <v>107</v>
      </c>
      <c r="K817" s="39" t="s">
        <v>108</v>
      </c>
      <c r="L817" s="46"/>
    </row>
    <row r="818" spans="2:12" ht="75" x14ac:dyDescent="0.25">
      <c r="B818" s="36" t="s">
        <v>1526</v>
      </c>
      <c r="C818" s="37" t="s">
        <v>1552</v>
      </c>
      <c r="D818" s="83" t="s">
        <v>1553</v>
      </c>
      <c r="E818" s="81" t="s">
        <v>102</v>
      </c>
      <c r="F818" s="40">
        <v>2</v>
      </c>
      <c r="G818" s="41"/>
      <c r="H818" s="42"/>
      <c r="I818" s="39">
        <f t="shared" si="26"/>
        <v>0</v>
      </c>
      <c r="J818" s="45" t="s">
        <v>107</v>
      </c>
      <c r="K818" s="39" t="s">
        <v>108</v>
      </c>
      <c r="L818" s="46"/>
    </row>
    <row r="819" spans="2:12" ht="37.5" x14ac:dyDescent="0.25">
      <c r="B819" s="36" t="s">
        <v>1526</v>
      </c>
      <c r="C819" s="37" t="s">
        <v>1554</v>
      </c>
      <c r="D819" s="83" t="s">
        <v>1555</v>
      </c>
      <c r="E819" s="81" t="s">
        <v>102</v>
      </c>
      <c r="F819" s="40">
        <v>1</v>
      </c>
      <c r="G819" s="41"/>
      <c r="H819" s="42"/>
      <c r="I819" s="39">
        <f t="shared" si="26"/>
        <v>0</v>
      </c>
      <c r="J819" s="45" t="s">
        <v>107</v>
      </c>
      <c r="K819" s="39" t="s">
        <v>108</v>
      </c>
      <c r="L819" s="46"/>
    </row>
    <row r="820" spans="2:12" ht="37.5" x14ac:dyDescent="0.25">
      <c r="B820" s="36" t="s">
        <v>1526</v>
      </c>
      <c r="C820" s="37" t="s">
        <v>1556</v>
      </c>
      <c r="D820" s="83" t="s">
        <v>1557</v>
      </c>
      <c r="E820" s="81" t="s">
        <v>102</v>
      </c>
      <c r="F820" s="40">
        <v>1</v>
      </c>
      <c r="G820" s="41"/>
      <c r="H820" s="42"/>
      <c r="I820" s="39">
        <f t="shared" si="26"/>
        <v>0</v>
      </c>
      <c r="J820" s="45" t="s">
        <v>107</v>
      </c>
      <c r="K820" s="39" t="s">
        <v>108</v>
      </c>
      <c r="L820" s="46"/>
    </row>
    <row r="821" spans="2:12" ht="37.5" x14ac:dyDescent="0.25">
      <c r="B821" s="36" t="s">
        <v>1526</v>
      </c>
      <c r="C821" s="37" t="s">
        <v>1558</v>
      </c>
      <c r="D821" s="83" t="s">
        <v>1559</v>
      </c>
      <c r="E821" s="81" t="s">
        <v>102</v>
      </c>
      <c r="F821" s="40">
        <v>2</v>
      </c>
      <c r="G821" s="41"/>
      <c r="H821" s="42"/>
      <c r="I821" s="39">
        <f t="shared" si="26"/>
        <v>0</v>
      </c>
      <c r="J821" s="45" t="s">
        <v>107</v>
      </c>
      <c r="K821" s="39" t="s">
        <v>108</v>
      </c>
      <c r="L821" s="46"/>
    </row>
    <row r="822" spans="2:12" ht="37.5" x14ac:dyDescent="0.25">
      <c r="B822" s="36" t="s">
        <v>1526</v>
      </c>
      <c r="C822" s="37" t="s">
        <v>1560</v>
      </c>
      <c r="D822" s="83" t="s">
        <v>1561</v>
      </c>
      <c r="E822" s="81" t="s">
        <v>102</v>
      </c>
      <c r="F822" s="40">
        <v>3</v>
      </c>
      <c r="G822" s="41"/>
      <c r="H822" s="42"/>
      <c r="I822" s="39">
        <f t="shared" si="26"/>
        <v>0</v>
      </c>
      <c r="J822" s="45" t="s">
        <v>107</v>
      </c>
      <c r="K822" s="39" t="s">
        <v>108</v>
      </c>
      <c r="L822" s="46"/>
    </row>
    <row r="823" spans="2:12" ht="37.5" x14ac:dyDescent="0.25">
      <c r="B823" s="36" t="s">
        <v>1526</v>
      </c>
      <c r="C823" s="37" t="s">
        <v>1562</v>
      </c>
      <c r="D823" s="83" t="s">
        <v>1563</v>
      </c>
      <c r="E823" s="81" t="s">
        <v>102</v>
      </c>
      <c r="F823" s="40">
        <v>1</v>
      </c>
      <c r="G823" s="41"/>
      <c r="H823" s="42"/>
      <c r="I823" s="39">
        <f t="shared" si="26"/>
        <v>0</v>
      </c>
      <c r="J823" s="45" t="s">
        <v>107</v>
      </c>
      <c r="K823" s="39" t="s">
        <v>108</v>
      </c>
      <c r="L823" s="46"/>
    </row>
    <row r="824" spans="2:12" ht="37.5" x14ac:dyDescent="0.25">
      <c r="B824" s="36" t="s">
        <v>1526</v>
      </c>
      <c r="C824" s="37" t="s">
        <v>1564</v>
      </c>
      <c r="D824" s="83" t="s">
        <v>1565</v>
      </c>
      <c r="E824" s="81" t="s">
        <v>102</v>
      </c>
      <c r="F824" s="40">
        <v>7</v>
      </c>
      <c r="G824" s="41"/>
      <c r="H824" s="42"/>
      <c r="I824" s="39">
        <f t="shared" si="26"/>
        <v>0</v>
      </c>
      <c r="J824" s="45" t="s">
        <v>107</v>
      </c>
      <c r="K824" s="39" t="s">
        <v>108</v>
      </c>
      <c r="L824" s="46"/>
    </row>
    <row r="825" spans="2:12" ht="37.5" x14ac:dyDescent="0.25">
      <c r="B825" s="36" t="s">
        <v>1526</v>
      </c>
      <c r="C825" s="37" t="s">
        <v>1566</v>
      </c>
      <c r="D825" s="83" t="s">
        <v>1567</v>
      </c>
      <c r="E825" s="39" t="s">
        <v>1568</v>
      </c>
      <c r="F825" s="40">
        <v>1</v>
      </c>
      <c r="G825" s="41"/>
      <c r="H825" s="42"/>
      <c r="I825" s="39">
        <f t="shared" si="26"/>
        <v>0</v>
      </c>
      <c r="J825" s="128" t="s">
        <v>107</v>
      </c>
      <c r="K825" s="39" t="s">
        <v>108</v>
      </c>
      <c r="L825" s="129"/>
    </row>
    <row r="826" spans="2:12" ht="37.5" x14ac:dyDescent="0.25">
      <c r="B826" s="36" t="s">
        <v>1526</v>
      </c>
      <c r="C826" s="37" t="s">
        <v>1569</v>
      </c>
      <c r="D826" s="83" t="s">
        <v>1570</v>
      </c>
      <c r="E826" s="81" t="s">
        <v>102</v>
      </c>
      <c r="F826" s="40">
        <v>1</v>
      </c>
      <c r="G826" s="41"/>
      <c r="H826" s="42"/>
      <c r="I826" s="39">
        <f t="shared" si="26"/>
        <v>0</v>
      </c>
      <c r="J826" s="45" t="s">
        <v>107</v>
      </c>
      <c r="K826" s="39" t="s">
        <v>108</v>
      </c>
      <c r="L826" s="46"/>
    </row>
    <row r="827" spans="2:12" ht="37.5" x14ac:dyDescent="0.25">
      <c r="B827" s="36" t="s">
        <v>1526</v>
      </c>
      <c r="C827" s="37" t="s">
        <v>1571</v>
      </c>
      <c r="D827" s="83" t="s">
        <v>1572</v>
      </c>
      <c r="E827" s="81" t="s">
        <v>102</v>
      </c>
      <c r="F827" s="40">
        <v>2</v>
      </c>
      <c r="G827" s="41"/>
      <c r="H827" s="42"/>
      <c r="I827" s="39">
        <f t="shared" si="26"/>
        <v>0</v>
      </c>
      <c r="J827" s="45" t="s">
        <v>107</v>
      </c>
      <c r="K827" s="39" t="s">
        <v>108</v>
      </c>
      <c r="L827" s="46"/>
    </row>
    <row r="828" spans="2:12" ht="37.5" x14ac:dyDescent="0.25">
      <c r="B828" s="36" t="s">
        <v>1526</v>
      </c>
      <c r="C828" s="37" t="s">
        <v>1573</v>
      </c>
      <c r="D828" s="83" t="s">
        <v>1574</v>
      </c>
      <c r="E828" s="81" t="s">
        <v>102</v>
      </c>
      <c r="F828" s="40">
        <v>1</v>
      </c>
      <c r="G828" s="41"/>
      <c r="H828" s="42"/>
      <c r="I828" s="39">
        <f t="shared" si="26"/>
        <v>0</v>
      </c>
      <c r="J828" s="45" t="s">
        <v>107</v>
      </c>
      <c r="K828" s="39" t="s">
        <v>108</v>
      </c>
      <c r="L828" s="46"/>
    </row>
    <row r="829" spans="2:12" ht="37.5" x14ac:dyDescent="0.25">
      <c r="B829" s="130" t="s">
        <v>1526</v>
      </c>
      <c r="C829" s="37" t="s">
        <v>1575</v>
      </c>
      <c r="D829" s="83" t="s">
        <v>1576</v>
      </c>
      <c r="E829" s="39" t="s">
        <v>1577</v>
      </c>
      <c r="F829" s="131">
        <v>1</v>
      </c>
      <c r="G829" s="52"/>
      <c r="H829" s="132"/>
      <c r="I829" s="39">
        <f t="shared" si="26"/>
        <v>0</v>
      </c>
      <c r="J829" s="128" t="s">
        <v>107</v>
      </c>
      <c r="K829" s="39" t="s">
        <v>108</v>
      </c>
      <c r="L829" s="129"/>
    </row>
    <row r="830" spans="2:12" ht="37.5" x14ac:dyDescent="0.25">
      <c r="B830" s="36" t="s">
        <v>1526</v>
      </c>
      <c r="C830" s="37" t="s">
        <v>1578</v>
      </c>
      <c r="D830" s="83" t="s">
        <v>1579</v>
      </c>
      <c r="E830" s="81" t="s">
        <v>102</v>
      </c>
      <c r="F830" s="40">
        <v>1</v>
      </c>
      <c r="G830" s="41"/>
      <c r="H830" s="42"/>
      <c r="I830" s="39">
        <f t="shared" si="26"/>
        <v>0</v>
      </c>
      <c r="J830" s="45" t="s">
        <v>107</v>
      </c>
      <c r="K830" s="39" t="s">
        <v>108</v>
      </c>
      <c r="L830" s="46"/>
    </row>
    <row r="831" spans="2:12" ht="150" x14ac:dyDescent="0.25">
      <c r="B831" s="36" t="s">
        <v>1454</v>
      </c>
      <c r="C831" s="37"/>
      <c r="D831" s="88" t="s">
        <v>1580</v>
      </c>
      <c r="E831" s="39"/>
      <c r="F831" s="40"/>
      <c r="G831" s="41"/>
      <c r="H831" s="42"/>
      <c r="I831" s="39"/>
      <c r="J831" s="45" t="s">
        <v>57</v>
      </c>
      <c r="K831" s="39" t="s">
        <v>57</v>
      </c>
      <c r="L831" s="46"/>
    </row>
    <row r="832" spans="2:12" ht="37.5" x14ac:dyDescent="0.25">
      <c r="B832" s="36" t="s">
        <v>1454</v>
      </c>
      <c r="C832" s="37" t="s">
        <v>1456</v>
      </c>
      <c r="D832" s="83" t="s">
        <v>1581</v>
      </c>
      <c r="E832" s="81" t="s">
        <v>102</v>
      </c>
      <c r="F832" s="40">
        <v>150</v>
      </c>
      <c r="G832" s="41"/>
      <c r="H832" s="42"/>
      <c r="I832" s="39">
        <f t="shared" ref="I832:I855" si="27">F832*G832</f>
        <v>0</v>
      </c>
      <c r="J832" s="45">
        <v>2088</v>
      </c>
      <c r="K832" s="39" t="s">
        <v>30</v>
      </c>
      <c r="L832" s="46"/>
    </row>
    <row r="833" spans="2:12" ht="56.25" x14ac:dyDescent="0.25">
      <c r="B833" s="36" t="s">
        <v>1454</v>
      </c>
      <c r="C833" s="37" t="s">
        <v>1458</v>
      </c>
      <c r="D833" s="83" t="s">
        <v>1582</v>
      </c>
      <c r="E833" s="81" t="s">
        <v>102</v>
      </c>
      <c r="F833" s="40">
        <v>31</v>
      </c>
      <c r="G833" s="41"/>
      <c r="H833" s="42"/>
      <c r="I833" s="39">
        <f t="shared" si="27"/>
        <v>0</v>
      </c>
      <c r="J833" s="45">
        <v>2088</v>
      </c>
      <c r="K833" s="39" t="s">
        <v>30</v>
      </c>
      <c r="L833" s="46"/>
    </row>
    <row r="834" spans="2:12" ht="56.25" x14ac:dyDescent="0.25">
      <c r="B834" s="36" t="s">
        <v>1454</v>
      </c>
      <c r="C834" s="37" t="s">
        <v>1460</v>
      </c>
      <c r="D834" s="83" t="s">
        <v>1583</v>
      </c>
      <c r="E834" s="81" t="s">
        <v>102</v>
      </c>
      <c r="F834" s="40">
        <v>2</v>
      </c>
      <c r="G834" s="41"/>
      <c r="H834" s="42"/>
      <c r="I834" s="39">
        <f t="shared" si="27"/>
        <v>0</v>
      </c>
      <c r="J834" s="45">
        <v>2088</v>
      </c>
      <c r="K834" s="39" t="s">
        <v>30</v>
      </c>
      <c r="L834" s="46"/>
    </row>
    <row r="835" spans="2:12" ht="37.5" x14ac:dyDescent="0.25">
      <c r="B835" s="36" t="s">
        <v>1454</v>
      </c>
      <c r="C835" s="37" t="s">
        <v>1462</v>
      </c>
      <c r="D835" s="83" t="s">
        <v>1584</v>
      </c>
      <c r="E835" s="81" t="s">
        <v>102</v>
      </c>
      <c r="F835" s="40">
        <v>68</v>
      </c>
      <c r="G835" s="41"/>
      <c r="H835" s="42"/>
      <c r="I835" s="39">
        <f t="shared" si="27"/>
        <v>0</v>
      </c>
      <c r="J835" s="45">
        <v>2088</v>
      </c>
      <c r="K835" s="39" t="s">
        <v>30</v>
      </c>
      <c r="L835" s="46"/>
    </row>
    <row r="836" spans="2:12" ht="56.25" x14ac:dyDescent="0.25">
      <c r="B836" s="36" t="s">
        <v>1454</v>
      </c>
      <c r="C836" s="37" t="s">
        <v>1464</v>
      </c>
      <c r="D836" s="83" t="s">
        <v>1585</v>
      </c>
      <c r="E836" s="81" t="s">
        <v>102</v>
      </c>
      <c r="F836" s="40">
        <v>6</v>
      </c>
      <c r="G836" s="41"/>
      <c r="H836" s="42"/>
      <c r="I836" s="39">
        <f t="shared" si="27"/>
        <v>0</v>
      </c>
      <c r="J836" s="45">
        <v>2088</v>
      </c>
      <c r="K836" s="39" t="s">
        <v>30</v>
      </c>
      <c r="L836" s="46"/>
    </row>
    <row r="837" spans="2:12" ht="56.25" x14ac:dyDescent="0.25">
      <c r="B837" s="36" t="s">
        <v>1454</v>
      </c>
      <c r="C837" s="37" t="s">
        <v>1466</v>
      </c>
      <c r="D837" s="83" t="s">
        <v>1586</v>
      </c>
      <c r="E837" s="81" t="s">
        <v>102</v>
      </c>
      <c r="F837" s="40">
        <v>2</v>
      </c>
      <c r="G837" s="41"/>
      <c r="H837" s="42"/>
      <c r="I837" s="39">
        <f t="shared" si="27"/>
        <v>0</v>
      </c>
      <c r="J837" s="45">
        <v>2088</v>
      </c>
      <c r="K837" s="39" t="s">
        <v>30</v>
      </c>
      <c r="L837" s="46"/>
    </row>
    <row r="838" spans="2:12" ht="56.25" x14ac:dyDescent="0.25">
      <c r="B838" s="36" t="s">
        <v>1454</v>
      </c>
      <c r="C838" s="37" t="s">
        <v>1468</v>
      </c>
      <c r="D838" s="83" t="s">
        <v>1587</v>
      </c>
      <c r="E838" s="81" t="s">
        <v>102</v>
      </c>
      <c r="F838" s="40">
        <v>25</v>
      </c>
      <c r="G838" s="41"/>
      <c r="H838" s="42"/>
      <c r="I838" s="39">
        <f t="shared" si="27"/>
        <v>0</v>
      </c>
      <c r="J838" s="45">
        <v>2088</v>
      </c>
      <c r="K838" s="39" t="s">
        <v>30</v>
      </c>
      <c r="L838" s="46"/>
    </row>
    <row r="839" spans="2:12" ht="56.25" x14ac:dyDescent="0.25">
      <c r="B839" s="36" t="s">
        <v>1454</v>
      </c>
      <c r="C839" s="37" t="s">
        <v>1470</v>
      </c>
      <c r="D839" s="83" t="s">
        <v>1588</v>
      </c>
      <c r="E839" s="81" t="s">
        <v>102</v>
      </c>
      <c r="F839" s="40">
        <v>12</v>
      </c>
      <c r="G839" s="41"/>
      <c r="H839" s="42"/>
      <c r="I839" s="39">
        <f t="shared" si="27"/>
        <v>0</v>
      </c>
      <c r="J839" s="45">
        <v>2088</v>
      </c>
      <c r="K839" s="39" t="s">
        <v>30</v>
      </c>
      <c r="L839" s="46"/>
    </row>
    <row r="840" spans="2:12" ht="56.25" x14ac:dyDescent="0.25">
      <c r="B840" s="36" t="s">
        <v>1454</v>
      </c>
      <c r="C840" s="37" t="s">
        <v>1472</v>
      </c>
      <c r="D840" s="83" t="s">
        <v>1589</v>
      </c>
      <c r="E840" s="81" t="s">
        <v>102</v>
      </c>
      <c r="F840" s="40">
        <v>43</v>
      </c>
      <c r="G840" s="41"/>
      <c r="H840" s="42"/>
      <c r="I840" s="39">
        <f t="shared" si="27"/>
        <v>0</v>
      </c>
      <c r="J840" s="45">
        <v>2088</v>
      </c>
      <c r="K840" s="39" t="s">
        <v>30</v>
      </c>
      <c r="L840" s="46"/>
    </row>
    <row r="841" spans="2:12" ht="56.25" x14ac:dyDescent="0.25">
      <c r="B841" s="36" t="s">
        <v>1454</v>
      </c>
      <c r="C841" s="37" t="s">
        <v>1474</v>
      </c>
      <c r="D841" s="83" t="s">
        <v>1590</v>
      </c>
      <c r="E841" s="81" t="s">
        <v>102</v>
      </c>
      <c r="F841" s="40">
        <v>12</v>
      </c>
      <c r="G841" s="41"/>
      <c r="H841" s="42"/>
      <c r="I841" s="39">
        <f t="shared" si="27"/>
        <v>0</v>
      </c>
      <c r="J841" s="45">
        <v>2088</v>
      </c>
      <c r="K841" s="39" t="s">
        <v>30</v>
      </c>
      <c r="L841" s="46"/>
    </row>
    <row r="842" spans="2:12" ht="75" x14ac:dyDescent="0.25">
      <c r="B842" s="36" t="s">
        <v>1454</v>
      </c>
      <c r="C842" s="37" t="s">
        <v>1476</v>
      </c>
      <c r="D842" s="83" t="s">
        <v>1591</v>
      </c>
      <c r="E842" s="81" t="s">
        <v>102</v>
      </c>
      <c r="F842" s="40">
        <v>8</v>
      </c>
      <c r="G842" s="41"/>
      <c r="H842" s="42"/>
      <c r="I842" s="39">
        <f t="shared" si="27"/>
        <v>0</v>
      </c>
      <c r="J842" s="45">
        <v>2088</v>
      </c>
      <c r="K842" s="39" t="s">
        <v>30</v>
      </c>
      <c r="L842" s="46"/>
    </row>
    <row r="843" spans="2:12" ht="56.25" x14ac:dyDescent="0.25">
      <c r="B843" s="36" t="s">
        <v>1454</v>
      </c>
      <c r="C843" s="37" t="s">
        <v>1478</v>
      </c>
      <c r="D843" s="83" t="s">
        <v>1592</v>
      </c>
      <c r="E843" s="81" t="s">
        <v>102</v>
      </c>
      <c r="F843" s="40">
        <v>82</v>
      </c>
      <c r="G843" s="41"/>
      <c r="H843" s="42"/>
      <c r="I843" s="39">
        <f t="shared" si="27"/>
        <v>0</v>
      </c>
      <c r="J843" s="45">
        <v>2088</v>
      </c>
      <c r="K843" s="39" t="s">
        <v>30</v>
      </c>
      <c r="L843" s="46"/>
    </row>
    <row r="844" spans="2:12" ht="75" x14ac:dyDescent="0.25">
      <c r="B844" s="36" t="s">
        <v>1454</v>
      </c>
      <c r="C844" s="37" t="s">
        <v>1480</v>
      </c>
      <c r="D844" s="83" t="s">
        <v>1593</v>
      </c>
      <c r="E844" s="81" t="s">
        <v>102</v>
      </c>
      <c r="F844" s="40">
        <v>2</v>
      </c>
      <c r="G844" s="41"/>
      <c r="H844" s="42"/>
      <c r="I844" s="39">
        <f t="shared" si="27"/>
        <v>0</v>
      </c>
      <c r="J844" s="45">
        <v>2088</v>
      </c>
      <c r="K844" s="39" t="s">
        <v>30</v>
      </c>
      <c r="L844" s="46"/>
    </row>
    <row r="845" spans="2:12" ht="75" x14ac:dyDescent="0.25">
      <c r="B845" s="36" t="s">
        <v>1454</v>
      </c>
      <c r="C845" s="37" t="s">
        <v>1482</v>
      </c>
      <c r="D845" s="83" t="s">
        <v>1594</v>
      </c>
      <c r="E845" s="81" t="s">
        <v>102</v>
      </c>
      <c r="F845" s="40">
        <v>27</v>
      </c>
      <c r="G845" s="41"/>
      <c r="H845" s="42"/>
      <c r="I845" s="39">
        <f t="shared" si="27"/>
        <v>0</v>
      </c>
      <c r="J845" s="45">
        <v>2088</v>
      </c>
      <c r="K845" s="39" t="s">
        <v>30</v>
      </c>
      <c r="L845" s="46"/>
    </row>
    <row r="846" spans="2:12" ht="75" x14ac:dyDescent="0.25">
      <c r="B846" s="36" t="s">
        <v>1454</v>
      </c>
      <c r="C846" s="37" t="s">
        <v>1484</v>
      </c>
      <c r="D846" s="83" t="s">
        <v>1595</v>
      </c>
      <c r="E846" s="81" t="s">
        <v>102</v>
      </c>
      <c r="F846" s="40">
        <v>1</v>
      </c>
      <c r="G846" s="41"/>
      <c r="H846" s="42"/>
      <c r="I846" s="39">
        <f t="shared" si="27"/>
        <v>0</v>
      </c>
      <c r="J846" s="45">
        <v>2088</v>
      </c>
      <c r="K846" s="39" t="s">
        <v>30</v>
      </c>
      <c r="L846" s="46"/>
    </row>
    <row r="847" spans="2:12" ht="75" x14ac:dyDescent="0.25">
      <c r="B847" s="36" t="s">
        <v>1454</v>
      </c>
      <c r="C847" s="37" t="s">
        <v>1486</v>
      </c>
      <c r="D847" s="83" t="s">
        <v>1596</v>
      </c>
      <c r="E847" s="81" t="s">
        <v>102</v>
      </c>
      <c r="F847" s="40">
        <v>3</v>
      </c>
      <c r="G847" s="41"/>
      <c r="H847" s="42"/>
      <c r="I847" s="39">
        <f t="shared" si="27"/>
        <v>0</v>
      </c>
      <c r="J847" s="45">
        <v>2088</v>
      </c>
      <c r="K847" s="39" t="s">
        <v>30</v>
      </c>
      <c r="L847" s="46"/>
    </row>
    <row r="848" spans="2:12" ht="56.25" x14ac:dyDescent="0.25">
      <c r="B848" s="36" t="s">
        <v>1454</v>
      </c>
      <c r="C848" s="37" t="s">
        <v>1488</v>
      </c>
      <c r="D848" s="83" t="s">
        <v>1597</v>
      </c>
      <c r="E848" s="81" t="s">
        <v>102</v>
      </c>
      <c r="F848" s="40">
        <v>70</v>
      </c>
      <c r="G848" s="41"/>
      <c r="H848" s="42"/>
      <c r="I848" s="39">
        <f t="shared" si="27"/>
        <v>0</v>
      </c>
      <c r="J848" s="45">
        <v>2088</v>
      </c>
      <c r="K848" s="39" t="s">
        <v>30</v>
      </c>
      <c r="L848" s="46"/>
    </row>
    <row r="849" spans="2:12" ht="75" x14ac:dyDescent="0.25">
      <c r="B849" s="36" t="s">
        <v>1454</v>
      </c>
      <c r="C849" s="37" t="s">
        <v>1490</v>
      </c>
      <c r="D849" s="83" t="s">
        <v>1598</v>
      </c>
      <c r="E849" s="81" t="s">
        <v>102</v>
      </c>
      <c r="F849" s="40">
        <v>11</v>
      </c>
      <c r="G849" s="41"/>
      <c r="H849" s="42"/>
      <c r="I849" s="39">
        <f t="shared" si="27"/>
        <v>0</v>
      </c>
      <c r="J849" s="45">
        <v>2088</v>
      </c>
      <c r="K849" s="39" t="s">
        <v>30</v>
      </c>
      <c r="L849" s="46"/>
    </row>
    <row r="850" spans="2:12" ht="75" x14ac:dyDescent="0.25">
      <c r="B850" s="36" t="s">
        <v>1454</v>
      </c>
      <c r="C850" s="37" t="s">
        <v>1492</v>
      </c>
      <c r="D850" s="38" t="s">
        <v>1599</v>
      </c>
      <c r="E850" s="81" t="s">
        <v>102</v>
      </c>
      <c r="F850" s="40">
        <v>5</v>
      </c>
      <c r="G850" s="41"/>
      <c r="H850" s="42"/>
      <c r="I850" s="39">
        <f t="shared" si="27"/>
        <v>0</v>
      </c>
      <c r="J850" s="45">
        <v>2088</v>
      </c>
      <c r="K850" s="39" t="s">
        <v>30</v>
      </c>
      <c r="L850" s="46"/>
    </row>
    <row r="851" spans="2:12" ht="75" x14ac:dyDescent="0.25">
      <c r="B851" s="36" t="s">
        <v>1454</v>
      </c>
      <c r="C851" s="37" t="s">
        <v>1494</v>
      </c>
      <c r="D851" s="83" t="s">
        <v>1600</v>
      </c>
      <c r="E851" s="81" t="s">
        <v>102</v>
      </c>
      <c r="F851" s="40">
        <v>29</v>
      </c>
      <c r="G851" s="41"/>
      <c r="H851" s="42"/>
      <c r="I851" s="39">
        <f t="shared" si="27"/>
        <v>0</v>
      </c>
      <c r="J851" s="45">
        <v>2088</v>
      </c>
      <c r="K851" s="39" t="s">
        <v>30</v>
      </c>
      <c r="L851" s="46"/>
    </row>
    <row r="852" spans="2:12" ht="75" x14ac:dyDescent="0.25">
      <c r="B852" s="36" t="s">
        <v>1454</v>
      </c>
      <c r="C852" s="37" t="s">
        <v>1496</v>
      </c>
      <c r="D852" s="83" t="s">
        <v>1601</v>
      </c>
      <c r="E852" s="81" t="s">
        <v>102</v>
      </c>
      <c r="F852" s="40">
        <v>13</v>
      </c>
      <c r="G852" s="41"/>
      <c r="H852" s="42"/>
      <c r="I852" s="39">
        <f t="shared" si="27"/>
        <v>0</v>
      </c>
      <c r="J852" s="45">
        <v>2088</v>
      </c>
      <c r="K852" s="39" t="s">
        <v>30</v>
      </c>
      <c r="L852" s="46"/>
    </row>
    <row r="853" spans="2:12" ht="75" x14ac:dyDescent="0.25">
      <c r="B853" s="36" t="s">
        <v>1454</v>
      </c>
      <c r="C853" s="37" t="s">
        <v>1498</v>
      </c>
      <c r="D853" s="83" t="s">
        <v>1602</v>
      </c>
      <c r="E853" s="81" t="s">
        <v>102</v>
      </c>
      <c r="F853" s="40">
        <v>1</v>
      </c>
      <c r="G853" s="41"/>
      <c r="H853" s="42"/>
      <c r="I853" s="39">
        <f t="shared" si="27"/>
        <v>0</v>
      </c>
      <c r="J853" s="45">
        <v>2088</v>
      </c>
      <c r="K853" s="39" t="s">
        <v>30</v>
      </c>
      <c r="L853" s="46"/>
    </row>
    <row r="854" spans="2:12" ht="75" x14ac:dyDescent="0.25">
      <c r="B854" s="36" t="s">
        <v>1454</v>
      </c>
      <c r="C854" s="37" t="s">
        <v>1500</v>
      </c>
      <c r="D854" s="83" t="s">
        <v>1603</v>
      </c>
      <c r="E854" s="81" t="s">
        <v>102</v>
      </c>
      <c r="F854" s="40">
        <v>4</v>
      </c>
      <c r="G854" s="41"/>
      <c r="H854" s="42"/>
      <c r="I854" s="39">
        <f t="shared" si="27"/>
        <v>0</v>
      </c>
      <c r="J854" s="45">
        <v>2088</v>
      </c>
      <c r="K854" s="39" t="s">
        <v>30</v>
      </c>
      <c r="L854" s="46"/>
    </row>
    <row r="855" spans="2:12" ht="56.25" x14ac:dyDescent="0.25">
      <c r="B855" s="36" t="s">
        <v>1454</v>
      </c>
      <c r="C855" s="37" t="s">
        <v>1502</v>
      </c>
      <c r="D855" s="83" t="s">
        <v>1604</v>
      </c>
      <c r="E855" s="81" t="s">
        <v>102</v>
      </c>
      <c r="F855" s="40">
        <v>2</v>
      </c>
      <c r="G855" s="41"/>
      <c r="H855" s="42"/>
      <c r="I855" s="39">
        <f t="shared" si="27"/>
        <v>0</v>
      </c>
      <c r="J855" s="45">
        <v>2088</v>
      </c>
      <c r="K855" s="39" t="s">
        <v>30</v>
      </c>
      <c r="L855" s="46"/>
    </row>
    <row r="856" spans="2:12" ht="131.25" x14ac:dyDescent="0.25">
      <c r="B856" s="36" t="s">
        <v>1605</v>
      </c>
      <c r="C856" s="37"/>
      <c r="D856" s="88" t="s">
        <v>1606</v>
      </c>
      <c r="E856" s="39"/>
      <c r="F856" s="40"/>
      <c r="G856" s="41"/>
      <c r="H856" s="42"/>
      <c r="I856" s="39"/>
      <c r="J856" s="45" t="s">
        <v>57</v>
      </c>
      <c r="K856" s="39" t="s">
        <v>57</v>
      </c>
      <c r="L856" s="46"/>
    </row>
    <row r="857" spans="2:12" ht="18.75" x14ac:dyDescent="0.25">
      <c r="B857" s="36" t="s">
        <v>1605</v>
      </c>
      <c r="C857" s="37" t="s">
        <v>1607</v>
      </c>
      <c r="D857" s="83" t="s">
        <v>1608</v>
      </c>
      <c r="E857" s="81" t="s">
        <v>102</v>
      </c>
      <c r="F857" s="40">
        <v>127</v>
      </c>
      <c r="G857" s="41"/>
      <c r="H857" s="42"/>
      <c r="I857" s="39">
        <f>F857*G857</f>
        <v>0</v>
      </c>
      <c r="J857" s="128">
        <v>2094</v>
      </c>
      <c r="K857" s="39" t="s">
        <v>30</v>
      </c>
      <c r="L857" s="129"/>
    </row>
    <row r="858" spans="2:12" ht="18.75" x14ac:dyDescent="0.25">
      <c r="B858" s="36" t="s">
        <v>1605</v>
      </c>
      <c r="C858" s="37" t="s">
        <v>1609</v>
      </c>
      <c r="D858" s="83" t="s">
        <v>1610</v>
      </c>
      <c r="E858" s="81" t="s">
        <v>102</v>
      </c>
      <c r="F858" s="40">
        <v>13</v>
      </c>
      <c r="G858" s="41"/>
      <c r="H858" s="42"/>
      <c r="I858" s="39">
        <f>F858*G858</f>
        <v>0</v>
      </c>
      <c r="J858" s="128">
        <v>2094</v>
      </c>
      <c r="K858" s="39" t="s">
        <v>30</v>
      </c>
      <c r="L858" s="129"/>
    </row>
    <row r="859" spans="2:12" ht="18.75" x14ac:dyDescent="0.25">
      <c r="B859" s="36" t="s">
        <v>1605</v>
      </c>
      <c r="C859" s="37" t="s">
        <v>1611</v>
      </c>
      <c r="D859" s="83" t="s">
        <v>1612</v>
      </c>
      <c r="E859" s="81" t="s">
        <v>102</v>
      </c>
      <c r="F859" s="40">
        <v>3</v>
      </c>
      <c r="G859" s="41"/>
      <c r="H859" s="42"/>
      <c r="I859" s="39">
        <f>F859*G859</f>
        <v>0</v>
      </c>
      <c r="J859" s="128">
        <v>2094</v>
      </c>
      <c r="K859" s="39" t="s">
        <v>30</v>
      </c>
      <c r="L859" s="129"/>
    </row>
    <row r="860" spans="2:12" ht="18.75" x14ac:dyDescent="0.25">
      <c r="B860" s="36" t="s">
        <v>1605</v>
      </c>
      <c r="C860" s="37" t="s">
        <v>1613</v>
      </c>
      <c r="D860" s="83" t="s">
        <v>1614</v>
      </c>
      <c r="E860" s="81" t="s">
        <v>102</v>
      </c>
      <c r="F860" s="40">
        <v>1</v>
      </c>
      <c r="G860" s="41"/>
      <c r="H860" s="42"/>
      <c r="I860" s="39">
        <f>F860*G860</f>
        <v>0</v>
      </c>
      <c r="J860" s="128">
        <v>2094</v>
      </c>
      <c r="K860" s="39" t="s">
        <v>30</v>
      </c>
      <c r="L860" s="129"/>
    </row>
    <row r="861" spans="2:12" ht="187.5" x14ac:dyDescent="0.25">
      <c r="B861" s="36" t="s">
        <v>1615</v>
      </c>
      <c r="C861" s="37"/>
      <c r="D861" s="88" t="s">
        <v>1616</v>
      </c>
      <c r="E861" s="39"/>
      <c r="F861" s="40"/>
      <c r="G861" s="41"/>
      <c r="H861" s="42"/>
      <c r="I861" s="39"/>
      <c r="J861" s="45" t="s">
        <v>57</v>
      </c>
      <c r="K861" s="39" t="s">
        <v>57</v>
      </c>
      <c r="L861" s="46"/>
    </row>
    <row r="862" spans="2:12" ht="18.75" x14ac:dyDescent="0.25">
      <c r="B862" s="36" t="s">
        <v>1615</v>
      </c>
      <c r="C862" s="37" t="s">
        <v>1617</v>
      </c>
      <c r="D862" s="83" t="s">
        <v>1618</v>
      </c>
      <c r="E862" s="81" t="s">
        <v>102</v>
      </c>
      <c r="F862" s="40">
        <v>7</v>
      </c>
      <c r="G862" s="41"/>
      <c r="H862" s="42"/>
      <c r="I862" s="39">
        <f t="shared" ref="I862:I896" si="28">F862*G862</f>
        <v>0</v>
      </c>
      <c r="J862" s="45">
        <v>2087</v>
      </c>
      <c r="K862" s="39" t="s">
        <v>30</v>
      </c>
      <c r="L862" s="46"/>
    </row>
    <row r="863" spans="2:12" ht="18.75" x14ac:dyDescent="0.25">
      <c r="B863" s="36" t="s">
        <v>1615</v>
      </c>
      <c r="C863" s="37" t="s">
        <v>1619</v>
      </c>
      <c r="D863" s="83" t="s">
        <v>1620</v>
      </c>
      <c r="E863" s="81" t="s">
        <v>102</v>
      </c>
      <c r="F863" s="40">
        <v>9</v>
      </c>
      <c r="G863" s="41"/>
      <c r="H863" s="42"/>
      <c r="I863" s="39">
        <f t="shared" si="28"/>
        <v>0</v>
      </c>
      <c r="J863" s="45">
        <v>2087</v>
      </c>
      <c r="K863" s="39" t="s">
        <v>30</v>
      </c>
      <c r="L863" s="46"/>
    </row>
    <row r="864" spans="2:12" ht="18.75" x14ac:dyDescent="0.25">
      <c r="B864" s="36" t="s">
        <v>1615</v>
      </c>
      <c r="C864" s="37" t="s">
        <v>1621</v>
      </c>
      <c r="D864" s="83" t="s">
        <v>1622</v>
      </c>
      <c r="E864" s="81" t="s">
        <v>102</v>
      </c>
      <c r="F864" s="40">
        <v>118</v>
      </c>
      <c r="G864" s="41"/>
      <c r="H864" s="42"/>
      <c r="I864" s="39">
        <f t="shared" si="28"/>
        <v>0</v>
      </c>
      <c r="J864" s="45">
        <v>2087</v>
      </c>
      <c r="K864" s="39" t="s">
        <v>30</v>
      </c>
      <c r="L864" s="46"/>
    </row>
    <row r="865" spans="2:12" ht="18.75" x14ac:dyDescent="0.25">
      <c r="B865" s="36" t="s">
        <v>1615</v>
      </c>
      <c r="C865" s="37" t="s">
        <v>1623</v>
      </c>
      <c r="D865" s="83" t="s">
        <v>1624</v>
      </c>
      <c r="E865" s="81" t="s">
        <v>102</v>
      </c>
      <c r="F865" s="40">
        <v>25</v>
      </c>
      <c r="G865" s="41"/>
      <c r="H865" s="42"/>
      <c r="I865" s="39">
        <f t="shared" si="28"/>
        <v>0</v>
      </c>
      <c r="J865" s="45">
        <v>2087</v>
      </c>
      <c r="K865" s="39" t="s">
        <v>30</v>
      </c>
      <c r="L865" s="46"/>
    </row>
    <row r="866" spans="2:12" ht="18.75" x14ac:dyDescent="0.25">
      <c r="B866" s="36" t="s">
        <v>1615</v>
      </c>
      <c r="C866" s="37" t="s">
        <v>1625</v>
      </c>
      <c r="D866" s="83" t="s">
        <v>1626</v>
      </c>
      <c r="E866" s="81" t="s">
        <v>102</v>
      </c>
      <c r="F866" s="40">
        <v>53</v>
      </c>
      <c r="G866" s="41"/>
      <c r="H866" s="42"/>
      <c r="I866" s="39">
        <f t="shared" si="28"/>
        <v>0</v>
      </c>
      <c r="J866" s="45">
        <v>2087</v>
      </c>
      <c r="K866" s="39" t="s">
        <v>30</v>
      </c>
      <c r="L866" s="46"/>
    </row>
    <row r="867" spans="2:12" ht="18.75" x14ac:dyDescent="0.25">
      <c r="B867" s="36" t="s">
        <v>1615</v>
      </c>
      <c r="C867" s="37" t="s">
        <v>1627</v>
      </c>
      <c r="D867" s="83" t="s">
        <v>1628</v>
      </c>
      <c r="E867" s="81" t="s">
        <v>102</v>
      </c>
      <c r="F867" s="40">
        <v>15</v>
      </c>
      <c r="G867" s="41"/>
      <c r="H867" s="42"/>
      <c r="I867" s="39">
        <f t="shared" si="28"/>
        <v>0</v>
      </c>
      <c r="J867" s="45">
        <v>2087</v>
      </c>
      <c r="K867" s="39" t="s">
        <v>30</v>
      </c>
      <c r="L867" s="46"/>
    </row>
    <row r="868" spans="2:12" ht="18.75" x14ac:dyDescent="0.25">
      <c r="B868" s="36" t="s">
        <v>1615</v>
      </c>
      <c r="C868" s="37" t="s">
        <v>1629</v>
      </c>
      <c r="D868" s="83" t="s">
        <v>1630</v>
      </c>
      <c r="E868" s="81" t="s">
        <v>102</v>
      </c>
      <c r="F868" s="40">
        <v>7</v>
      </c>
      <c r="G868" s="41"/>
      <c r="H868" s="42"/>
      <c r="I868" s="39">
        <f t="shared" si="28"/>
        <v>0</v>
      </c>
      <c r="J868" s="45">
        <v>2087</v>
      </c>
      <c r="K868" s="39" t="s">
        <v>30</v>
      </c>
      <c r="L868" s="46"/>
    </row>
    <row r="869" spans="2:12" ht="18.75" x14ac:dyDescent="0.25">
      <c r="B869" s="36" t="s">
        <v>1615</v>
      </c>
      <c r="C869" s="37" t="s">
        <v>1631</v>
      </c>
      <c r="D869" s="83" t="s">
        <v>1632</v>
      </c>
      <c r="E869" s="81" t="s">
        <v>102</v>
      </c>
      <c r="F869" s="40">
        <v>1</v>
      </c>
      <c r="G869" s="41"/>
      <c r="H869" s="42"/>
      <c r="I869" s="39">
        <f t="shared" si="28"/>
        <v>0</v>
      </c>
      <c r="J869" s="45">
        <v>2087</v>
      </c>
      <c r="K869" s="39" t="s">
        <v>30</v>
      </c>
      <c r="L869" s="46"/>
    </row>
    <row r="870" spans="2:12" ht="18.75" x14ac:dyDescent="0.25">
      <c r="B870" s="36" t="s">
        <v>1615</v>
      </c>
      <c r="C870" s="37" t="s">
        <v>1633</v>
      </c>
      <c r="D870" s="83" t="s">
        <v>1634</v>
      </c>
      <c r="E870" s="81" t="s">
        <v>102</v>
      </c>
      <c r="F870" s="40">
        <v>36</v>
      </c>
      <c r="G870" s="41"/>
      <c r="H870" s="42"/>
      <c r="I870" s="39">
        <f t="shared" si="28"/>
        <v>0</v>
      </c>
      <c r="J870" s="45">
        <v>2087</v>
      </c>
      <c r="K870" s="39" t="s">
        <v>30</v>
      </c>
      <c r="L870" s="46"/>
    </row>
    <row r="871" spans="2:12" ht="18.75" x14ac:dyDescent="0.25">
      <c r="B871" s="36" t="s">
        <v>1615</v>
      </c>
      <c r="C871" s="37" t="s">
        <v>1635</v>
      </c>
      <c r="D871" s="83" t="s">
        <v>1636</v>
      </c>
      <c r="E871" s="81" t="s">
        <v>102</v>
      </c>
      <c r="F871" s="40">
        <v>11</v>
      </c>
      <c r="G871" s="41"/>
      <c r="H871" s="42"/>
      <c r="I871" s="39">
        <f t="shared" si="28"/>
        <v>0</v>
      </c>
      <c r="J871" s="45">
        <v>2087</v>
      </c>
      <c r="K871" s="39" t="s">
        <v>30</v>
      </c>
      <c r="L871" s="46"/>
    </row>
    <row r="872" spans="2:12" ht="18.75" x14ac:dyDescent="0.25">
      <c r="B872" s="36" t="s">
        <v>1615</v>
      </c>
      <c r="C872" s="37" t="s">
        <v>1637</v>
      </c>
      <c r="D872" s="83" t="s">
        <v>1638</v>
      </c>
      <c r="E872" s="81" t="s">
        <v>102</v>
      </c>
      <c r="F872" s="40">
        <v>22</v>
      </c>
      <c r="G872" s="41"/>
      <c r="H872" s="42"/>
      <c r="I872" s="39">
        <f t="shared" si="28"/>
        <v>0</v>
      </c>
      <c r="J872" s="45">
        <v>2087</v>
      </c>
      <c r="K872" s="39" t="s">
        <v>30</v>
      </c>
      <c r="L872" s="46"/>
    </row>
    <row r="873" spans="2:12" ht="18.75" x14ac:dyDescent="0.25">
      <c r="B873" s="36" t="s">
        <v>1615</v>
      </c>
      <c r="C873" s="37" t="s">
        <v>1639</v>
      </c>
      <c r="D873" s="83" t="s">
        <v>1640</v>
      </c>
      <c r="E873" s="81" t="s">
        <v>102</v>
      </c>
      <c r="F873" s="40">
        <v>13</v>
      </c>
      <c r="G873" s="41"/>
      <c r="H873" s="42"/>
      <c r="I873" s="39">
        <f t="shared" si="28"/>
        <v>0</v>
      </c>
      <c r="J873" s="45">
        <v>2087</v>
      </c>
      <c r="K873" s="39" t="s">
        <v>30</v>
      </c>
      <c r="L873" s="46"/>
    </row>
    <row r="874" spans="2:12" ht="18.75" x14ac:dyDescent="0.25">
      <c r="B874" s="36" t="s">
        <v>1615</v>
      </c>
      <c r="C874" s="37" t="s">
        <v>1641</v>
      </c>
      <c r="D874" s="83" t="s">
        <v>1642</v>
      </c>
      <c r="E874" s="81" t="s">
        <v>102</v>
      </c>
      <c r="F874" s="40">
        <v>3</v>
      </c>
      <c r="G874" s="41"/>
      <c r="H874" s="42"/>
      <c r="I874" s="39">
        <f t="shared" si="28"/>
        <v>0</v>
      </c>
      <c r="J874" s="45">
        <v>2087</v>
      </c>
      <c r="K874" s="39" t="s">
        <v>30</v>
      </c>
      <c r="L874" s="46"/>
    </row>
    <row r="875" spans="2:12" ht="18.75" x14ac:dyDescent="0.25">
      <c r="B875" s="36" t="s">
        <v>1615</v>
      </c>
      <c r="C875" s="37" t="s">
        <v>1643</v>
      </c>
      <c r="D875" s="83" t="s">
        <v>1644</v>
      </c>
      <c r="E875" s="81" t="s">
        <v>102</v>
      </c>
      <c r="F875" s="40">
        <v>8</v>
      </c>
      <c r="G875" s="41"/>
      <c r="H875" s="42"/>
      <c r="I875" s="39">
        <f t="shared" si="28"/>
        <v>0</v>
      </c>
      <c r="J875" s="45">
        <v>2087</v>
      </c>
      <c r="K875" s="39" t="s">
        <v>30</v>
      </c>
      <c r="L875" s="46"/>
    </row>
    <row r="876" spans="2:12" ht="18.75" x14ac:dyDescent="0.25">
      <c r="B876" s="36" t="s">
        <v>1615</v>
      </c>
      <c r="C876" s="37" t="s">
        <v>1645</v>
      </c>
      <c r="D876" s="83" t="s">
        <v>1646</v>
      </c>
      <c r="E876" s="81" t="s">
        <v>102</v>
      </c>
      <c r="F876" s="40">
        <v>3</v>
      </c>
      <c r="G876" s="41"/>
      <c r="H876" s="42"/>
      <c r="I876" s="39">
        <f t="shared" si="28"/>
        <v>0</v>
      </c>
      <c r="J876" s="45">
        <v>2087</v>
      </c>
      <c r="K876" s="39" t="s">
        <v>30</v>
      </c>
      <c r="L876" s="46"/>
    </row>
    <row r="877" spans="2:12" ht="18.75" x14ac:dyDescent="0.25">
      <c r="B877" s="36" t="s">
        <v>1615</v>
      </c>
      <c r="C877" s="37" t="s">
        <v>1647</v>
      </c>
      <c r="D877" s="83" t="s">
        <v>1648</v>
      </c>
      <c r="E877" s="81" t="s">
        <v>102</v>
      </c>
      <c r="F877" s="40">
        <v>1</v>
      </c>
      <c r="G877" s="41"/>
      <c r="H877" s="42"/>
      <c r="I877" s="39">
        <f t="shared" si="28"/>
        <v>0</v>
      </c>
      <c r="J877" s="45">
        <v>2087</v>
      </c>
      <c r="K877" s="39" t="s">
        <v>30</v>
      </c>
      <c r="L877" s="46"/>
    </row>
    <row r="878" spans="2:12" ht="18.75" x14ac:dyDescent="0.25">
      <c r="B878" s="36" t="s">
        <v>1615</v>
      </c>
      <c r="C878" s="37" t="s">
        <v>1649</v>
      </c>
      <c r="D878" s="83" t="s">
        <v>1650</v>
      </c>
      <c r="E878" s="81" t="s">
        <v>102</v>
      </c>
      <c r="F878" s="40">
        <v>6</v>
      </c>
      <c r="G878" s="41"/>
      <c r="H878" s="42"/>
      <c r="I878" s="39">
        <f t="shared" si="28"/>
        <v>0</v>
      </c>
      <c r="J878" s="45">
        <v>2087</v>
      </c>
      <c r="K878" s="39" t="s">
        <v>30</v>
      </c>
      <c r="L878" s="46"/>
    </row>
    <row r="879" spans="2:12" ht="18.75" x14ac:dyDescent="0.25">
      <c r="B879" s="36" t="s">
        <v>1615</v>
      </c>
      <c r="C879" s="37" t="s">
        <v>1651</v>
      </c>
      <c r="D879" s="83" t="s">
        <v>1652</v>
      </c>
      <c r="E879" s="81" t="s">
        <v>102</v>
      </c>
      <c r="F879" s="40">
        <v>44</v>
      </c>
      <c r="G879" s="41"/>
      <c r="H879" s="42"/>
      <c r="I879" s="39">
        <f t="shared" si="28"/>
        <v>0</v>
      </c>
      <c r="J879" s="45">
        <v>2087</v>
      </c>
      <c r="K879" s="39" t="s">
        <v>30</v>
      </c>
      <c r="L879" s="46"/>
    </row>
    <row r="880" spans="2:12" ht="18.75" x14ac:dyDescent="0.25">
      <c r="B880" s="36" t="s">
        <v>1615</v>
      </c>
      <c r="C880" s="37" t="s">
        <v>1653</v>
      </c>
      <c r="D880" s="83" t="s">
        <v>1654</v>
      </c>
      <c r="E880" s="81" t="s">
        <v>102</v>
      </c>
      <c r="F880" s="40">
        <v>33</v>
      </c>
      <c r="G880" s="41"/>
      <c r="H880" s="42"/>
      <c r="I880" s="39">
        <f t="shared" si="28"/>
        <v>0</v>
      </c>
      <c r="J880" s="45">
        <v>2087</v>
      </c>
      <c r="K880" s="39" t="s">
        <v>30</v>
      </c>
      <c r="L880" s="46"/>
    </row>
    <row r="881" spans="2:12" ht="18.75" x14ac:dyDescent="0.25">
      <c r="B881" s="36" t="s">
        <v>1615</v>
      </c>
      <c r="C881" s="37" t="s">
        <v>1655</v>
      </c>
      <c r="D881" s="83" t="s">
        <v>1656</v>
      </c>
      <c r="E881" s="81" t="s">
        <v>102</v>
      </c>
      <c r="F881" s="40">
        <v>1</v>
      </c>
      <c r="G881" s="41"/>
      <c r="H881" s="42"/>
      <c r="I881" s="39">
        <f t="shared" si="28"/>
        <v>0</v>
      </c>
      <c r="J881" s="45">
        <v>2087</v>
      </c>
      <c r="K881" s="39" t="s">
        <v>30</v>
      </c>
      <c r="L881" s="46"/>
    </row>
    <row r="882" spans="2:12" ht="18.75" x14ac:dyDescent="0.25">
      <c r="B882" s="36" t="s">
        <v>1615</v>
      </c>
      <c r="C882" s="37" t="s">
        <v>1657</v>
      </c>
      <c r="D882" s="83" t="s">
        <v>1658</v>
      </c>
      <c r="E882" s="81" t="s">
        <v>102</v>
      </c>
      <c r="F882" s="40">
        <v>1</v>
      </c>
      <c r="G882" s="41"/>
      <c r="H882" s="42"/>
      <c r="I882" s="39">
        <f t="shared" si="28"/>
        <v>0</v>
      </c>
      <c r="J882" s="45">
        <v>2087</v>
      </c>
      <c r="K882" s="39" t="s">
        <v>30</v>
      </c>
      <c r="L882" s="46"/>
    </row>
    <row r="883" spans="2:12" ht="18.75" x14ac:dyDescent="0.25">
      <c r="B883" s="36" t="s">
        <v>1615</v>
      </c>
      <c r="C883" s="37" t="s">
        <v>1659</v>
      </c>
      <c r="D883" s="83" t="s">
        <v>1660</v>
      </c>
      <c r="E883" s="81" t="s">
        <v>102</v>
      </c>
      <c r="F883" s="40">
        <v>34</v>
      </c>
      <c r="G883" s="41"/>
      <c r="H883" s="42"/>
      <c r="I883" s="39">
        <f t="shared" si="28"/>
        <v>0</v>
      </c>
      <c r="J883" s="45">
        <v>2087</v>
      </c>
      <c r="K883" s="39" t="s">
        <v>30</v>
      </c>
      <c r="L883" s="46"/>
    </row>
    <row r="884" spans="2:12" ht="18.75" x14ac:dyDescent="0.25">
      <c r="B884" s="36" t="s">
        <v>1615</v>
      </c>
      <c r="C884" s="37" t="s">
        <v>1661</v>
      </c>
      <c r="D884" s="83" t="s">
        <v>1662</v>
      </c>
      <c r="E884" s="81" t="s">
        <v>102</v>
      </c>
      <c r="F884" s="40">
        <v>27</v>
      </c>
      <c r="G884" s="41"/>
      <c r="H884" s="42"/>
      <c r="I884" s="39">
        <f t="shared" si="28"/>
        <v>0</v>
      </c>
      <c r="J884" s="45">
        <v>2087</v>
      </c>
      <c r="K884" s="39" t="s">
        <v>30</v>
      </c>
      <c r="L884" s="46"/>
    </row>
    <row r="885" spans="2:12" ht="18.75" x14ac:dyDescent="0.25">
      <c r="B885" s="36" t="s">
        <v>1615</v>
      </c>
      <c r="C885" s="37" t="s">
        <v>1663</v>
      </c>
      <c r="D885" s="83" t="s">
        <v>1664</v>
      </c>
      <c r="E885" s="81" t="s">
        <v>102</v>
      </c>
      <c r="F885" s="40">
        <v>13</v>
      </c>
      <c r="G885" s="41"/>
      <c r="H885" s="42"/>
      <c r="I885" s="39">
        <f t="shared" si="28"/>
        <v>0</v>
      </c>
      <c r="J885" s="45">
        <v>2087</v>
      </c>
      <c r="K885" s="39" t="s">
        <v>30</v>
      </c>
      <c r="L885" s="46"/>
    </row>
    <row r="886" spans="2:12" ht="18.75" x14ac:dyDescent="0.25">
      <c r="B886" s="36" t="s">
        <v>1615</v>
      </c>
      <c r="C886" s="37" t="s">
        <v>1665</v>
      </c>
      <c r="D886" s="83" t="s">
        <v>1666</v>
      </c>
      <c r="E886" s="81" t="s">
        <v>102</v>
      </c>
      <c r="F886" s="40">
        <v>3</v>
      </c>
      <c r="G886" s="41"/>
      <c r="H886" s="42"/>
      <c r="I886" s="39">
        <f t="shared" si="28"/>
        <v>0</v>
      </c>
      <c r="J886" s="45">
        <v>2087</v>
      </c>
      <c r="K886" s="39" t="s">
        <v>30</v>
      </c>
      <c r="L886" s="46"/>
    </row>
    <row r="887" spans="2:12" ht="18.75" x14ac:dyDescent="0.25">
      <c r="B887" s="36" t="s">
        <v>1615</v>
      </c>
      <c r="C887" s="37" t="s">
        <v>1667</v>
      </c>
      <c r="D887" s="83" t="s">
        <v>1668</v>
      </c>
      <c r="E887" s="81" t="s">
        <v>102</v>
      </c>
      <c r="F887" s="40">
        <v>1</v>
      </c>
      <c r="G887" s="41"/>
      <c r="H887" s="42"/>
      <c r="I887" s="39">
        <f t="shared" si="28"/>
        <v>0</v>
      </c>
      <c r="J887" s="45">
        <v>2087</v>
      </c>
      <c r="K887" s="39" t="s">
        <v>30</v>
      </c>
      <c r="L887" s="46"/>
    </row>
    <row r="888" spans="2:12" ht="18.75" x14ac:dyDescent="0.25">
      <c r="B888" s="36" t="s">
        <v>1615</v>
      </c>
      <c r="C888" s="37" t="s">
        <v>1669</v>
      </c>
      <c r="D888" s="83" t="s">
        <v>1670</v>
      </c>
      <c r="E888" s="81" t="s">
        <v>102</v>
      </c>
      <c r="F888" s="40">
        <v>1</v>
      </c>
      <c r="G888" s="41"/>
      <c r="H888" s="42"/>
      <c r="I888" s="39">
        <f t="shared" si="28"/>
        <v>0</v>
      </c>
      <c r="J888" s="45">
        <v>2087</v>
      </c>
      <c r="K888" s="39" t="s">
        <v>30</v>
      </c>
      <c r="L888" s="46"/>
    </row>
    <row r="889" spans="2:12" ht="18.75" x14ac:dyDescent="0.25">
      <c r="B889" s="36" t="s">
        <v>1615</v>
      </c>
      <c r="C889" s="37" t="s">
        <v>1671</v>
      </c>
      <c r="D889" s="83" t="s">
        <v>1672</v>
      </c>
      <c r="E889" s="81" t="s">
        <v>102</v>
      </c>
      <c r="F889" s="40">
        <v>4</v>
      </c>
      <c r="G889" s="41"/>
      <c r="H889" s="42"/>
      <c r="I889" s="39">
        <f t="shared" si="28"/>
        <v>0</v>
      </c>
      <c r="J889" s="45">
        <v>2087</v>
      </c>
      <c r="K889" s="39" t="s">
        <v>30</v>
      </c>
      <c r="L889" s="46"/>
    </row>
    <row r="890" spans="2:12" ht="18.75" x14ac:dyDescent="0.25">
      <c r="B890" s="36" t="s">
        <v>1615</v>
      </c>
      <c r="C890" s="37" t="s">
        <v>1673</v>
      </c>
      <c r="D890" s="83" t="s">
        <v>1674</v>
      </c>
      <c r="E890" s="81" t="s">
        <v>102</v>
      </c>
      <c r="F890" s="40">
        <v>4</v>
      </c>
      <c r="G890" s="41"/>
      <c r="H890" s="42"/>
      <c r="I890" s="39">
        <f t="shared" si="28"/>
        <v>0</v>
      </c>
      <c r="J890" s="45">
        <v>2087</v>
      </c>
      <c r="K890" s="39" t="s">
        <v>30</v>
      </c>
      <c r="L890" s="46"/>
    </row>
    <row r="891" spans="2:12" ht="18.75" x14ac:dyDescent="0.25">
      <c r="B891" s="36" t="s">
        <v>1615</v>
      </c>
      <c r="C891" s="37" t="s">
        <v>1675</v>
      </c>
      <c r="D891" s="83" t="s">
        <v>1676</v>
      </c>
      <c r="E891" s="81" t="s">
        <v>102</v>
      </c>
      <c r="F891" s="40">
        <v>21</v>
      </c>
      <c r="G891" s="41"/>
      <c r="H891" s="42"/>
      <c r="I891" s="39">
        <f t="shared" si="28"/>
        <v>0</v>
      </c>
      <c r="J891" s="45">
        <v>2087</v>
      </c>
      <c r="K891" s="39" t="s">
        <v>30</v>
      </c>
      <c r="L891" s="46"/>
    </row>
    <row r="892" spans="2:12" ht="18.75" x14ac:dyDescent="0.25">
      <c r="B892" s="36" t="s">
        <v>1615</v>
      </c>
      <c r="C892" s="37" t="s">
        <v>1677</v>
      </c>
      <c r="D892" s="83" t="s">
        <v>1678</v>
      </c>
      <c r="E892" s="81" t="s">
        <v>102</v>
      </c>
      <c r="F892" s="40">
        <v>1</v>
      </c>
      <c r="G892" s="41"/>
      <c r="H892" s="42"/>
      <c r="I892" s="39">
        <f t="shared" si="28"/>
        <v>0</v>
      </c>
      <c r="J892" s="45">
        <v>2087</v>
      </c>
      <c r="K892" s="39" t="s">
        <v>30</v>
      </c>
      <c r="L892" s="46"/>
    </row>
    <row r="893" spans="2:12" ht="18.75" x14ac:dyDescent="0.25">
      <c r="B893" s="36" t="s">
        <v>1615</v>
      </c>
      <c r="C893" s="37" t="s">
        <v>1679</v>
      </c>
      <c r="D893" s="83" t="s">
        <v>1680</v>
      </c>
      <c r="E893" s="81" t="s">
        <v>102</v>
      </c>
      <c r="F893" s="40">
        <v>7</v>
      </c>
      <c r="G893" s="41"/>
      <c r="H893" s="42"/>
      <c r="I893" s="39">
        <f t="shared" si="28"/>
        <v>0</v>
      </c>
      <c r="J893" s="45">
        <v>2087</v>
      </c>
      <c r="K893" s="39" t="s">
        <v>30</v>
      </c>
      <c r="L893" s="46"/>
    </row>
    <row r="894" spans="2:12" ht="18.75" x14ac:dyDescent="0.25">
      <c r="B894" s="36" t="s">
        <v>1615</v>
      </c>
      <c r="C894" s="37" t="s">
        <v>1681</v>
      </c>
      <c r="D894" s="83" t="s">
        <v>1682</v>
      </c>
      <c r="E894" s="81" t="s">
        <v>102</v>
      </c>
      <c r="F894" s="40">
        <v>1</v>
      </c>
      <c r="G894" s="41"/>
      <c r="H894" s="42"/>
      <c r="I894" s="39">
        <f t="shared" si="28"/>
        <v>0</v>
      </c>
      <c r="J894" s="45">
        <v>2087</v>
      </c>
      <c r="K894" s="39" t="s">
        <v>30</v>
      </c>
      <c r="L894" s="46"/>
    </row>
    <row r="895" spans="2:12" ht="18.75" x14ac:dyDescent="0.25">
      <c r="B895" s="36" t="s">
        <v>1615</v>
      </c>
      <c r="C895" s="37" t="s">
        <v>1683</v>
      </c>
      <c r="D895" s="83" t="s">
        <v>1684</v>
      </c>
      <c r="E895" s="81" t="s">
        <v>102</v>
      </c>
      <c r="F895" s="40">
        <v>20</v>
      </c>
      <c r="G895" s="41"/>
      <c r="H895" s="42"/>
      <c r="I895" s="39">
        <f t="shared" si="28"/>
        <v>0</v>
      </c>
      <c r="J895" s="45">
        <v>2087</v>
      </c>
      <c r="K895" s="39" t="s">
        <v>30</v>
      </c>
      <c r="L895" s="46"/>
    </row>
    <row r="896" spans="2:12" ht="18.75" x14ac:dyDescent="0.25">
      <c r="B896" s="36" t="s">
        <v>1615</v>
      </c>
      <c r="C896" s="37" t="s">
        <v>1685</v>
      </c>
      <c r="D896" s="83" t="s">
        <v>1686</v>
      </c>
      <c r="E896" s="81" t="s">
        <v>102</v>
      </c>
      <c r="F896" s="40">
        <v>12</v>
      </c>
      <c r="G896" s="41"/>
      <c r="H896" s="42"/>
      <c r="I896" s="39">
        <f t="shared" si="28"/>
        <v>0</v>
      </c>
      <c r="J896" s="45">
        <v>2087</v>
      </c>
      <c r="K896" s="39" t="s">
        <v>30</v>
      </c>
      <c r="L896" s="46"/>
    </row>
    <row r="897" spans="2:12" ht="131.25" x14ac:dyDescent="0.25">
      <c r="B897" s="36" t="s">
        <v>1687</v>
      </c>
      <c r="C897" s="37"/>
      <c r="D897" s="88" t="s">
        <v>1688</v>
      </c>
      <c r="E897" s="39"/>
      <c r="F897" s="40"/>
      <c r="G897" s="41"/>
      <c r="H897" s="42"/>
      <c r="I897" s="39"/>
      <c r="J897" s="45" t="s">
        <v>57</v>
      </c>
      <c r="K897" s="39" t="s">
        <v>57</v>
      </c>
      <c r="L897" s="46"/>
    </row>
    <row r="898" spans="2:12" ht="18.75" x14ac:dyDescent="0.25">
      <c r="B898" s="36" t="s">
        <v>1687</v>
      </c>
      <c r="C898" s="37" t="s">
        <v>1689</v>
      </c>
      <c r="D898" s="83" t="s">
        <v>1690</v>
      </c>
      <c r="E898" s="81" t="s">
        <v>102</v>
      </c>
      <c r="F898" s="40">
        <v>566</v>
      </c>
      <c r="G898" s="41"/>
      <c r="H898" s="42"/>
      <c r="I898" s="39">
        <f>F898*G898</f>
        <v>0</v>
      </c>
      <c r="J898" s="45">
        <v>2094</v>
      </c>
      <c r="K898" s="39" t="s">
        <v>30</v>
      </c>
      <c r="L898" s="46"/>
    </row>
    <row r="899" spans="2:12" ht="131.25" x14ac:dyDescent="0.25">
      <c r="B899" s="36" t="s">
        <v>1454</v>
      </c>
      <c r="C899" s="37"/>
      <c r="D899" s="88" t="s">
        <v>1691</v>
      </c>
      <c r="E899" s="39"/>
      <c r="F899" s="40"/>
      <c r="G899" s="41"/>
      <c r="H899" s="42"/>
      <c r="I899" s="39"/>
      <c r="J899" s="45" t="s">
        <v>57</v>
      </c>
      <c r="K899" s="39" t="s">
        <v>57</v>
      </c>
      <c r="L899" s="46"/>
    </row>
    <row r="900" spans="2:12" ht="37.5" x14ac:dyDescent="0.25">
      <c r="B900" s="36" t="s">
        <v>1454</v>
      </c>
      <c r="C900" s="37" t="s">
        <v>1456</v>
      </c>
      <c r="D900" s="83" t="s">
        <v>1692</v>
      </c>
      <c r="E900" s="81" t="s">
        <v>102</v>
      </c>
      <c r="F900" s="40">
        <v>62</v>
      </c>
      <c r="G900" s="41"/>
      <c r="H900" s="42"/>
      <c r="I900" s="39">
        <f t="shared" ref="I900:I906" si="29">F900*G900</f>
        <v>0</v>
      </c>
      <c r="J900" s="45">
        <v>2088</v>
      </c>
      <c r="K900" s="39" t="s">
        <v>30</v>
      </c>
      <c r="L900" s="46"/>
    </row>
    <row r="901" spans="2:12" ht="37.5" x14ac:dyDescent="0.25">
      <c r="B901" s="36" t="s">
        <v>1454</v>
      </c>
      <c r="C901" s="37" t="s">
        <v>1458</v>
      </c>
      <c r="D901" s="83" t="s">
        <v>1693</v>
      </c>
      <c r="E901" s="81" t="s">
        <v>102</v>
      </c>
      <c r="F901" s="40">
        <v>23</v>
      </c>
      <c r="G901" s="41"/>
      <c r="H901" s="42"/>
      <c r="I901" s="39">
        <f t="shared" si="29"/>
        <v>0</v>
      </c>
      <c r="J901" s="45">
        <v>2088</v>
      </c>
      <c r="K901" s="39" t="s">
        <v>30</v>
      </c>
      <c r="L901" s="46"/>
    </row>
    <row r="902" spans="2:12" ht="18.75" x14ac:dyDescent="0.25">
      <c r="B902" s="36" t="s">
        <v>1454</v>
      </c>
      <c r="C902" s="37" t="s">
        <v>1460</v>
      </c>
      <c r="D902" s="83" t="s">
        <v>1694</v>
      </c>
      <c r="E902" s="81" t="s">
        <v>102</v>
      </c>
      <c r="F902" s="40">
        <v>40</v>
      </c>
      <c r="G902" s="41"/>
      <c r="H902" s="42"/>
      <c r="I902" s="39">
        <f t="shared" si="29"/>
        <v>0</v>
      </c>
      <c r="J902" s="45">
        <v>2088</v>
      </c>
      <c r="K902" s="39" t="s">
        <v>30</v>
      </c>
      <c r="L902" s="46"/>
    </row>
    <row r="903" spans="2:12" ht="37.5" x14ac:dyDescent="0.25">
      <c r="B903" s="36" t="s">
        <v>1454</v>
      </c>
      <c r="C903" s="37" t="s">
        <v>1462</v>
      </c>
      <c r="D903" s="83" t="s">
        <v>1695</v>
      </c>
      <c r="E903" s="81" t="s">
        <v>102</v>
      </c>
      <c r="F903" s="40">
        <v>1</v>
      </c>
      <c r="G903" s="41"/>
      <c r="H903" s="42"/>
      <c r="I903" s="39">
        <f t="shared" si="29"/>
        <v>0</v>
      </c>
      <c r="J903" s="45">
        <v>2088</v>
      </c>
      <c r="K903" s="39" t="s">
        <v>30</v>
      </c>
      <c r="L903" s="46"/>
    </row>
    <row r="904" spans="2:12" ht="18.75" x14ac:dyDescent="0.25">
      <c r="B904" s="36" t="s">
        <v>1454</v>
      </c>
      <c r="C904" s="37" t="s">
        <v>1464</v>
      </c>
      <c r="D904" s="83" t="s">
        <v>1696</v>
      </c>
      <c r="E904" s="81" t="s">
        <v>102</v>
      </c>
      <c r="F904" s="40">
        <v>6</v>
      </c>
      <c r="G904" s="41"/>
      <c r="H904" s="42"/>
      <c r="I904" s="39">
        <f t="shared" si="29"/>
        <v>0</v>
      </c>
      <c r="J904" s="45">
        <v>2088</v>
      </c>
      <c r="K904" s="39" t="s">
        <v>30</v>
      </c>
      <c r="L904" s="46"/>
    </row>
    <row r="905" spans="2:12" ht="18.75" x14ac:dyDescent="0.25">
      <c r="B905" s="36" t="s">
        <v>1454</v>
      </c>
      <c r="C905" s="37" t="s">
        <v>1466</v>
      </c>
      <c r="D905" s="83" t="s">
        <v>1697</v>
      </c>
      <c r="E905" s="81" t="s">
        <v>102</v>
      </c>
      <c r="F905" s="40">
        <v>4</v>
      </c>
      <c r="G905" s="41"/>
      <c r="H905" s="42"/>
      <c r="I905" s="39">
        <f t="shared" si="29"/>
        <v>0</v>
      </c>
      <c r="J905" s="45">
        <v>2088</v>
      </c>
      <c r="K905" s="39" t="s">
        <v>30</v>
      </c>
      <c r="L905" s="46"/>
    </row>
    <row r="906" spans="2:12" ht="18.75" x14ac:dyDescent="0.25">
      <c r="B906" s="36" t="s">
        <v>1454</v>
      </c>
      <c r="C906" s="37" t="s">
        <v>1468</v>
      </c>
      <c r="D906" s="83" t="s">
        <v>1698</v>
      </c>
      <c r="E906" s="81" t="s">
        <v>1568</v>
      </c>
      <c r="F906" s="40">
        <v>4</v>
      </c>
      <c r="G906" s="41"/>
      <c r="H906" s="42"/>
      <c r="I906" s="39">
        <f t="shared" si="29"/>
        <v>0</v>
      </c>
      <c r="J906" s="45">
        <v>2088</v>
      </c>
      <c r="K906" s="39" t="s">
        <v>30</v>
      </c>
      <c r="L906" s="46"/>
    </row>
    <row r="907" spans="2:12" ht="131.25" x14ac:dyDescent="0.25">
      <c r="B907" s="36" t="s">
        <v>1454</v>
      </c>
      <c r="C907" s="37"/>
      <c r="D907" s="88" t="s">
        <v>1699</v>
      </c>
      <c r="E907" s="39"/>
      <c r="F907" s="40"/>
      <c r="G907" s="41"/>
      <c r="H907" s="42"/>
      <c r="I907" s="39"/>
      <c r="J907" s="45" t="s">
        <v>57</v>
      </c>
      <c r="K907" s="39" t="s">
        <v>57</v>
      </c>
      <c r="L907" s="46"/>
    </row>
    <row r="908" spans="2:12" ht="18.75" x14ac:dyDescent="0.25">
      <c r="B908" s="36" t="s">
        <v>1454</v>
      </c>
      <c r="C908" s="37" t="s">
        <v>1470</v>
      </c>
      <c r="D908" s="83" t="s">
        <v>1700</v>
      </c>
      <c r="E908" s="81" t="s">
        <v>102</v>
      </c>
      <c r="F908" s="40">
        <v>1</v>
      </c>
      <c r="G908" s="41"/>
      <c r="H908" s="42"/>
      <c r="I908" s="39">
        <f>F908*G908</f>
        <v>0</v>
      </c>
      <c r="J908" s="45">
        <v>2096</v>
      </c>
      <c r="K908" s="39" t="s">
        <v>30</v>
      </c>
      <c r="L908" s="46"/>
    </row>
    <row r="909" spans="2:12" ht="281.25" x14ac:dyDescent="0.25">
      <c r="B909" s="36" t="s">
        <v>1701</v>
      </c>
      <c r="C909" s="37"/>
      <c r="D909" s="88" t="s">
        <v>1702</v>
      </c>
      <c r="E909" s="39"/>
      <c r="F909" s="40"/>
      <c r="G909" s="41"/>
      <c r="H909" s="42"/>
      <c r="I909" s="39"/>
      <c r="J909" s="45" t="s">
        <v>57</v>
      </c>
      <c r="K909" s="39" t="s">
        <v>57</v>
      </c>
      <c r="L909" s="46"/>
    </row>
    <row r="910" spans="2:12" ht="37.5" x14ac:dyDescent="0.25">
      <c r="B910" s="36" t="s">
        <v>1701</v>
      </c>
      <c r="C910" s="37" t="s">
        <v>1703</v>
      </c>
      <c r="D910" s="83" t="s">
        <v>1704</v>
      </c>
      <c r="E910" s="81" t="s">
        <v>1705</v>
      </c>
      <c r="F910" s="40">
        <v>1</v>
      </c>
      <c r="G910" s="41"/>
      <c r="H910" s="42"/>
      <c r="I910" s="39">
        <f>F910*G910</f>
        <v>0</v>
      </c>
      <c r="J910" s="45">
        <v>2092</v>
      </c>
      <c r="K910" s="39" t="s">
        <v>30</v>
      </c>
      <c r="L910" s="46"/>
    </row>
    <row r="911" spans="2:12" ht="37.5" x14ac:dyDescent="0.25">
      <c r="B911" s="36" t="s">
        <v>1701</v>
      </c>
      <c r="C911" s="37" t="s">
        <v>1706</v>
      </c>
      <c r="D911" s="83" t="s">
        <v>1707</v>
      </c>
      <c r="E911" s="81" t="s">
        <v>1705</v>
      </c>
      <c r="F911" s="40">
        <v>1</v>
      </c>
      <c r="G911" s="41"/>
      <c r="H911" s="42"/>
      <c r="I911" s="39">
        <f>F911*G911</f>
        <v>0</v>
      </c>
      <c r="J911" s="45">
        <v>2092</v>
      </c>
      <c r="K911" s="39" t="s">
        <v>30</v>
      </c>
      <c r="L911" s="46"/>
    </row>
    <row r="912" spans="2:12" ht="187.5" x14ac:dyDescent="0.25">
      <c r="B912" s="36" t="s">
        <v>1708</v>
      </c>
      <c r="C912" s="37"/>
      <c r="D912" s="88" t="s">
        <v>1709</v>
      </c>
      <c r="E912" s="39"/>
      <c r="F912" s="40"/>
      <c r="G912" s="41"/>
      <c r="H912" s="42"/>
      <c r="I912" s="39"/>
      <c r="J912" s="45" t="s">
        <v>57</v>
      </c>
      <c r="K912" s="39" t="s">
        <v>57</v>
      </c>
      <c r="L912" s="46"/>
    </row>
    <row r="913" spans="2:12" ht="18.75" x14ac:dyDescent="0.25">
      <c r="B913" s="133" t="s">
        <v>1708</v>
      </c>
      <c r="C913" s="134" t="s">
        <v>1710</v>
      </c>
      <c r="D913" s="135" t="s">
        <v>1711</v>
      </c>
      <c r="E913" s="136" t="s">
        <v>1705</v>
      </c>
      <c r="F913" s="137">
        <v>1</v>
      </c>
      <c r="G913" s="138"/>
      <c r="H913" s="139"/>
      <c r="I913" s="140">
        <f>F913*G913</f>
        <v>0</v>
      </c>
      <c r="J913" s="141">
        <v>2092</v>
      </c>
      <c r="K913" s="140" t="s">
        <v>30</v>
      </c>
      <c r="L913" s="142"/>
    </row>
    <row r="914" spans="2:12" ht="36" customHeight="1" x14ac:dyDescent="0.25">
      <c r="B914" s="143" t="s">
        <v>1712</v>
      </c>
      <c r="C914" s="144"/>
      <c r="D914" s="144"/>
      <c r="E914" s="144"/>
      <c r="F914" s="144"/>
      <c r="G914" s="144"/>
      <c r="H914" s="145"/>
      <c r="I914" s="146">
        <f>SUM(I735:I913)</f>
        <v>0</v>
      </c>
      <c r="J914" s="147" t="s">
        <v>57</v>
      </c>
      <c r="K914" s="146" t="s">
        <v>57</v>
      </c>
      <c r="L914" s="148"/>
    </row>
    <row r="915" spans="2:12" ht="36" customHeight="1" x14ac:dyDescent="0.25">
      <c r="B915" s="149"/>
      <c r="C915" s="150"/>
      <c r="D915" s="151" t="s">
        <v>1713</v>
      </c>
      <c r="E915" s="150"/>
      <c r="F915" s="150"/>
      <c r="G915" s="150"/>
      <c r="H915" s="150"/>
      <c r="I915" s="152"/>
      <c r="J915" s="153" t="s">
        <v>57</v>
      </c>
      <c r="K915" s="152" t="s">
        <v>57</v>
      </c>
      <c r="L915" s="154"/>
    </row>
    <row r="916" spans="2:12" ht="375" x14ac:dyDescent="0.25">
      <c r="B916" s="28" t="s">
        <v>1714</v>
      </c>
      <c r="C916" s="113"/>
      <c r="D916" s="114" t="s">
        <v>1715</v>
      </c>
      <c r="E916" s="115"/>
      <c r="F916" s="116"/>
      <c r="G916" s="117"/>
      <c r="H916" s="118"/>
      <c r="I916" s="115"/>
      <c r="J916" s="155" t="s">
        <v>57</v>
      </c>
      <c r="K916" s="115" t="s">
        <v>57</v>
      </c>
      <c r="L916" s="156"/>
    </row>
    <row r="917" spans="2:12" ht="300" x14ac:dyDescent="0.25">
      <c r="B917" s="36" t="s">
        <v>1714</v>
      </c>
      <c r="C917" s="37"/>
      <c r="D917" s="88" t="s">
        <v>1716</v>
      </c>
      <c r="E917" s="39"/>
      <c r="F917" s="40"/>
      <c r="G917" s="41"/>
      <c r="H917" s="42"/>
      <c r="I917" s="39"/>
      <c r="J917" s="45" t="s">
        <v>57</v>
      </c>
      <c r="K917" s="39" t="s">
        <v>57</v>
      </c>
      <c r="L917" s="46"/>
    </row>
    <row r="918" spans="2:12" ht="18.75" x14ac:dyDescent="0.25">
      <c r="B918" s="36">
        <v>277350</v>
      </c>
      <c r="C918" s="37"/>
      <c r="D918" s="88" t="s">
        <v>1717</v>
      </c>
      <c r="E918" s="39"/>
      <c r="F918" s="40"/>
      <c r="G918" s="41"/>
      <c r="H918" s="42"/>
      <c r="I918" s="39"/>
      <c r="J918" s="45" t="s">
        <v>57</v>
      </c>
      <c r="K918" s="39" t="s">
        <v>57</v>
      </c>
      <c r="L918" s="46"/>
    </row>
    <row r="919" spans="2:12" ht="37.5" x14ac:dyDescent="0.25">
      <c r="B919" s="36">
        <v>277350</v>
      </c>
      <c r="C919" s="37" t="s">
        <v>1718</v>
      </c>
      <c r="D919" s="157" t="s">
        <v>1719</v>
      </c>
      <c r="E919" s="81" t="s">
        <v>1568</v>
      </c>
      <c r="F919" s="85">
        <v>10</v>
      </c>
      <c r="G919" s="41"/>
      <c r="H919" s="42"/>
      <c r="I919" s="39">
        <f>F919*G919</f>
        <v>0</v>
      </c>
      <c r="J919" s="45" t="s">
        <v>107</v>
      </c>
      <c r="K919" s="39" t="s">
        <v>108</v>
      </c>
      <c r="L919" s="46"/>
    </row>
    <row r="920" spans="2:12" ht="18.75" x14ac:dyDescent="0.25">
      <c r="B920" s="36">
        <v>277350</v>
      </c>
      <c r="C920" s="37" t="s">
        <v>1720</v>
      </c>
      <c r="D920" s="157" t="s">
        <v>1721</v>
      </c>
      <c r="E920" s="81" t="s">
        <v>1568</v>
      </c>
      <c r="F920" s="85">
        <v>10</v>
      </c>
      <c r="G920" s="41"/>
      <c r="H920" s="42"/>
      <c r="I920" s="39">
        <f>F920*G920</f>
        <v>0</v>
      </c>
      <c r="J920" s="45" t="s">
        <v>107</v>
      </c>
      <c r="K920" s="39" t="s">
        <v>108</v>
      </c>
      <c r="L920" s="46"/>
    </row>
    <row r="921" spans="2:12" ht="18.75" x14ac:dyDescent="0.25">
      <c r="B921" s="36">
        <v>271500</v>
      </c>
      <c r="C921" s="37"/>
      <c r="D921" s="88" t="s">
        <v>1722</v>
      </c>
      <c r="E921" s="81"/>
      <c r="F921" s="85"/>
      <c r="G921" s="41"/>
      <c r="H921" s="42"/>
      <c r="I921" s="39"/>
      <c r="J921" s="45"/>
      <c r="K921" s="39"/>
      <c r="L921" s="46"/>
    </row>
    <row r="922" spans="2:12" ht="56.25" x14ac:dyDescent="0.25">
      <c r="B922" s="36">
        <v>271500</v>
      </c>
      <c r="C922" s="37" t="s">
        <v>1723</v>
      </c>
      <c r="D922" s="157" t="s">
        <v>1724</v>
      </c>
      <c r="E922" s="81" t="s">
        <v>1568</v>
      </c>
      <c r="F922" s="85">
        <v>2</v>
      </c>
      <c r="G922" s="41"/>
      <c r="H922" s="42"/>
      <c r="I922" s="39">
        <f t="shared" ref="I922:I949" si="30">F922*G922</f>
        <v>0</v>
      </c>
      <c r="J922" s="45" t="s">
        <v>107</v>
      </c>
      <c r="K922" s="39" t="s">
        <v>108</v>
      </c>
      <c r="L922" s="46"/>
    </row>
    <row r="923" spans="2:12" ht="56.25" x14ac:dyDescent="0.25">
      <c r="B923" s="36">
        <v>271500</v>
      </c>
      <c r="C923" s="37" t="s">
        <v>1725</v>
      </c>
      <c r="D923" s="157" t="s">
        <v>1726</v>
      </c>
      <c r="E923" s="81" t="s">
        <v>1568</v>
      </c>
      <c r="F923" s="85">
        <v>10</v>
      </c>
      <c r="G923" s="41"/>
      <c r="H923" s="42"/>
      <c r="I923" s="39">
        <f t="shared" si="30"/>
        <v>0</v>
      </c>
      <c r="J923" s="45" t="s">
        <v>107</v>
      </c>
      <c r="K923" s="39" t="s">
        <v>108</v>
      </c>
      <c r="L923" s="46"/>
    </row>
    <row r="924" spans="2:12" ht="56.25" x14ac:dyDescent="0.25">
      <c r="B924" s="36">
        <v>271500</v>
      </c>
      <c r="C924" s="37" t="s">
        <v>1727</v>
      </c>
      <c r="D924" s="157" t="s">
        <v>1728</v>
      </c>
      <c r="E924" s="81" t="s">
        <v>1568</v>
      </c>
      <c r="F924" s="85">
        <v>2</v>
      </c>
      <c r="G924" s="41"/>
      <c r="H924" s="42"/>
      <c r="I924" s="39">
        <f t="shared" si="30"/>
        <v>0</v>
      </c>
      <c r="J924" s="45" t="s">
        <v>107</v>
      </c>
      <c r="K924" s="39" t="s">
        <v>108</v>
      </c>
      <c r="L924" s="46"/>
    </row>
    <row r="925" spans="2:12" ht="37.5" x14ac:dyDescent="0.25">
      <c r="B925" s="36">
        <v>271500</v>
      </c>
      <c r="C925" s="37" t="s">
        <v>1729</v>
      </c>
      <c r="D925" s="157" t="s">
        <v>1730</v>
      </c>
      <c r="E925" s="81" t="s">
        <v>1568</v>
      </c>
      <c r="F925" s="85">
        <v>1</v>
      </c>
      <c r="G925" s="41"/>
      <c r="H925" s="42"/>
      <c r="I925" s="39">
        <f t="shared" si="30"/>
        <v>0</v>
      </c>
      <c r="J925" s="45" t="s">
        <v>107</v>
      </c>
      <c r="K925" s="39" t="s">
        <v>108</v>
      </c>
      <c r="L925" s="46"/>
    </row>
    <row r="926" spans="2:12" ht="18.75" x14ac:dyDescent="0.25">
      <c r="B926" s="36">
        <v>271500</v>
      </c>
      <c r="C926" s="37" t="s">
        <v>1731</v>
      </c>
      <c r="D926" s="157" t="s">
        <v>1732</v>
      </c>
      <c r="E926" s="81" t="s">
        <v>1733</v>
      </c>
      <c r="F926" s="85">
        <v>80</v>
      </c>
      <c r="G926" s="41"/>
      <c r="H926" s="42"/>
      <c r="I926" s="39">
        <f t="shared" si="30"/>
        <v>0</v>
      </c>
      <c r="J926" s="45">
        <v>2114</v>
      </c>
      <c r="K926" s="39" t="s">
        <v>30</v>
      </c>
      <c r="L926" s="46"/>
    </row>
    <row r="927" spans="2:12" ht="56.25" x14ac:dyDescent="0.25">
      <c r="B927" s="36">
        <v>271500</v>
      </c>
      <c r="C927" s="37" t="s">
        <v>1734</v>
      </c>
      <c r="D927" s="157" t="s">
        <v>1735</v>
      </c>
      <c r="E927" s="81" t="s">
        <v>1568</v>
      </c>
      <c r="F927" s="85">
        <v>2</v>
      </c>
      <c r="G927" s="41"/>
      <c r="H927" s="42"/>
      <c r="I927" s="39">
        <f t="shared" si="30"/>
        <v>0</v>
      </c>
      <c r="J927" s="45" t="s">
        <v>107</v>
      </c>
      <c r="K927" s="39" t="s">
        <v>108</v>
      </c>
      <c r="L927" s="46"/>
    </row>
    <row r="928" spans="2:12" ht="56.25" x14ac:dyDescent="0.25">
      <c r="B928" s="36">
        <v>271500</v>
      </c>
      <c r="C928" s="37" t="s">
        <v>1736</v>
      </c>
      <c r="D928" s="157" t="s">
        <v>1737</v>
      </c>
      <c r="E928" s="81" t="s">
        <v>1568</v>
      </c>
      <c r="F928" s="85">
        <v>33</v>
      </c>
      <c r="G928" s="41"/>
      <c r="H928" s="42"/>
      <c r="I928" s="39">
        <f t="shared" si="30"/>
        <v>0</v>
      </c>
      <c r="J928" s="45" t="s">
        <v>107</v>
      </c>
      <c r="K928" s="39" t="s">
        <v>108</v>
      </c>
      <c r="L928" s="46"/>
    </row>
    <row r="929" spans="2:12" ht="75" x14ac:dyDescent="0.25">
      <c r="B929" s="36">
        <v>271500</v>
      </c>
      <c r="C929" s="37" t="s">
        <v>1738</v>
      </c>
      <c r="D929" s="157" t="s">
        <v>1739</v>
      </c>
      <c r="E929" s="81" t="s">
        <v>1568</v>
      </c>
      <c r="F929" s="85">
        <v>7</v>
      </c>
      <c r="G929" s="41"/>
      <c r="H929" s="42"/>
      <c r="I929" s="39">
        <f t="shared" si="30"/>
        <v>0</v>
      </c>
      <c r="J929" s="45" t="s">
        <v>107</v>
      </c>
      <c r="K929" s="39" t="s">
        <v>108</v>
      </c>
      <c r="L929" s="46"/>
    </row>
    <row r="930" spans="2:12" ht="56.25" x14ac:dyDescent="0.25">
      <c r="B930" s="36">
        <v>271500</v>
      </c>
      <c r="C930" s="37" t="s">
        <v>1740</v>
      </c>
      <c r="D930" s="157" t="s">
        <v>1741</v>
      </c>
      <c r="E930" s="81" t="s">
        <v>1568</v>
      </c>
      <c r="F930" s="85">
        <v>29</v>
      </c>
      <c r="G930" s="41"/>
      <c r="H930" s="42"/>
      <c r="I930" s="39">
        <f t="shared" si="30"/>
        <v>0</v>
      </c>
      <c r="J930" s="45" t="s">
        <v>107</v>
      </c>
      <c r="K930" s="39" t="s">
        <v>108</v>
      </c>
      <c r="L930" s="46"/>
    </row>
    <row r="931" spans="2:12" ht="56.25" x14ac:dyDescent="0.25">
      <c r="B931" s="36">
        <v>271500</v>
      </c>
      <c r="C931" s="37" t="s">
        <v>1742</v>
      </c>
      <c r="D931" s="157" t="s">
        <v>1743</v>
      </c>
      <c r="E931" s="81" t="s">
        <v>1568</v>
      </c>
      <c r="F931" s="85">
        <v>16</v>
      </c>
      <c r="G931" s="41"/>
      <c r="H931" s="42"/>
      <c r="I931" s="39">
        <f t="shared" si="30"/>
        <v>0</v>
      </c>
      <c r="J931" s="45" t="s">
        <v>107</v>
      </c>
      <c r="K931" s="39" t="s">
        <v>108</v>
      </c>
      <c r="L931" s="46"/>
    </row>
    <row r="932" spans="2:12" ht="37.5" x14ac:dyDescent="0.25">
      <c r="B932" s="36">
        <v>271500</v>
      </c>
      <c r="C932" s="37" t="s">
        <v>1744</v>
      </c>
      <c r="D932" s="157" t="s">
        <v>1745</v>
      </c>
      <c r="E932" s="81" t="s">
        <v>1568</v>
      </c>
      <c r="F932" s="85">
        <v>2</v>
      </c>
      <c r="G932" s="41"/>
      <c r="H932" s="42"/>
      <c r="I932" s="39">
        <f t="shared" si="30"/>
        <v>0</v>
      </c>
      <c r="J932" s="45" t="s">
        <v>107</v>
      </c>
      <c r="K932" s="39" t="s">
        <v>108</v>
      </c>
      <c r="L932" s="46"/>
    </row>
    <row r="933" spans="2:12" ht="56.25" x14ac:dyDescent="0.25">
      <c r="B933" s="36">
        <v>271500</v>
      </c>
      <c r="C933" s="37" t="s">
        <v>1746</v>
      </c>
      <c r="D933" s="157" t="s">
        <v>1747</v>
      </c>
      <c r="E933" s="81" t="s">
        <v>1568</v>
      </c>
      <c r="F933" s="85">
        <v>18</v>
      </c>
      <c r="G933" s="41"/>
      <c r="H933" s="42"/>
      <c r="I933" s="39">
        <f t="shared" si="30"/>
        <v>0</v>
      </c>
      <c r="J933" s="45" t="s">
        <v>107</v>
      </c>
      <c r="K933" s="39" t="s">
        <v>108</v>
      </c>
      <c r="L933" s="46"/>
    </row>
    <row r="934" spans="2:12" ht="56.25" x14ac:dyDescent="0.25">
      <c r="B934" s="36">
        <v>271500</v>
      </c>
      <c r="C934" s="37" t="s">
        <v>1748</v>
      </c>
      <c r="D934" s="157" t="s">
        <v>1749</v>
      </c>
      <c r="E934" s="81" t="s">
        <v>1568</v>
      </c>
      <c r="F934" s="85">
        <v>10</v>
      </c>
      <c r="G934" s="41"/>
      <c r="H934" s="42"/>
      <c r="I934" s="39">
        <f t="shared" si="30"/>
        <v>0</v>
      </c>
      <c r="J934" s="45" t="s">
        <v>107</v>
      </c>
      <c r="K934" s="39" t="s">
        <v>108</v>
      </c>
      <c r="L934" s="46"/>
    </row>
    <row r="935" spans="2:12" ht="56.25" x14ac:dyDescent="0.25">
      <c r="B935" s="36">
        <v>271500</v>
      </c>
      <c r="C935" s="37" t="s">
        <v>1750</v>
      </c>
      <c r="D935" s="157" t="s">
        <v>1751</v>
      </c>
      <c r="E935" s="81" t="s">
        <v>1568</v>
      </c>
      <c r="F935" s="85">
        <v>4</v>
      </c>
      <c r="G935" s="41"/>
      <c r="H935" s="42"/>
      <c r="I935" s="39">
        <f t="shared" si="30"/>
        <v>0</v>
      </c>
      <c r="J935" s="45" t="s">
        <v>107</v>
      </c>
      <c r="K935" s="39" t="s">
        <v>108</v>
      </c>
      <c r="L935" s="46"/>
    </row>
    <row r="936" spans="2:12" ht="56.25" x14ac:dyDescent="0.25">
      <c r="B936" s="36">
        <v>271500</v>
      </c>
      <c r="C936" s="37" t="s">
        <v>1752</v>
      </c>
      <c r="D936" s="157" t="s">
        <v>1753</v>
      </c>
      <c r="E936" s="81" t="s">
        <v>1568</v>
      </c>
      <c r="F936" s="85">
        <v>42</v>
      </c>
      <c r="G936" s="41"/>
      <c r="H936" s="42"/>
      <c r="I936" s="39">
        <f t="shared" si="30"/>
        <v>0</v>
      </c>
      <c r="J936" s="45" t="s">
        <v>107</v>
      </c>
      <c r="K936" s="39" t="s">
        <v>108</v>
      </c>
      <c r="L936" s="46"/>
    </row>
    <row r="937" spans="2:12" ht="56.25" x14ac:dyDescent="0.25">
      <c r="B937" s="36">
        <v>271500</v>
      </c>
      <c r="C937" s="37" t="s">
        <v>1754</v>
      </c>
      <c r="D937" s="157" t="s">
        <v>1755</v>
      </c>
      <c r="E937" s="81" t="s">
        <v>1568</v>
      </c>
      <c r="F937" s="85">
        <v>7</v>
      </c>
      <c r="G937" s="41"/>
      <c r="H937" s="42"/>
      <c r="I937" s="39">
        <f t="shared" si="30"/>
        <v>0</v>
      </c>
      <c r="J937" s="45" t="s">
        <v>107</v>
      </c>
      <c r="K937" s="39" t="s">
        <v>108</v>
      </c>
      <c r="L937" s="46"/>
    </row>
    <row r="938" spans="2:12" ht="56.25" x14ac:dyDescent="0.25">
      <c r="B938" s="36">
        <v>271500</v>
      </c>
      <c r="C938" s="37" t="s">
        <v>1756</v>
      </c>
      <c r="D938" s="157" t="s">
        <v>1757</v>
      </c>
      <c r="E938" s="81" t="s">
        <v>1568</v>
      </c>
      <c r="F938" s="85">
        <v>6</v>
      </c>
      <c r="G938" s="41"/>
      <c r="H938" s="42"/>
      <c r="I938" s="39">
        <f t="shared" si="30"/>
        <v>0</v>
      </c>
      <c r="J938" s="45" t="s">
        <v>107</v>
      </c>
      <c r="K938" s="39" t="s">
        <v>108</v>
      </c>
      <c r="L938" s="46"/>
    </row>
    <row r="939" spans="2:12" ht="56.25" x14ac:dyDescent="0.25">
      <c r="B939" s="36">
        <v>271500</v>
      </c>
      <c r="C939" s="37" t="s">
        <v>1758</v>
      </c>
      <c r="D939" s="157" t="s">
        <v>1759</v>
      </c>
      <c r="E939" s="81" t="s">
        <v>1568</v>
      </c>
      <c r="F939" s="85">
        <v>1</v>
      </c>
      <c r="G939" s="41"/>
      <c r="H939" s="42"/>
      <c r="I939" s="39">
        <f t="shared" si="30"/>
        <v>0</v>
      </c>
      <c r="J939" s="45" t="s">
        <v>107</v>
      </c>
      <c r="K939" s="39" t="s">
        <v>108</v>
      </c>
      <c r="L939" s="46"/>
    </row>
    <row r="940" spans="2:12" ht="56.25" x14ac:dyDescent="0.25">
      <c r="B940" s="36">
        <v>271500</v>
      </c>
      <c r="C940" s="37" t="s">
        <v>1760</v>
      </c>
      <c r="D940" s="157" t="s">
        <v>1761</v>
      </c>
      <c r="E940" s="81" t="s">
        <v>1568</v>
      </c>
      <c r="F940" s="85">
        <v>16</v>
      </c>
      <c r="G940" s="41"/>
      <c r="H940" s="42"/>
      <c r="I940" s="39">
        <f t="shared" si="30"/>
        <v>0</v>
      </c>
      <c r="J940" s="45" t="s">
        <v>107</v>
      </c>
      <c r="K940" s="39" t="s">
        <v>108</v>
      </c>
      <c r="L940" s="46"/>
    </row>
    <row r="941" spans="2:12" ht="56.25" x14ac:dyDescent="0.25">
      <c r="B941" s="36">
        <v>271500</v>
      </c>
      <c r="C941" s="37" t="s">
        <v>1762</v>
      </c>
      <c r="D941" s="157" t="s">
        <v>1763</v>
      </c>
      <c r="E941" s="81" t="s">
        <v>1568</v>
      </c>
      <c r="F941" s="85">
        <v>8</v>
      </c>
      <c r="G941" s="41"/>
      <c r="H941" s="42"/>
      <c r="I941" s="39">
        <f t="shared" si="30"/>
        <v>0</v>
      </c>
      <c r="J941" s="45" t="s">
        <v>107</v>
      </c>
      <c r="K941" s="39" t="s">
        <v>108</v>
      </c>
      <c r="L941" s="46"/>
    </row>
    <row r="942" spans="2:12" ht="56.25" x14ac:dyDescent="0.25">
      <c r="B942" s="36">
        <v>271500</v>
      </c>
      <c r="C942" s="37" t="s">
        <v>1764</v>
      </c>
      <c r="D942" s="157" t="s">
        <v>1765</v>
      </c>
      <c r="E942" s="81" t="s">
        <v>1568</v>
      </c>
      <c r="F942" s="85">
        <v>1</v>
      </c>
      <c r="G942" s="41"/>
      <c r="H942" s="42"/>
      <c r="I942" s="39">
        <f t="shared" si="30"/>
        <v>0</v>
      </c>
      <c r="J942" s="45" t="s">
        <v>107</v>
      </c>
      <c r="K942" s="39" t="s">
        <v>108</v>
      </c>
      <c r="L942" s="46"/>
    </row>
    <row r="943" spans="2:12" ht="56.25" x14ac:dyDescent="0.25">
      <c r="B943" s="36">
        <v>271500</v>
      </c>
      <c r="C943" s="37" t="s">
        <v>1766</v>
      </c>
      <c r="D943" s="157" t="s">
        <v>1767</v>
      </c>
      <c r="E943" s="81" t="s">
        <v>1568</v>
      </c>
      <c r="F943" s="85">
        <v>2</v>
      </c>
      <c r="G943" s="41"/>
      <c r="H943" s="42"/>
      <c r="I943" s="39">
        <f t="shared" si="30"/>
        <v>0</v>
      </c>
      <c r="J943" s="45" t="s">
        <v>107</v>
      </c>
      <c r="K943" s="39" t="s">
        <v>108</v>
      </c>
      <c r="L943" s="46"/>
    </row>
    <row r="944" spans="2:12" ht="37.5" x14ac:dyDescent="0.25">
      <c r="B944" s="36">
        <v>271500</v>
      </c>
      <c r="C944" s="37" t="s">
        <v>1768</v>
      </c>
      <c r="D944" s="157" t="s">
        <v>1769</v>
      </c>
      <c r="E944" s="81" t="s">
        <v>1568</v>
      </c>
      <c r="F944" s="85">
        <v>13</v>
      </c>
      <c r="G944" s="41"/>
      <c r="H944" s="42"/>
      <c r="I944" s="39">
        <f t="shared" si="30"/>
        <v>0</v>
      </c>
      <c r="J944" s="45" t="s">
        <v>107</v>
      </c>
      <c r="K944" s="39" t="s">
        <v>108</v>
      </c>
      <c r="L944" s="46"/>
    </row>
    <row r="945" spans="2:12" ht="37.5" x14ac:dyDescent="0.25">
      <c r="B945" s="36">
        <v>271500</v>
      </c>
      <c r="C945" s="37" t="s">
        <v>1770</v>
      </c>
      <c r="D945" s="157" t="s">
        <v>1771</v>
      </c>
      <c r="E945" s="81" t="s">
        <v>1568</v>
      </c>
      <c r="F945" s="85">
        <v>10</v>
      </c>
      <c r="G945" s="41"/>
      <c r="H945" s="42"/>
      <c r="I945" s="39">
        <f t="shared" si="30"/>
        <v>0</v>
      </c>
      <c r="J945" s="45" t="s">
        <v>107</v>
      </c>
      <c r="K945" s="39" t="s">
        <v>108</v>
      </c>
      <c r="L945" s="46"/>
    </row>
    <row r="946" spans="2:12" ht="37.5" x14ac:dyDescent="0.25">
      <c r="B946" s="36">
        <v>271500</v>
      </c>
      <c r="C946" s="37" t="s">
        <v>1772</v>
      </c>
      <c r="D946" s="157" t="s">
        <v>1773</v>
      </c>
      <c r="E946" s="81" t="s">
        <v>1568</v>
      </c>
      <c r="F946" s="85">
        <v>1</v>
      </c>
      <c r="G946" s="41"/>
      <c r="H946" s="42"/>
      <c r="I946" s="39">
        <f t="shared" si="30"/>
        <v>0</v>
      </c>
      <c r="J946" s="45" t="s">
        <v>107</v>
      </c>
      <c r="K946" s="39" t="s">
        <v>108</v>
      </c>
      <c r="L946" s="46"/>
    </row>
    <row r="947" spans="2:12" ht="37.5" x14ac:dyDescent="0.25">
      <c r="B947" s="36">
        <v>271500</v>
      </c>
      <c r="C947" s="37" t="s">
        <v>1774</v>
      </c>
      <c r="D947" s="157" t="s">
        <v>1775</v>
      </c>
      <c r="E947" s="81" t="s">
        <v>1568</v>
      </c>
      <c r="F947" s="85">
        <v>1</v>
      </c>
      <c r="G947" s="41"/>
      <c r="H947" s="42"/>
      <c r="I947" s="39">
        <f t="shared" si="30"/>
        <v>0</v>
      </c>
      <c r="J947" s="45" t="s">
        <v>107</v>
      </c>
      <c r="K947" s="39" t="s">
        <v>108</v>
      </c>
      <c r="L947" s="46"/>
    </row>
    <row r="948" spans="2:12" ht="75" x14ac:dyDescent="0.25">
      <c r="B948" s="36">
        <v>271500</v>
      </c>
      <c r="C948" s="37" t="s">
        <v>1776</v>
      </c>
      <c r="D948" s="157" t="s">
        <v>1777</v>
      </c>
      <c r="E948" s="81" t="s">
        <v>1568</v>
      </c>
      <c r="F948" s="85">
        <v>24</v>
      </c>
      <c r="G948" s="41"/>
      <c r="H948" s="42"/>
      <c r="I948" s="39">
        <f t="shared" si="30"/>
        <v>0</v>
      </c>
      <c r="J948" s="45" t="s">
        <v>107</v>
      </c>
      <c r="K948" s="39" t="s">
        <v>108</v>
      </c>
      <c r="L948" s="46"/>
    </row>
    <row r="949" spans="2:12" ht="75" x14ac:dyDescent="0.25">
      <c r="B949" s="36">
        <v>271500</v>
      </c>
      <c r="C949" s="37" t="s">
        <v>1778</v>
      </c>
      <c r="D949" s="157" t="s">
        <v>1779</v>
      </c>
      <c r="E949" s="81" t="s">
        <v>1568</v>
      </c>
      <c r="F949" s="85">
        <v>15</v>
      </c>
      <c r="G949" s="41"/>
      <c r="H949" s="42"/>
      <c r="I949" s="39">
        <f t="shared" si="30"/>
        <v>0</v>
      </c>
      <c r="J949" s="45" t="s">
        <v>107</v>
      </c>
      <c r="K949" s="39" t="s">
        <v>108</v>
      </c>
      <c r="L949" s="46"/>
    </row>
    <row r="950" spans="2:12" ht="150" x14ac:dyDescent="0.25">
      <c r="B950" s="36">
        <v>273000</v>
      </c>
      <c r="C950" s="37"/>
      <c r="D950" s="88" t="s">
        <v>1780</v>
      </c>
      <c r="E950" s="39"/>
      <c r="F950" s="40"/>
      <c r="G950" s="41"/>
      <c r="H950" s="42"/>
      <c r="I950" s="39"/>
      <c r="J950" s="45" t="s">
        <v>57</v>
      </c>
      <c r="K950" s="39" t="s">
        <v>57</v>
      </c>
      <c r="L950" s="46"/>
    </row>
    <row r="951" spans="2:12" ht="18.75" x14ac:dyDescent="0.25">
      <c r="B951" s="36">
        <v>273000</v>
      </c>
      <c r="C951" s="37" t="s">
        <v>1781</v>
      </c>
      <c r="D951" s="83" t="s">
        <v>1782</v>
      </c>
      <c r="E951" s="81" t="s">
        <v>1568</v>
      </c>
      <c r="F951" s="40">
        <v>45</v>
      </c>
      <c r="G951" s="41"/>
      <c r="H951" s="42"/>
      <c r="I951" s="39">
        <f>F951*G951</f>
        <v>0</v>
      </c>
      <c r="J951" s="45" t="s">
        <v>107</v>
      </c>
      <c r="K951" s="39" t="s">
        <v>108</v>
      </c>
      <c r="L951" s="46"/>
    </row>
    <row r="952" spans="2:12" ht="18.75" x14ac:dyDescent="0.25">
      <c r="B952" s="36">
        <v>273000</v>
      </c>
      <c r="C952" s="37" t="s">
        <v>1783</v>
      </c>
      <c r="D952" s="158" t="s">
        <v>1784</v>
      </c>
      <c r="E952" s="81" t="s">
        <v>1568</v>
      </c>
      <c r="F952" s="40">
        <v>24</v>
      </c>
      <c r="G952" s="41"/>
      <c r="H952" s="42"/>
      <c r="I952" s="39">
        <f>F952*G952</f>
        <v>0</v>
      </c>
      <c r="J952" s="45" t="s">
        <v>107</v>
      </c>
      <c r="K952" s="39" t="s">
        <v>108</v>
      </c>
      <c r="L952" s="46"/>
    </row>
    <row r="953" spans="2:12" ht="150" x14ac:dyDescent="0.25">
      <c r="B953" s="36" t="s">
        <v>1785</v>
      </c>
      <c r="C953" s="37"/>
      <c r="D953" s="88" t="s">
        <v>1786</v>
      </c>
      <c r="E953" s="39"/>
      <c r="F953" s="40"/>
      <c r="G953" s="41"/>
      <c r="H953" s="42"/>
      <c r="I953" s="39"/>
      <c r="J953" s="45" t="s">
        <v>57</v>
      </c>
      <c r="K953" s="39" t="s">
        <v>57</v>
      </c>
      <c r="L953" s="46"/>
    </row>
    <row r="954" spans="2:12" ht="18.75" x14ac:dyDescent="0.25">
      <c r="B954" s="36" t="s">
        <v>1785</v>
      </c>
      <c r="C954" s="37" t="s">
        <v>1787</v>
      </c>
      <c r="D954" s="83" t="s">
        <v>1788</v>
      </c>
      <c r="E954" s="81" t="s">
        <v>1568</v>
      </c>
      <c r="F954" s="40">
        <v>18</v>
      </c>
      <c r="G954" s="41"/>
      <c r="H954" s="42"/>
      <c r="I954" s="39">
        <f>F954*G954</f>
        <v>0</v>
      </c>
      <c r="J954" s="45" t="s">
        <v>107</v>
      </c>
      <c r="K954" s="39" t="s">
        <v>108</v>
      </c>
      <c r="L954" s="46"/>
    </row>
    <row r="955" spans="2:12" ht="18.75" x14ac:dyDescent="0.25">
      <c r="B955" s="36" t="s">
        <v>1785</v>
      </c>
      <c r="C955" s="37" t="s">
        <v>1789</v>
      </c>
      <c r="D955" s="157" t="s">
        <v>1790</v>
      </c>
      <c r="E955" s="81" t="s">
        <v>1568</v>
      </c>
      <c r="F955" s="40">
        <v>18</v>
      </c>
      <c r="G955" s="41"/>
      <c r="H955" s="42"/>
      <c r="I955" s="39">
        <f>F955*G955</f>
        <v>0</v>
      </c>
      <c r="J955" s="45" t="s">
        <v>107</v>
      </c>
      <c r="K955" s="39" t="s">
        <v>108</v>
      </c>
      <c r="L955" s="46"/>
    </row>
    <row r="956" spans="2:12" ht="18.75" x14ac:dyDescent="0.25">
      <c r="B956" s="36" t="s">
        <v>1785</v>
      </c>
      <c r="C956" s="37" t="s">
        <v>1791</v>
      </c>
      <c r="D956" s="157" t="s">
        <v>1792</v>
      </c>
      <c r="E956" s="81" t="s">
        <v>1568</v>
      </c>
      <c r="F956" s="40">
        <v>18</v>
      </c>
      <c r="G956" s="41"/>
      <c r="H956" s="42"/>
      <c r="I956" s="39">
        <f>F956*G956</f>
        <v>0</v>
      </c>
      <c r="J956" s="45" t="s">
        <v>107</v>
      </c>
      <c r="K956" s="39" t="s">
        <v>108</v>
      </c>
      <c r="L956" s="46"/>
    </row>
    <row r="957" spans="2:12" ht="150" x14ac:dyDescent="0.25">
      <c r="B957" s="36" t="s">
        <v>1793</v>
      </c>
      <c r="C957" s="37"/>
      <c r="D957" s="88" t="s">
        <v>1794</v>
      </c>
      <c r="E957" s="39"/>
      <c r="F957" s="40"/>
      <c r="G957" s="41"/>
      <c r="H957" s="42"/>
      <c r="I957" s="39"/>
      <c r="J957" s="45" t="s">
        <v>57</v>
      </c>
      <c r="K957" s="39" t="s">
        <v>57</v>
      </c>
      <c r="L957" s="46"/>
    </row>
    <row r="958" spans="2:12" ht="18.75" x14ac:dyDescent="0.25">
      <c r="B958" s="36" t="s">
        <v>1793</v>
      </c>
      <c r="C958" s="37" t="s">
        <v>1795</v>
      </c>
      <c r="D958" s="83" t="s">
        <v>1796</v>
      </c>
      <c r="E958" s="81" t="s">
        <v>1568</v>
      </c>
      <c r="F958" s="40">
        <v>2</v>
      </c>
      <c r="G958" s="41"/>
      <c r="H958" s="42"/>
      <c r="I958" s="39">
        <f>F958*G958</f>
        <v>0</v>
      </c>
      <c r="J958" s="45" t="s">
        <v>107</v>
      </c>
      <c r="K958" s="39" t="s">
        <v>108</v>
      </c>
      <c r="L958" s="46"/>
    </row>
    <row r="959" spans="2:12" ht="37.5" x14ac:dyDescent="0.25">
      <c r="B959" s="36" t="s">
        <v>1793</v>
      </c>
      <c r="C959" s="37" t="s">
        <v>1797</v>
      </c>
      <c r="D959" s="83" t="s">
        <v>1798</v>
      </c>
      <c r="E959" s="81" t="s">
        <v>1568</v>
      </c>
      <c r="F959" s="40">
        <v>10</v>
      </c>
      <c r="G959" s="41"/>
      <c r="H959" s="42"/>
      <c r="I959" s="39">
        <f>F959*G959</f>
        <v>0</v>
      </c>
      <c r="J959" s="45" t="s">
        <v>107</v>
      </c>
      <c r="K959" s="39" t="s">
        <v>108</v>
      </c>
      <c r="L959" s="46"/>
    </row>
    <row r="960" spans="2:12" ht="56.25" x14ac:dyDescent="0.25">
      <c r="B960" s="36" t="s">
        <v>1793</v>
      </c>
      <c r="C960" s="37" t="s">
        <v>1799</v>
      </c>
      <c r="D960" s="158" t="s">
        <v>1800</v>
      </c>
      <c r="E960" s="81" t="s">
        <v>1568</v>
      </c>
      <c r="F960" s="40">
        <v>5</v>
      </c>
      <c r="G960" s="41"/>
      <c r="H960" s="42"/>
      <c r="I960" s="39">
        <f>F960*G960</f>
        <v>0</v>
      </c>
      <c r="J960" s="45" t="s">
        <v>107</v>
      </c>
      <c r="K960" s="39" t="s">
        <v>108</v>
      </c>
      <c r="L960" s="46"/>
    </row>
    <row r="961" spans="2:12" ht="243.75" x14ac:dyDescent="0.25">
      <c r="B961" s="36" t="s">
        <v>1801</v>
      </c>
      <c r="C961" s="37"/>
      <c r="D961" s="44" t="s">
        <v>1802</v>
      </c>
      <c r="E961" s="39"/>
      <c r="F961" s="40"/>
      <c r="G961" s="41"/>
      <c r="H961" s="42"/>
      <c r="I961" s="39"/>
      <c r="J961" s="45" t="s">
        <v>57</v>
      </c>
      <c r="K961" s="39" t="s">
        <v>57</v>
      </c>
      <c r="L961" s="46"/>
    </row>
    <row r="962" spans="2:12" ht="37.5" x14ac:dyDescent="0.25">
      <c r="B962" s="36" t="s">
        <v>1801</v>
      </c>
      <c r="C962" s="37" t="s">
        <v>1803</v>
      </c>
      <c r="D962" s="83" t="s">
        <v>1804</v>
      </c>
      <c r="E962" s="81" t="s">
        <v>1568</v>
      </c>
      <c r="F962" s="40">
        <v>1</v>
      </c>
      <c r="G962" s="41"/>
      <c r="H962" s="42"/>
      <c r="I962" s="39">
        <f t="shared" ref="I962:I977" si="31">F962*G962</f>
        <v>0</v>
      </c>
      <c r="J962" s="45" t="s">
        <v>107</v>
      </c>
      <c r="K962" s="39" t="s">
        <v>108</v>
      </c>
      <c r="L962" s="46"/>
    </row>
    <row r="963" spans="2:12" ht="18.75" x14ac:dyDescent="0.25">
      <c r="B963" s="36" t="s">
        <v>1801</v>
      </c>
      <c r="C963" s="37" t="s">
        <v>1805</v>
      </c>
      <c r="D963" s="83" t="s">
        <v>1806</v>
      </c>
      <c r="E963" s="81" t="s">
        <v>1568</v>
      </c>
      <c r="F963" s="40">
        <v>1</v>
      </c>
      <c r="G963" s="41"/>
      <c r="H963" s="42"/>
      <c r="I963" s="39">
        <f t="shared" si="31"/>
        <v>0</v>
      </c>
      <c r="J963" s="45" t="s">
        <v>107</v>
      </c>
      <c r="K963" s="39" t="s">
        <v>108</v>
      </c>
      <c r="L963" s="46"/>
    </row>
    <row r="964" spans="2:12" ht="18.75" x14ac:dyDescent="0.25">
      <c r="B964" s="36" t="s">
        <v>1801</v>
      </c>
      <c r="C964" s="37" t="s">
        <v>1807</v>
      </c>
      <c r="D964" s="83" t="s">
        <v>1808</v>
      </c>
      <c r="E964" s="81" t="s">
        <v>1568</v>
      </c>
      <c r="F964" s="40">
        <v>1</v>
      </c>
      <c r="G964" s="41"/>
      <c r="H964" s="42"/>
      <c r="I964" s="39">
        <f t="shared" si="31"/>
        <v>0</v>
      </c>
      <c r="J964" s="45" t="s">
        <v>107</v>
      </c>
      <c r="K964" s="39" t="s">
        <v>108</v>
      </c>
      <c r="L964" s="46"/>
    </row>
    <row r="965" spans="2:12" ht="18.75" x14ac:dyDescent="0.25">
      <c r="B965" s="36" t="s">
        <v>1801</v>
      </c>
      <c r="C965" s="37" t="s">
        <v>1809</v>
      </c>
      <c r="D965" s="83" t="s">
        <v>1810</v>
      </c>
      <c r="E965" s="81" t="s">
        <v>1568</v>
      </c>
      <c r="F965" s="40">
        <v>1</v>
      </c>
      <c r="G965" s="41"/>
      <c r="H965" s="42"/>
      <c r="I965" s="39">
        <f t="shared" si="31"/>
        <v>0</v>
      </c>
      <c r="J965" s="45" t="s">
        <v>107</v>
      </c>
      <c r="K965" s="39" t="s">
        <v>108</v>
      </c>
      <c r="L965" s="46"/>
    </row>
    <row r="966" spans="2:12" ht="18.75" x14ac:dyDescent="0.25">
      <c r="B966" s="36" t="s">
        <v>1801</v>
      </c>
      <c r="C966" s="37" t="s">
        <v>1811</v>
      </c>
      <c r="D966" s="83" t="s">
        <v>1812</v>
      </c>
      <c r="E966" s="81" t="s">
        <v>1568</v>
      </c>
      <c r="F966" s="40">
        <v>1</v>
      </c>
      <c r="G966" s="41"/>
      <c r="H966" s="42"/>
      <c r="I966" s="39">
        <f t="shared" si="31"/>
        <v>0</v>
      </c>
      <c r="J966" s="45" t="s">
        <v>107</v>
      </c>
      <c r="K966" s="39" t="s">
        <v>108</v>
      </c>
      <c r="L966" s="46"/>
    </row>
    <row r="967" spans="2:12" ht="18.75" x14ac:dyDescent="0.25">
      <c r="B967" s="36" t="s">
        <v>1801</v>
      </c>
      <c r="C967" s="37" t="s">
        <v>1813</v>
      </c>
      <c r="D967" s="83" t="s">
        <v>1814</v>
      </c>
      <c r="E967" s="81" t="s">
        <v>1568</v>
      </c>
      <c r="F967" s="40">
        <v>1</v>
      </c>
      <c r="G967" s="41"/>
      <c r="H967" s="42"/>
      <c r="I967" s="39">
        <f t="shared" si="31"/>
        <v>0</v>
      </c>
      <c r="J967" s="45" t="s">
        <v>107</v>
      </c>
      <c r="K967" s="39" t="s">
        <v>108</v>
      </c>
      <c r="L967" s="46"/>
    </row>
    <row r="968" spans="2:12" ht="18.75" x14ac:dyDescent="0.25">
      <c r="B968" s="36" t="s">
        <v>1801</v>
      </c>
      <c r="C968" s="37" t="s">
        <v>1815</v>
      </c>
      <c r="D968" s="83" t="s">
        <v>1816</v>
      </c>
      <c r="E968" s="81" t="s">
        <v>1568</v>
      </c>
      <c r="F968" s="40">
        <v>1</v>
      </c>
      <c r="G968" s="41"/>
      <c r="H968" s="42"/>
      <c r="I968" s="39">
        <f t="shared" si="31"/>
        <v>0</v>
      </c>
      <c r="J968" s="45" t="s">
        <v>107</v>
      </c>
      <c r="K968" s="39" t="s">
        <v>108</v>
      </c>
      <c r="L968" s="46"/>
    </row>
    <row r="969" spans="2:12" ht="37.5" x14ac:dyDescent="0.25">
      <c r="B969" s="36" t="s">
        <v>1801</v>
      </c>
      <c r="C969" s="37" t="s">
        <v>1817</v>
      </c>
      <c r="D969" s="83" t="s">
        <v>1818</v>
      </c>
      <c r="E969" s="81" t="s">
        <v>1568</v>
      </c>
      <c r="F969" s="40">
        <v>1</v>
      </c>
      <c r="G969" s="41"/>
      <c r="H969" s="42"/>
      <c r="I969" s="39">
        <f t="shared" si="31"/>
        <v>0</v>
      </c>
      <c r="J969" s="45" t="s">
        <v>107</v>
      </c>
      <c r="K969" s="39" t="s">
        <v>108</v>
      </c>
      <c r="L969" s="46"/>
    </row>
    <row r="970" spans="2:12" ht="18.75" x14ac:dyDescent="0.25">
      <c r="B970" s="36" t="s">
        <v>1801</v>
      </c>
      <c r="C970" s="37" t="s">
        <v>1819</v>
      </c>
      <c r="D970" s="83" t="s">
        <v>1820</v>
      </c>
      <c r="E970" s="81" t="s">
        <v>1568</v>
      </c>
      <c r="F970" s="40">
        <v>1</v>
      </c>
      <c r="G970" s="41"/>
      <c r="H970" s="42"/>
      <c r="I970" s="39">
        <f t="shared" si="31"/>
        <v>0</v>
      </c>
      <c r="J970" s="45" t="s">
        <v>107</v>
      </c>
      <c r="K970" s="39" t="s">
        <v>108</v>
      </c>
      <c r="L970" s="46"/>
    </row>
    <row r="971" spans="2:12" ht="18.75" x14ac:dyDescent="0.25">
      <c r="B971" s="36" t="s">
        <v>1801</v>
      </c>
      <c r="C971" s="37" t="s">
        <v>1821</v>
      </c>
      <c r="D971" s="83" t="s">
        <v>1822</v>
      </c>
      <c r="E971" s="81" t="s">
        <v>1568</v>
      </c>
      <c r="F971" s="40">
        <v>1</v>
      </c>
      <c r="G971" s="41"/>
      <c r="H971" s="42"/>
      <c r="I971" s="39">
        <f t="shared" si="31"/>
        <v>0</v>
      </c>
      <c r="J971" s="45" t="s">
        <v>107</v>
      </c>
      <c r="K971" s="39" t="s">
        <v>108</v>
      </c>
      <c r="L971" s="46"/>
    </row>
    <row r="972" spans="2:12" ht="18.75" x14ac:dyDescent="0.25">
      <c r="B972" s="36" t="s">
        <v>1801</v>
      </c>
      <c r="C972" s="37" t="s">
        <v>1823</v>
      </c>
      <c r="D972" s="83" t="s">
        <v>1824</v>
      </c>
      <c r="E972" s="81" t="s">
        <v>1568</v>
      </c>
      <c r="F972" s="40">
        <v>1</v>
      </c>
      <c r="G972" s="41"/>
      <c r="H972" s="42"/>
      <c r="I972" s="39">
        <f t="shared" si="31"/>
        <v>0</v>
      </c>
      <c r="J972" s="45" t="s">
        <v>107</v>
      </c>
      <c r="K972" s="39" t="s">
        <v>108</v>
      </c>
      <c r="L972" s="46"/>
    </row>
    <row r="973" spans="2:12" ht="18.75" x14ac:dyDescent="0.25">
      <c r="B973" s="36" t="s">
        <v>1801</v>
      </c>
      <c r="C973" s="37" t="s">
        <v>1825</v>
      </c>
      <c r="D973" s="83" t="s">
        <v>1826</v>
      </c>
      <c r="E973" s="81" t="s">
        <v>1568</v>
      </c>
      <c r="F973" s="40">
        <v>1</v>
      </c>
      <c r="G973" s="41"/>
      <c r="H973" s="42"/>
      <c r="I973" s="39">
        <f t="shared" si="31"/>
        <v>0</v>
      </c>
      <c r="J973" s="45" t="s">
        <v>107</v>
      </c>
      <c r="K973" s="39" t="s">
        <v>108</v>
      </c>
      <c r="L973" s="46"/>
    </row>
    <row r="974" spans="2:12" ht="18.75" x14ac:dyDescent="0.25">
      <c r="B974" s="36" t="s">
        <v>1801</v>
      </c>
      <c r="C974" s="37" t="s">
        <v>1827</v>
      </c>
      <c r="D974" s="83" t="s">
        <v>1828</v>
      </c>
      <c r="E974" s="81" t="s">
        <v>1568</v>
      </c>
      <c r="F974" s="40">
        <v>1</v>
      </c>
      <c r="G974" s="41"/>
      <c r="H974" s="42"/>
      <c r="I974" s="39">
        <f t="shared" si="31"/>
        <v>0</v>
      </c>
      <c r="J974" s="45" t="s">
        <v>107</v>
      </c>
      <c r="K974" s="39" t="s">
        <v>108</v>
      </c>
      <c r="L974" s="46"/>
    </row>
    <row r="975" spans="2:12" ht="18.75" x14ac:dyDescent="0.25">
      <c r="B975" s="36" t="s">
        <v>1801</v>
      </c>
      <c r="C975" s="37" t="s">
        <v>1829</v>
      </c>
      <c r="D975" s="83" t="s">
        <v>1830</v>
      </c>
      <c r="E975" s="81" t="s">
        <v>1568</v>
      </c>
      <c r="F975" s="40">
        <v>1</v>
      </c>
      <c r="G975" s="41"/>
      <c r="H975" s="42"/>
      <c r="I975" s="39">
        <f t="shared" si="31"/>
        <v>0</v>
      </c>
      <c r="J975" s="45" t="s">
        <v>107</v>
      </c>
      <c r="K975" s="39" t="s">
        <v>108</v>
      </c>
      <c r="L975" s="46"/>
    </row>
    <row r="976" spans="2:12" ht="18.75" x14ac:dyDescent="0.25">
      <c r="B976" s="36" t="s">
        <v>1801</v>
      </c>
      <c r="C976" s="37" t="s">
        <v>1831</v>
      </c>
      <c r="D976" s="83" t="s">
        <v>1832</v>
      </c>
      <c r="E976" s="81" t="s">
        <v>1568</v>
      </c>
      <c r="F976" s="40">
        <v>1</v>
      </c>
      <c r="G976" s="41"/>
      <c r="H976" s="42"/>
      <c r="I976" s="39">
        <f t="shared" si="31"/>
        <v>0</v>
      </c>
      <c r="J976" s="45" t="s">
        <v>107</v>
      </c>
      <c r="K976" s="39" t="s">
        <v>108</v>
      </c>
      <c r="L976" s="46"/>
    </row>
    <row r="977" spans="2:12" ht="18.75" x14ac:dyDescent="0.25">
      <c r="B977" s="36" t="s">
        <v>1801</v>
      </c>
      <c r="C977" s="37" t="s">
        <v>1833</v>
      </c>
      <c r="D977" s="83" t="s">
        <v>1834</v>
      </c>
      <c r="E977" s="81" t="s">
        <v>1568</v>
      </c>
      <c r="F977" s="40">
        <v>1</v>
      </c>
      <c r="G977" s="41"/>
      <c r="H977" s="42"/>
      <c r="I977" s="39">
        <f t="shared" si="31"/>
        <v>0</v>
      </c>
      <c r="J977" s="45" t="s">
        <v>107</v>
      </c>
      <c r="K977" s="39" t="s">
        <v>108</v>
      </c>
      <c r="L977" s="46"/>
    </row>
    <row r="978" spans="2:12" ht="77.25" x14ac:dyDescent="0.25">
      <c r="B978" s="36" t="s">
        <v>1801</v>
      </c>
      <c r="C978" s="37"/>
      <c r="D978" s="88" t="s">
        <v>1835</v>
      </c>
      <c r="E978" s="81"/>
      <c r="F978" s="40"/>
      <c r="G978" s="41"/>
      <c r="H978" s="42"/>
      <c r="I978" s="39"/>
      <c r="J978" s="45" t="s">
        <v>57</v>
      </c>
      <c r="K978" s="39" t="s">
        <v>57</v>
      </c>
      <c r="L978" s="46"/>
    </row>
    <row r="979" spans="2:12" ht="56.25" x14ac:dyDescent="0.25">
      <c r="B979" s="36" t="s">
        <v>1801</v>
      </c>
      <c r="C979" s="37" t="s">
        <v>1821</v>
      </c>
      <c r="D979" s="159" t="s">
        <v>1836</v>
      </c>
      <c r="E979" s="81" t="s">
        <v>1568</v>
      </c>
      <c r="F979" s="40">
        <v>19</v>
      </c>
      <c r="G979" s="41"/>
      <c r="H979" s="42"/>
      <c r="I979" s="39">
        <f>F979*G979</f>
        <v>0</v>
      </c>
      <c r="J979" s="45" t="s">
        <v>107</v>
      </c>
      <c r="K979" s="39" t="s">
        <v>108</v>
      </c>
      <c r="L979" s="46"/>
    </row>
    <row r="980" spans="2:12" ht="56.25" x14ac:dyDescent="0.25">
      <c r="B980" s="36" t="s">
        <v>1801</v>
      </c>
      <c r="C980" s="37" t="s">
        <v>1823</v>
      </c>
      <c r="D980" s="83" t="s">
        <v>1837</v>
      </c>
      <c r="E980" s="81" t="s">
        <v>1568</v>
      </c>
      <c r="F980" s="40">
        <v>8</v>
      </c>
      <c r="G980" s="41"/>
      <c r="H980" s="42"/>
      <c r="I980" s="39">
        <f>F980*G980</f>
        <v>0</v>
      </c>
      <c r="J980" s="45" t="s">
        <v>107</v>
      </c>
      <c r="K980" s="39" t="s">
        <v>108</v>
      </c>
      <c r="L980" s="46"/>
    </row>
    <row r="981" spans="2:12" ht="243.75" x14ac:dyDescent="0.25">
      <c r="B981" s="36" t="s">
        <v>1838</v>
      </c>
      <c r="C981" s="37"/>
      <c r="D981" s="88" t="s">
        <v>1839</v>
      </c>
      <c r="E981" s="39"/>
      <c r="F981" s="40"/>
      <c r="G981" s="41"/>
      <c r="H981" s="42"/>
      <c r="I981" s="39"/>
      <c r="J981" s="45" t="s">
        <v>57</v>
      </c>
      <c r="K981" s="39" t="s">
        <v>57</v>
      </c>
      <c r="L981" s="46"/>
    </row>
    <row r="982" spans="2:12" ht="37.5" x14ac:dyDescent="0.25">
      <c r="B982" s="36" t="s">
        <v>1838</v>
      </c>
      <c r="C982" s="37" t="s">
        <v>1840</v>
      </c>
      <c r="D982" s="83" t="s">
        <v>1841</v>
      </c>
      <c r="E982" s="39" t="s">
        <v>1842</v>
      </c>
      <c r="F982" s="40">
        <v>1</v>
      </c>
      <c r="G982" s="41"/>
      <c r="H982" s="42"/>
      <c r="I982" s="39">
        <f>F982*G982</f>
        <v>0</v>
      </c>
      <c r="J982" s="45" t="s">
        <v>107</v>
      </c>
      <c r="K982" s="39" t="s">
        <v>108</v>
      </c>
      <c r="L982" s="46"/>
    </row>
    <row r="983" spans="2:12" ht="168.75" x14ac:dyDescent="0.25">
      <c r="B983" s="36" t="s">
        <v>1843</v>
      </c>
      <c r="C983" s="37"/>
      <c r="D983" s="88" t="s">
        <v>1844</v>
      </c>
      <c r="E983" s="39"/>
      <c r="F983" s="40"/>
      <c r="G983" s="41"/>
      <c r="H983" s="42"/>
      <c r="I983" s="39"/>
      <c r="J983" s="45" t="s">
        <v>57</v>
      </c>
      <c r="K983" s="39" t="s">
        <v>57</v>
      </c>
      <c r="L983" s="46"/>
    </row>
    <row r="984" spans="2:12" ht="18.75" x14ac:dyDescent="0.25">
      <c r="B984" s="36" t="s">
        <v>1843</v>
      </c>
      <c r="C984" s="37" t="s">
        <v>1845</v>
      </c>
      <c r="D984" s="83" t="s">
        <v>1846</v>
      </c>
      <c r="E984" s="81" t="s">
        <v>1568</v>
      </c>
      <c r="F984" s="40">
        <v>1</v>
      </c>
      <c r="G984" s="41"/>
      <c r="H984" s="42"/>
      <c r="I984" s="39">
        <f t="shared" ref="I984:I993" si="32">F984*G984</f>
        <v>0</v>
      </c>
      <c r="J984" s="45" t="s">
        <v>107</v>
      </c>
      <c r="K984" s="39" t="s">
        <v>108</v>
      </c>
      <c r="L984" s="46"/>
    </row>
    <row r="985" spans="2:12" ht="18.75" x14ac:dyDescent="0.25">
      <c r="B985" s="36" t="s">
        <v>1843</v>
      </c>
      <c r="C985" s="37" t="s">
        <v>1847</v>
      </c>
      <c r="D985" s="83" t="s">
        <v>1848</v>
      </c>
      <c r="E985" s="81" t="s">
        <v>1568</v>
      </c>
      <c r="F985" s="40">
        <v>2</v>
      </c>
      <c r="G985" s="41"/>
      <c r="H985" s="42"/>
      <c r="I985" s="39">
        <f t="shared" si="32"/>
        <v>0</v>
      </c>
      <c r="J985" s="45" t="s">
        <v>107</v>
      </c>
      <c r="K985" s="39" t="s">
        <v>108</v>
      </c>
      <c r="L985" s="46"/>
    </row>
    <row r="986" spans="2:12" ht="18.75" x14ac:dyDescent="0.25">
      <c r="B986" s="36" t="s">
        <v>1843</v>
      </c>
      <c r="C986" s="37" t="s">
        <v>1849</v>
      </c>
      <c r="D986" s="83" t="s">
        <v>1850</v>
      </c>
      <c r="E986" s="81" t="s">
        <v>1568</v>
      </c>
      <c r="F986" s="40">
        <v>27</v>
      </c>
      <c r="G986" s="41"/>
      <c r="H986" s="42"/>
      <c r="I986" s="39">
        <f t="shared" si="32"/>
        <v>0</v>
      </c>
      <c r="J986" s="45" t="s">
        <v>107</v>
      </c>
      <c r="K986" s="39" t="s">
        <v>108</v>
      </c>
      <c r="L986" s="46"/>
    </row>
    <row r="987" spans="2:12" ht="18.75" x14ac:dyDescent="0.25">
      <c r="B987" s="36" t="s">
        <v>1843</v>
      </c>
      <c r="C987" s="37" t="s">
        <v>1851</v>
      </c>
      <c r="D987" s="83" t="s">
        <v>1852</v>
      </c>
      <c r="E987" s="81" t="s">
        <v>1568</v>
      </c>
      <c r="F987" s="40">
        <v>22</v>
      </c>
      <c r="G987" s="41"/>
      <c r="H987" s="42"/>
      <c r="I987" s="39">
        <f t="shared" si="32"/>
        <v>0</v>
      </c>
      <c r="J987" s="45" t="s">
        <v>107</v>
      </c>
      <c r="K987" s="39" t="s">
        <v>108</v>
      </c>
      <c r="L987" s="46"/>
    </row>
    <row r="988" spans="2:12" ht="18.75" x14ac:dyDescent="0.25">
      <c r="B988" s="36" t="s">
        <v>1843</v>
      </c>
      <c r="C988" s="37" t="s">
        <v>1853</v>
      </c>
      <c r="D988" s="83" t="s">
        <v>1854</v>
      </c>
      <c r="E988" s="81" t="s">
        <v>1568</v>
      </c>
      <c r="F988" s="40">
        <v>11</v>
      </c>
      <c r="G988" s="41"/>
      <c r="H988" s="42"/>
      <c r="I988" s="39">
        <f t="shared" si="32"/>
        <v>0</v>
      </c>
      <c r="J988" s="45" t="s">
        <v>107</v>
      </c>
      <c r="K988" s="39" t="s">
        <v>108</v>
      </c>
      <c r="L988" s="46"/>
    </row>
    <row r="989" spans="2:12" ht="18.75" x14ac:dyDescent="0.25">
      <c r="B989" s="36" t="s">
        <v>1843</v>
      </c>
      <c r="C989" s="37" t="s">
        <v>1855</v>
      </c>
      <c r="D989" s="83" t="s">
        <v>1856</v>
      </c>
      <c r="E989" s="81" t="s">
        <v>1568</v>
      </c>
      <c r="F989" s="40">
        <v>1</v>
      </c>
      <c r="G989" s="41"/>
      <c r="H989" s="42"/>
      <c r="I989" s="39">
        <f t="shared" si="32"/>
        <v>0</v>
      </c>
      <c r="J989" s="45" t="s">
        <v>107</v>
      </c>
      <c r="K989" s="39" t="s">
        <v>108</v>
      </c>
      <c r="L989" s="46"/>
    </row>
    <row r="990" spans="2:12" ht="18.75" x14ac:dyDescent="0.25">
      <c r="B990" s="36" t="s">
        <v>1843</v>
      </c>
      <c r="C990" s="37" t="s">
        <v>1857</v>
      </c>
      <c r="D990" s="83" t="s">
        <v>1858</v>
      </c>
      <c r="E990" s="81" t="s">
        <v>1568</v>
      </c>
      <c r="F990" s="40">
        <v>9</v>
      </c>
      <c r="G990" s="41"/>
      <c r="H990" s="42"/>
      <c r="I990" s="39">
        <f t="shared" si="32"/>
        <v>0</v>
      </c>
      <c r="J990" s="45" t="s">
        <v>107</v>
      </c>
      <c r="K990" s="39" t="s">
        <v>108</v>
      </c>
      <c r="L990" s="46"/>
    </row>
    <row r="991" spans="2:12" ht="18.75" x14ac:dyDescent="0.25">
      <c r="B991" s="36" t="s">
        <v>1843</v>
      </c>
      <c r="C991" s="37" t="s">
        <v>1859</v>
      </c>
      <c r="D991" s="83" t="s">
        <v>1860</v>
      </c>
      <c r="E991" s="81" t="s">
        <v>1568</v>
      </c>
      <c r="F991" s="40">
        <v>13</v>
      </c>
      <c r="G991" s="41"/>
      <c r="H991" s="42"/>
      <c r="I991" s="39">
        <f t="shared" si="32"/>
        <v>0</v>
      </c>
      <c r="J991" s="45" t="s">
        <v>107</v>
      </c>
      <c r="K991" s="39" t="s">
        <v>108</v>
      </c>
      <c r="L991" s="46"/>
    </row>
    <row r="992" spans="2:12" ht="18.75" x14ac:dyDescent="0.25">
      <c r="B992" s="36" t="s">
        <v>1843</v>
      </c>
      <c r="C992" s="37" t="s">
        <v>1861</v>
      </c>
      <c r="D992" s="83" t="s">
        <v>1862</v>
      </c>
      <c r="E992" s="81" t="s">
        <v>1568</v>
      </c>
      <c r="F992" s="40">
        <v>8</v>
      </c>
      <c r="G992" s="41"/>
      <c r="H992" s="42"/>
      <c r="I992" s="39">
        <f t="shared" si="32"/>
        <v>0</v>
      </c>
      <c r="J992" s="45" t="s">
        <v>107</v>
      </c>
      <c r="K992" s="39" t="s">
        <v>108</v>
      </c>
      <c r="L992" s="46"/>
    </row>
    <row r="993" spans="2:12" ht="18.75" x14ac:dyDescent="0.25">
      <c r="B993" s="36" t="s">
        <v>1843</v>
      </c>
      <c r="C993" s="37" t="s">
        <v>1863</v>
      </c>
      <c r="D993" s="160" t="s">
        <v>1864</v>
      </c>
      <c r="E993" s="68" t="s">
        <v>1842</v>
      </c>
      <c r="F993" s="66">
        <v>1</v>
      </c>
      <c r="G993" s="161"/>
      <c r="H993" s="67"/>
      <c r="I993" s="39">
        <f t="shared" si="32"/>
        <v>0</v>
      </c>
      <c r="J993" s="45" t="s">
        <v>107</v>
      </c>
      <c r="K993" s="39" t="s">
        <v>108</v>
      </c>
      <c r="L993" s="46"/>
    </row>
    <row r="994" spans="2:12" ht="36" customHeight="1" x14ac:dyDescent="0.25">
      <c r="B994" s="162" t="s">
        <v>1865</v>
      </c>
      <c r="C994" s="163"/>
      <c r="D994" s="163"/>
      <c r="E994" s="163"/>
      <c r="F994" s="163"/>
      <c r="G994" s="163"/>
      <c r="H994" s="164"/>
      <c r="I994" s="165">
        <f>SUM(I916:I993)</f>
        <v>0</v>
      </c>
      <c r="J994" s="166" t="s">
        <v>57</v>
      </c>
      <c r="K994" s="165" t="s">
        <v>57</v>
      </c>
      <c r="L994" s="167"/>
    </row>
    <row r="995" spans="2:12" ht="36" customHeight="1" x14ac:dyDescent="0.25">
      <c r="B995" s="168"/>
      <c r="C995" s="169"/>
      <c r="D995" s="170" t="s">
        <v>1866</v>
      </c>
      <c r="E995" s="169"/>
      <c r="F995" s="169"/>
      <c r="G995" s="169"/>
      <c r="H995" s="169"/>
      <c r="I995" s="171"/>
      <c r="J995" s="172" t="s">
        <v>57</v>
      </c>
      <c r="K995" s="171" t="s">
        <v>57</v>
      </c>
      <c r="L995" s="173"/>
    </row>
    <row r="996" spans="2:12" ht="375" x14ac:dyDescent="0.25">
      <c r="B996" s="28" t="s">
        <v>1867</v>
      </c>
      <c r="C996" s="29"/>
      <c r="D996" s="174" t="s">
        <v>1868</v>
      </c>
      <c r="E996" s="31"/>
      <c r="F996" s="116"/>
      <c r="G996" s="33"/>
      <c r="H996" s="118"/>
      <c r="I996" s="115"/>
      <c r="J996" s="155" t="s">
        <v>57</v>
      </c>
      <c r="K996" s="115" t="s">
        <v>57</v>
      </c>
      <c r="L996" s="156"/>
    </row>
    <row r="997" spans="2:12" ht="281.25" x14ac:dyDescent="0.25">
      <c r="B997" s="36" t="s">
        <v>1869</v>
      </c>
      <c r="C997" s="37"/>
      <c r="D997" s="44" t="s">
        <v>1870</v>
      </c>
      <c r="E997" s="39"/>
      <c r="F997" s="40"/>
      <c r="G997" s="41"/>
      <c r="H997" s="42"/>
      <c r="I997" s="39"/>
      <c r="J997" s="45" t="s">
        <v>57</v>
      </c>
      <c r="K997" s="39" t="s">
        <v>57</v>
      </c>
      <c r="L997" s="46"/>
    </row>
    <row r="998" spans="2:12" ht="93.75" x14ac:dyDescent="0.25">
      <c r="B998" s="36" t="s">
        <v>1869</v>
      </c>
      <c r="C998" s="37" t="s">
        <v>1871</v>
      </c>
      <c r="D998" s="83" t="s">
        <v>1872</v>
      </c>
      <c r="E998" s="81" t="s">
        <v>1568</v>
      </c>
      <c r="F998" s="40">
        <v>1</v>
      </c>
      <c r="G998" s="41"/>
      <c r="H998" s="42"/>
      <c r="I998" s="39">
        <f>F998*G998</f>
        <v>0</v>
      </c>
      <c r="J998" s="45" t="s">
        <v>107</v>
      </c>
      <c r="K998" s="39" t="s">
        <v>108</v>
      </c>
      <c r="L998" s="46"/>
    </row>
    <row r="999" spans="2:12" ht="75" x14ac:dyDescent="0.25">
      <c r="B999" s="36" t="s">
        <v>1869</v>
      </c>
      <c r="C999" s="37"/>
      <c r="D999" s="44" t="s">
        <v>1873</v>
      </c>
      <c r="E999" s="39"/>
      <c r="F999" s="40"/>
      <c r="G999" s="41"/>
      <c r="H999" s="42"/>
      <c r="I999" s="39"/>
      <c r="J999" s="45" t="s">
        <v>57</v>
      </c>
      <c r="K999" s="39" t="s">
        <v>57</v>
      </c>
      <c r="L999" s="46"/>
    </row>
    <row r="1000" spans="2:12" ht="18.75" x14ac:dyDescent="0.25">
      <c r="B1000" s="36" t="s">
        <v>1869</v>
      </c>
      <c r="C1000" s="37" t="s">
        <v>1874</v>
      </c>
      <c r="D1000" s="83" t="s">
        <v>1875</v>
      </c>
      <c r="E1000" s="81" t="s">
        <v>1568</v>
      </c>
      <c r="F1000" s="40">
        <v>50</v>
      </c>
      <c r="G1000" s="41"/>
      <c r="H1000" s="42"/>
      <c r="I1000" s="39">
        <f t="shared" ref="I1000:I1013" si="33">F1000*G1000</f>
        <v>0</v>
      </c>
      <c r="J1000" s="45">
        <v>2280</v>
      </c>
      <c r="K1000" s="39" t="s">
        <v>30</v>
      </c>
      <c r="L1000" s="46"/>
    </row>
    <row r="1001" spans="2:12" ht="18.75" x14ac:dyDescent="0.25">
      <c r="B1001" s="36" t="s">
        <v>1869</v>
      </c>
      <c r="C1001" s="37" t="s">
        <v>1876</v>
      </c>
      <c r="D1001" s="97" t="s">
        <v>1877</v>
      </c>
      <c r="E1001" s="81" t="s">
        <v>1568</v>
      </c>
      <c r="F1001" s="40">
        <v>116</v>
      </c>
      <c r="G1001" s="41"/>
      <c r="H1001" s="42"/>
      <c r="I1001" s="39">
        <f t="shared" si="33"/>
        <v>0</v>
      </c>
      <c r="J1001" s="45" t="s">
        <v>107</v>
      </c>
      <c r="K1001" s="39" t="s">
        <v>108</v>
      </c>
      <c r="L1001" s="46"/>
    </row>
    <row r="1002" spans="2:12" ht="18.75" x14ac:dyDescent="0.25">
      <c r="B1002" s="36" t="s">
        <v>1869</v>
      </c>
      <c r="C1002" s="37" t="s">
        <v>1878</v>
      </c>
      <c r="D1002" s="158" t="s">
        <v>1879</v>
      </c>
      <c r="E1002" s="81" t="s">
        <v>1568</v>
      </c>
      <c r="F1002" s="40">
        <v>5</v>
      </c>
      <c r="G1002" s="41"/>
      <c r="H1002" s="42"/>
      <c r="I1002" s="39">
        <f t="shared" si="33"/>
        <v>0</v>
      </c>
      <c r="J1002" s="45">
        <v>2281</v>
      </c>
      <c r="K1002" s="39" t="s">
        <v>30</v>
      </c>
      <c r="L1002" s="46"/>
    </row>
    <row r="1003" spans="2:12" ht="37.5" x14ac:dyDescent="0.25">
      <c r="B1003" s="36" t="s">
        <v>1869</v>
      </c>
      <c r="C1003" s="37" t="s">
        <v>1880</v>
      </c>
      <c r="D1003" s="158" t="s">
        <v>1881</v>
      </c>
      <c r="E1003" s="81" t="s">
        <v>1568</v>
      </c>
      <c r="F1003" s="40">
        <v>7</v>
      </c>
      <c r="G1003" s="41"/>
      <c r="H1003" s="42"/>
      <c r="I1003" s="39">
        <f t="shared" si="33"/>
        <v>0</v>
      </c>
      <c r="J1003" s="45">
        <v>2280</v>
      </c>
      <c r="K1003" s="39" t="s">
        <v>30</v>
      </c>
      <c r="L1003" s="46"/>
    </row>
    <row r="1004" spans="2:12" ht="37.5" x14ac:dyDescent="0.25">
      <c r="B1004" s="36" t="s">
        <v>1869</v>
      </c>
      <c r="C1004" s="37" t="s">
        <v>1882</v>
      </c>
      <c r="D1004" s="158" t="s">
        <v>1883</v>
      </c>
      <c r="E1004" s="81" t="s">
        <v>1568</v>
      </c>
      <c r="F1004" s="40">
        <v>8</v>
      </c>
      <c r="G1004" s="41"/>
      <c r="H1004" s="42"/>
      <c r="I1004" s="39">
        <f t="shared" si="33"/>
        <v>0</v>
      </c>
      <c r="J1004" s="45" t="s">
        <v>107</v>
      </c>
      <c r="K1004" s="39" t="s">
        <v>108</v>
      </c>
      <c r="L1004" s="46"/>
    </row>
    <row r="1005" spans="2:12" ht="37.5" x14ac:dyDescent="0.25">
      <c r="B1005" s="36" t="s">
        <v>1869</v>
      </c>
      <c r="C1005" s="37" t="s">
        <v>1884</v>
      </c>
      <c r="D1005" s="158" t="s">
        <v>1885</v>
      </c>
      <c r="E1005" s="81" t="s">
        <v>1568</v>
      </c>
      <c r="F1005" s="40">
        <v>7</v>
      </c>
      <c r="G1005" s="41"/>
      <c r="H1005" s="42"/>
      <c r="I1005" s="39">
        <f t="shared" si="33"/>
        <v>0</v>
      </c>
      <c r="J1005" s="45" t="s">
        <v>107</v>
      </c>
      <c r="K1005" s="39" t="s">
        <v>108</v>
      </c>
      <c r="L1005" s="46"/>
    </row>
    <row r="1006" spans="2:12" ht="18.75" x14ac:dyDescent="0.25">
      <c r="B1006" s="36" t="s">
        <v>1869</v>
      </c>
      <c r="C1006" s="37" t="s">
        <v>1886</v>
      </c>
      <c r="D1006" s="158" t="s">
        <v>1887</v>
      </c>
      <c r="E1006" s="81" t="s">
        <v>1568</v>
      </c>
      <c r="F1006" s="40">
        <v>2</v>
      </c>
      <c r="G1006" s="41"/>
      <c r="H1006" s="42"/>
      <c r="I1006" s="39">
        <f t="shared" si="33"/>
        <v>0</v>
      </c>
      <c r="J1006" s="45" t="s">
        <v>107</v>
      </c>
      <c r="K1006" s="39" t="s">
        <v>108</v>
      </c>
      <c r="L1006" s="46"/>
    </row>
    <row r="1007" spans="2:12" ht="37.5" x14ac:dyDescent="0.25">
      <c r="B1007" s="36" t="s">
        <v>1869</v>
      </c>
      <c r="C1007" s="37" t="s">
        <v>1888</v>
      </c>
      <c r="D1007" s="158" t="s">
        <v>1889</v>
      </c>
      <c r="E1007" s="81" t="s">
        <v>1568</v>
      </c>
      <c r="F1007" s="40">
        <v>1</v>
      </c>
      <c r="G1007" s="41"/>
      <c r="H1007" s="42"/>
      <c r="I1007" s="39">
        <f t="shared" si="33"/>
        <v>0</v>
      </c>
      <c r="J1007" s="45" t="s">
        <v>107</v>
      </c>
      <c r="K1007" s="39" t="s">
        <v>108</v>
      </c>
      <c r="L1007" s="46"/>
    </row>
    <row r="1008" spans="2:12" ht="37.5" x14ac:dyDescent="0.25">
      <c r="B1008" s="36" t="s">
        <v>1869</v>
      </c>
      <c r="C1008" s="37" t="s">
        <v>1890</v>
      </c>
      <c r="D1008" s="158" t="s">
        <v>1891</v>
      </c>
      <c r="E1008" s="81" t="s">
        <v>1568</v>
      </c>
      <c r="F1008" s="40">
        <v>12</v>
      </c>
      <c r="G1008" s="41"/>
      <c r="H1008" s="42"/>
      <c r="I1008" s="39">
        <f t="shared" si="33"/>
        <v>0</v>
      </c>
      <c r="J1008" s="45" t="s">
        <v>107</v>
      </c>
      <c r="K1008" s="39" t="s">
        <v>108</v>
      </c>
      <c r="L1008" s="46"/>
    </row>
    <row r="1009" spans="2:13" ht="37.5" x14ac:dyDescent="0.25">
      <c r="B1009" s="36" t="s">
        <v>1869</v>
      </c>
      <c r="C1009" s="37" t="s">
        <v>1892</v>
      </c>
      <c r="D1009" s="158" t="s">
        <v>1893</v>
      </c>
      <c r="E1009" s="81" t="s">
        <v>1568</v>
      </c>
      <c r="F1009" s="40">
        <v>12</v>
      </c>
      <c r="G1009" s="41"/>
      <c r="H1009" s="42"/>
      <c r="I1009" s="39">
        <f t="shared" si="33"/>
        <v>0</v>
      </c>
      <c r="J1009" s="45" t="s">
        <v>107</v>
      </c>
      <c r="K1009" s="39" t="s">
        <v>108</v>
      </c>
      <c r="L1009" s="46"/>
    </row>
    <row r="1010" spans="2:13" ht="18.75" x14ac:dyDescent="0.25">
      <c r="B1010" s="36" t="s">
        <v>1869</v>
      </c>
      <c r="C1010" s="37" t="s">
        <v>1894</v>
      </c>
      <c r="D1010" s="158" t="s">
        <v>1895</v>
      </c>
      <c r="E1010" s="81" t="s">
        <v>1568</v>
      </c>
      <c r="F1010" s="40">
        <v>69</v>
      </c>
      <c r="G1010" s="41"/>
      <c r="H1010" s="42"/>
      <c r="I1010" s="39">
        <f t="shared" si="33"/>
        <v>0</v>
      </c>
      <c r="J1010" s="45" t="s">
        <v>107</v>
      </c>
      <c r="K1010" s="39" t="s">
        <v>108</v>
      </c>
      <c r="L1010" s="46"/>
    </row>
    <row r="1011" spans="2:13" ht="18.75" x14ac:dyDescent="0.25">
      <c r="B1011" s="36" t="s">
        <v>1869</v>
      </c>
      <c r="C1011" s="37" t="s">
        <v>1896</v>
      </c>
      <c r="D1011" s="158" t="s">
        <v>1897</v>
      </c>
      <c r="E1011" s="81" t="s">
        <v>1568</v>
      </c>
      <c r="F1011" s="40">
        <v>50</v>
      </c>
      <c r="G1011" s="41"/>
      <c r="H1011" s="42"/>
      <c r="I1011" s="39">
        <f t="shared" si="33"/>
        <v>0</v>
      </c>
      <c r="J1011" s="45" t="s">
        <v>107</v>
      </c>
      <c r="K1011" s="39" t="s">
        <v>108</v>
      </c>
      <c r="L1011" s="46"/>
    </row>
    <row r="1012" spans="2:13" ht="18.75" x14ac:dyDescent="0.25">
      <c r="B1012" s="36" t="s">
        <v>1869</v>
      </c>
      <c r="C1012" s="37" t="s">
        <v>1898</v>
      </c>
      <c r="D1012" s="158" t="s">
        <v>1899</v>
      </c>
      <c r="E1012" s="81" t="s">
        <v>1568</v>
      </c>
      <c r="F1012" s="40">
        <v>26</v>
      </c>
      <c r="G1012" s="41"/>
      <c r="H1012" s="42"/>
      <c r="I1012" s="39">
        <f t="shared" si="33"/>
        <v>0</v>
      </c>
      <c r="J1012" s="45" t="s">
        <v>107</v>
      </c>
      <c r="K1012" s="39" t="s">
        <v>108</v>
      </c>
      <c r="L1012" s="46"/>
    </row>
    <row r="1013" spans="2:13" ht="18.75" x14ac:dyDescent="0.25">
      <c r="B1013" s="130" t="s">
        <v>1869</v>
      </c>
      <c r="C1013" s="37" t="s">
        <v>1900</v>
      </c>
      <c r="D1013" s="175" t="s">
        <v>1901</v>
      </c>
      <c r="E1013" s="81" t="s">
        <v>1568</v>
      </c>
      <c r="F1013" s="85">
        <v>6</v>
      </c>
      <c r="G1013" s="124"/>
      <c r="H1013" s="132"/>
      <c r="I1013" s="39">
        <f t="shared" si="33"/>
        <v>0</v>
      </c>
      <c r="J1013" s="45" t="s">
        <v>107</v>
      </c>
      <c r="K1013" s="39" t="s">
        <v>108</v>
      </c>
      <c r="L1013" s="46"/>
      <c r="M1013" s="176"/>
    </row>
    <row r="1014" spans="2:13" ht="281.25" x14ac:dyDescent="0.25">
      <c r="B1014" s="36" t="s">
        <v>1902</v>
      </c>
      <c r="C1014" s="37"/>
      <c r="D1014" s="88" t="s">
        <v>1903</v>
      </c>
      <c r="E1014" s="39"/>
      <c r="F1014" s="40"/>
      <c r="G1014" s="41"/>
      <c r="H1014" s="42"/>
      <c r="I1014" s="39"/>
      <c r="J1014" s="45" t="s">
        <v>57</v>
      </c>
      <c r="K1014" s="39" t="s">
        <v>57</v>
      </c>
      <c r="L1014" s="46"/>
    </row>
    <row r="1015" spans="2:13" ht="37.5" x14ac:dyDescent="0.25">
      <c r="B1015" s="36" t="s">
        <v>1902</v>
      </c>
      <c r="C1015" s="37" t="s">
        <v>1904</v>
      </c>
      <c r="D1015" s="83" t="s">
        <v>1905</v>
      </c>
      <c r="E1015" s="81" t="s">
        <v>1568</v>
      </c>
      <c r="F1015" s="40">
        <v>15</v>
      </c>
      <c r="G1015" s="41"/>
      <c r="H1015" s="42"/>
      <c r="I1015" s="39">
        <f t="shared" ref="I1015:I1020" si="34">F1015*G1015</f>
        <v>0</v>
      </c>
      <c r="J1015" s="45" t="s">
        <v>107</v>
      </c>
      <c r="K1015" s="39" t="s">
        <v>108</v>
      </c>
      <c r="L1015" s="46"/>
    </row>
    <row r="1016" spans="2:13" ht="75" x14ac:dyDescent="0.25">
      <c r="B1016" s="36" t="s">
        <v>1902</v>
      </c>
      <c r="C1016" s="37" t="s">
        <v>1906</v>
      </c>
      <c r="D1016" s="97" t="s">
        <v>1907</v>
      </c>
      <c r="E1016" s="81" t="s">
        <v>1568</v>
      </c>
      <c r="F1016" s="40">
        <v>1</v>
      </c>
      <c r="G1016" s="41"/>
      <c r="H1016" s="42"/>
      <c r="I1016" s="39">
        <f t="shared" si="34"/>
        <v>0</v>
      </c>
      <c r="J1016" s="45" t="s">
        <v>107</v>
      </c>
      <c r="K1016" s="39" t="s">
        <v>108</v>
      </c>
      <c r="L1016" s="46"/>
    </row>
    <row r="1017" spans="2:13" ht="37.5" x14ac:dyDescent="0.25">
      <c r="B1017" s="36" t="s">
        <v>1902</v>
      </c>
      <c r="C1017" s="37" t="s">
        <v>1908</v>
      </c>
      <c r="D1017" s="97" t="s">
        <v>1909</v>
      </c>
      <c r="E1017" s="81" t="s">
        <v>1568</v>
      </c>
      <c r="F1017" s="40">
        <v>8</v>
      </c>
      <c r="G1017" s="41"/>
      <c r="H1017" s="42"/>
      <c r="I1017" s="39">
        <f t="shared" si="34"/>
        <v>0</v>
      </c>
      <c r="J1017" s="45" t="s">
        <v>107</v>
      </c>
      <c r="K1017" s="39" t="s">
        <v>108</v>
      </c>
      <c r="L1017" s="46"/>
    </row>
    <row r="1018" spans="2:13" ht="37.5" x14ac:dyDescent="0.25">
      <c r="B1018" s="36" t="s">
        <v>1902</v>
      </c>
      <c r="C1018" s="37" t="s">
        <v>1910</v>
      </c>
      <c r="D1018" s="97" t="s">
        <v>1911</v>
      </c>
      <c r="E1018" s="81" t="s">
        <v>1568</v>
      </c>
      <c r="F1018" s="40">
        <v>2</v>
      </c>
      <c r="G1018" s="41"/>
      <c r="H1018" s="42"/>
      <c r="I1018" s="39">
        <f t="shared" si="34"/>
        <v>0</v>
      </c>
      <c r="J1018" s="45" t="s">
        <v>107</v>
      </c>
      <c r="K1018" s="39" t="s">
        <v>108</v>
      </c>
      <c r="L1018" s="46"/>
    </row>
    <row r="1019" spans="2:13" ht="18.75" x14ac:dyDescent="0.25">
      <c r="B1019" s="36" t="s">
        <v>1902</v>
      </c>
      <c r="C1019" s="37" t="s">
        <v>1912</v>
      </c>
      <c r="D1019" s="97" t="s">
        <v>1913</v>
      </c>
      <c r="E1019" s="81" t="s">
        <v>1568</v>
      </c>
      <c r="F1019" s="40">
        <v>2</v>
      </c>
      <c r="G1019" s="41"/>
      <c r="H1019" s="42"/>
      <c r="I1019" s="39">
        <f t="shared" si="34"/>
        <v>0</v>
      </c>
      <c r="J1019" s="45" t="s">
        <v>107</v>
      </c>
      <c r="K1019" s="39" t="s">
        <v>108</v>
      </c>
      <c r="L1019" s="46"/>
    </row>
    <row r="1020" spans="2:13" ht="18.75" x14ac:dyDescent="0.25">
      <c r="B1020" s="36" t="s">
        <v>1902</v>
      </c>
      <c r="C1020" s="37" t="s">
        <v>1914</v>
      </c>
      <c r="D1020" s="97" t="s">
        <v>1915</v>
      </c>
      <c r="E1020" s="81" t="s">
        <v>1568</v>
      </c>
      <c r="F1020" s="40">
        <v>1</v>
      </c>
      <c r="G1020" s="41"/>
      <c r="H1020" s="42"/>
      <c r="I1020" s="39">
        <f t="shared" si="34"/>
        <v>0</v>
      </c>
      <c r="J1020" s="45" t="s">
        <v>107</v>
      </c>
      <c r="K1020" s="39" t="s">
        <v>108</v>
      </c>
      <c r="L1020" s="46"/>
    </row>
    <row r="1021" spans="2:13" ht="262.5" x14ac:dyDescent="0.25">
      <c r="B1021" s="36" t="s">
        <v>1916</v>
      </c>
      <c r="C1021" s="37"/>
      <c r="D1021" s="88" t="s">
        <v>1917</v>
      </c>
      <c r="E1021" s="39"/>
      <c r="F1021" s="40"/>
      <c r="G1021" s="41"/>
      <c r="H1021" s="42"/>
      <c r="I1021" s="39"/>
      <c r="J1021" s="45" t="s">
        <v>57</v>
      </c>
      <c r="K1021" s="39" t="s">
        <v>57</v>
      </c>
      <c r="L1021" s="46"/>
    </row>
    <row r="1022" spans="2:13" ht="37.5" x14ac:dyDescent="0.25">
      <c r="B1022" s="36" t="s">
        <v>1916</v>
      </c>
      <c r="C1022" s="37" t="s">
        <v>1918</v>
      </c>
      <c r="D1022" s="83" t="s">
        <v>1919</v>
      </c>
      <c r="E1022" s="81" t="s">
        <v>1568</v>
      </c>
      <c r="F1022" s="40">
        <v>13</v>
      </c>
      <c r="G1022" s="41"/>
      <c r="H1022" s="42"/>
      <c r="I1022" s="39">
        <f t="shared" ref="I1022:I1027" si="35">F1022*G1022</f>
        <v>0</v>
      </c>
      <c r="J1022" s="45" t="s">
        <v>107</v>
      </c>
      <c r="K1022" s="39" t="s">
        <v>108</v>
      </c>
      <c r="L1022" s="46"/>
    </row>
    <row r="1023" spans="2:13" ht="18.75" x14ac:dyDescent="0.25">
      <c r="B1023" s="36" t="s">
        <v>1916</v>
      </c>
      <c r="C1023" s="37" t="s">
        <v>1920</v>
      </c>
      <c r="D1023" s="97" t="s">
        <v>1921</v>
      </c>
      <c r="E1023" s="81" t="s">
        <v>1568</v>
      </c>
      <c r="F1023" s="40">
        <v>26</v>
      </c>
      <c r="G1023" s="41"/>
      <c r="H1023" s="42"/>
      <c r="I1023" s="39">
        <f t="shared" si="35"/>
        <v>0</v>
      </c>
      <c r="J1023" s="45" t="s">
        <v>107</v>
      </c>
      <c r="K1023" s="39" t="s">
        <v>108</v>
      </c>
      <c r="L1023" s="46"/>
    </row>
    <row r="1024" spans="2:13" ht="37.5" x14ac:dyDescent="0.25">
      <c r="B1024" s="36" t="s">
        <v>1916</v>
      </c>
      <c r="C1024" s="37" t="s">
        <v>1922</v>
      </c>
      <c r="D1024" s="83" t="s">
        <v>1923</v>
      </c>
      <c r="E1024" s="81" t="s">
        <v>1568</v>
      </c>
      <c r="F1024" s="40">
        <v>33</v>
      </c>
      <c r="G1024" s="41"/>
      <c r="H1024" s="42"/>
      <c r="I1024" s="39">
        <f t="shared" si="35"/>
        <v>0</v>
      </c>
      <c r="J1024" s="45" t="s">
        <v>107</v>
      </c>
      <c r="K1024" s="39" t="s">
        <v>108</v>
      </c>
      <c r="L1024" s="46"/>
    </row>
    <row r="1025" spans="2:12" ht="18.75" x14ac:dyDescent="0.25">
      <c r="B1025" s="36" t="s">
        <v>1916</v>
      </c>
      <c r="C1025" s="37" t="s">
        <v>1924</v>
      </c>
      <c r="D1025" s="97" t="s">
        <v>1925</v>
      </c>
      <c r="E1025" s="81" t="s">
        <v>1568</v>
      </c>
      <c r="F1025" s="40">
        <v>26</v>
      </c>
      <c r="G1025" s="41"/>
      <c r="H1025" s="42"/>
      <c r="I1025" s="39">
        <f t="shared" si="35"/>
        <v>0</v>
      </c>
      <c r="J1025" s="45" t="s">
        <v>107</v>
      </c>
      <c r="K1025" s="39" t="s">
        <v>108</v>
      </c>
      <c r="L1025" s="46"/>
    </row>
    <row r="1026" spans="2:12" ht="18.75" x14ac:dyDescent="0.25">
      <c r="B1026" s="36" t="s">
        <v>1916</v>
      </c>
      <c r="C1026" s="37" t="s">
        <v>1926</v>
      </c>
      <c r="D1026" s="97" t="s">
        <v>1927</v>
      </c>
      <c r="E1026" s="81" t="s">
        <v>1568</v>
      </c>
      <c r="F1026" s="40">
        <v>21</v>
      </c>
      <c r="G1026" s="41"/>
      <c r="H1026" s="42"/>
      <c r="I1026" s="39">
        <f t="shared" si="35"/>
        <v>0</v>
      </c>
      <c r="J1026" s="45" t="s">
        <v>107</v>
      </c>
      <c r="K1026" s="39" t="s">
        <v>108</v>
      </c>
      <c r="L1026" s="46"/>
    </row>
    <row r="1027" spans="2:12" ht="18.75" x14ac:dyDescent="0.25">
      <c r="B1027" s="63" t="s">
        <v>1916</v>
      </c>
      <c r="C1027" s="177" t="s">
        <v>1928</v>
      </c>
      <c r="D1027" s="178" t="s">
        <v>1929</v>
      </c>
      <c r="E1027" s="179" t="s">
        <v>1568</v>
      </c>
      <c r="F1027" s="66">
        <v>26</v>
      </c>
      <c r="G1027" s="161"/>
      <c r="H1027" s="67"/>
      <c r="I1027" s="39">
        <f t="shared" si="35"/>
        <v>0</v>
      </c>
      <c r="J1027" s="180" t="s">
        <v>107</v>
      </c>
      <c r="K1027" s="39" t="s">
        <v>108</v>
      </c>
      <c r="L1027" s="181"/>
    </row>
    <row r="1028" spans="2:12" ht="36" customHeight="1" x14ac:dyDescent="0.25">
      <c r="B1028" s="182" t="s">
        <v>1930</v>
      </c>
      <c r="C1028" s="183"/>
      <c r="D1028" s="183"/>
      <c r="E1028" s="183"/>
      <c r="F1028" s="183"/>
      <c r="G1028" s="183"/>
      <c r="H1028" s="184"/>
      <c r="I1028" s="185">
        <f>SUM(I996:I1027)</f>
        <v>0</v>
      </c>
      <c r="J1028" s="186"/>
      <c r="K1028" s="185"/>
      <c r="L1028" s="187"/>
    </row>
    <row r="1029" spans="2:12" ht="36" customHeight="1" x14ac:dyDescent="0.25">
      <c r="B1029" s="188" t="s">
        <v>1931</v>
      </c>
      <c r="C1029" s="189"/>
      <c r="D1029" s="189"/>
      <c r="E1029" s="189"/>
      <c r="F1029" s="189"/>
      <c r="G1029" s="189"/>
      <c r="H1029" s="190"/>
      <c r="I1029" s="191">
        <f>I405+I733+I914+I994+I1028</f>
        <v>0</v>
      </c>
      <c r="J1029" s="192"/>
      <c r="K1029" s="191"/>
      <c r="L1029" s="193"/>
    </row>
  </sheetData>
  <sheetProtection password="ED09" sheet="1" objects="1" scenarios="1"/>
  <autoFilter ref="B1:I405"/>
  <mergeCells count="9">
    <mergeCell ref="B994:H994"/>
    <mergeCell ref="B1028:H1028"/>
    <mergeCell ref="B1029:H1029"/>
    <mergeCell ref="B2:L2"/>
    <mergeCell ref="B3:K3"/>
    <mergeCell ref="B4:K4"/>
    <mergeCell ref="B405:H405"/>
    <mergeCell ref="B733:H733"/>
    <mergeCell ref="B914:H914"/>
  </mergeCells>
  <conditionalFormatting sqref="F405:G405">
    <cfRule type="cellIs" dxfId="4" priority="5" operator="lessThanOrEqual">
      <formula>0</formula>
    </cfRule>
  </conditionalFormatting>
  <conditionalFormatting sqref="F733:G733">
    <cfRule type="cellIs" dxfId="3" priority="4" operator="lessThanOrEqual">
      <formula>0</formula>
    </cfRule>
  </conditionalFormatting>
  <conditionalFormatting sqref="F914:G914">
    <cfRule type="cellIs" dxfId="2" priority="3" operator="lessThanOrEqual">
      <formula>0</formula>
    </cfRule>
  </conditionalFormatting>
  <conditionalFormatting sqref="F994:G994">
    <cfRule type="cellIs" dxfId="1" priority="2" operator="lessThanOrEqual">
      <formula>0</formula>
    </cfRule>
  </conditionalFormatting>
  <conditionalFormatting sqref="F1029:G1029">
    <cfRule type="cellIs" dxfId="0" priority="1" operator="lessThanOrEqual">
      <formula>0</formula>
    </cfRule>
  </conditionalFormatting>
  <printOptions horizontalCentered="1"/>
  <pageMargins left="0.49107142857142899" right="0.45401785700000002" top="1.7" bottom="0.62992125984252001" header="0.90551181102362199" footer="0.27559055118110198"/>
  <pageSetup paperSize="9" scale="57" fitToHeight="0" orientation="landscape" useFirstPageNumber="1" r:id="rId1"/>
  <headerFooter>
    <oddHeader>&amp;L&amp;14مشروع الادارة العامة للإيواء بعسير&amp;C&amp;G&amp;R&amp;14المملكة العربية السعودية
وزارة الداخلية
وكالة وزارة الداخلية للقدرات الأمنية</oddHeader>
    <oddFooter>&amp;CPage &amp;P of &amp;N</oddFooter>
  </headerFooter>
  <rowBreaks count="6" manualBreakCount="6">
    <brk id="405" min="1" max="11" man="1"/>
    <brk id="733" min="1" max="11" man="1"/>
    <brk id="914" min="1" max="11" man="1"/>
    <brk id="982" min="1" max="11" man="1"/>
    <brk id="994" min="1" max="11" man="1"/>
    <brk id="1020" min="1" max="11"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مبني المستوصف </vt:lpstr>
      <vt:lpstr>'مبني المستوصف '!Print_Area</vt:lpstr>
      <vt:lpstr>'مبني المستوصف '!Print_Titles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Keritam (Contractors)</dc:creator>
  <cp:lastModifiedBy>Ahmed Keritam (Contractors)</cp:lastModifiedBy>
  <dcterms:created xsi:type="dcterms:W3CDTF">2025-12-31T07:44:59Z</dcterms:created>
  <dcterms:modified xsi:type="dcterms:W3CDTF">2025-12-31T07:45:05Z</dcterms:modified>
</cp:coreProperties>
</file>